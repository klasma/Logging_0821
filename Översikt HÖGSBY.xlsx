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45475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9</v>
      </c>
      <c r="K2" t="n">
        <v>0</v>
      </c>
      <c r="L2" t="n">
        <v>2</v>
      </c>
      <c r="M2" t="n">
        <v>0</v>
      </c>
      <c r="N2" t="n">
        <v>0</v>
      </c>
      <c r="O2" t="n">
        <v>11</v>
      </c>
      <c r="P2" t="n">
        <v>2</v>
      </c>
      <c r="Q2" t="n">
        <v>11</v>
      </c>
      <c r="R2" s="2" t="inlineStr">
        <is>
          <t>Grönfink
Mosippa
Björktrast
Duvhök
Grönsångare
Gulsparv
Hornuggla
Rödvingetrast
Slåtterfibbla
Spillkråka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45475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45475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45475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45475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45475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45475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45475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49484-2022</t>
        </is>
      </c>
      <c r="B10" s="1" t="n">
        <v>44861</v>
      </c>
      <c r="C10" s="1" t="n">
        <v>45475</v>
      </c>
      <c r="D10" t="inlineStr">
        <is>
          <t>KALMAR LÄN</t>
        </is>
      </c>
      <c r="E10" t="inlineStr">
        <is>
          <t>HÖGSBY</t>
        </is>
      </c>
      <c r="G10" t="n">
        <v>2.2</v>
      </c>
      <c r="H10" t="n">
        <v>4</v>
      </c>
      <c r="I10" t="n">
        <v>0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6</v>
      </c>
      <c r="P10" t="n">
        <v>3</v>
      </c>
      <c r="Q10" t="n">
        <v>6</v>
      </c>
      <c r="R10" s="2" t="inlineStr">
        <is>
          <t>Saffransticka
Sommargylling
Trubbknäppare
Bokvedvivel
Havsörn
Ärtsångare</t>
        </is>
      </c>
      <c r="S10">
        <f>HYPERLINK("https://klasma.github.io/Logging_0821/artfynd/A 49484-2022 artfynd.xlsx", "A 49484-2022")</f>
        <v/>
      </c>
      <c r="T10">
        <f>HYPERLINK("https://klasma.github.io/Logging_0821/kartor/A 49484-2022 karta.png", "A 49484-2022")</f>
        <v/>
      </c>
      <c r="V10">
        <f>HYPERLINK("https://klasma.github.io/Logging_0821/klagomål/A 49484-2022 FSC-klagomål.docx", "A 49484-2022")</f>
        <v/>
      </c>
      <c r="W10">
        <f>HYPERLINK("https://klasma.github.io/Logging_0821/klagomålsmail/A 49484-2022 FSC-klagomål mail.docx", "A 49484-2022")</f>
        <v/>
      </c>
      <c r="X10">
        <f>HYPERLINK("https://klasma.github.io/Logging_0821/tillsyn/A 49484-2022 tillsynsbegäran.docx", "A 49484-2022")</f>
        <v/>
      </c>
      <c r="Y10">
        <f>HYPERLINK("https://klasma.github.io/Logging_0821/tillsynsmail/A 49484-2022 tillsynsbegäran mail.docx", "A 49484-2022")</f>
        <v/>
      </c>
      <c r="Z10">
        <f>HYPERLINK("https://klasma.github.io/Logging_0821/fåglar/A 49484-2022 prioriterade fågelarter.docx", "A 49484-2022")</f>
        <v/>
      </c>
    </row>
    <row r="11" ht="15" customHeight="1">
      <c r="A11" t="inlineStr">
        <is>
          <t>A 9566-2023</t>
        </is>
      </c>
      <c r="B11" s="1" t="n">
        <v>44982</v>
      </c>
      <c r="C11" s="1" t="n">
        <v>45475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3.4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Carphacis striatus
Ekgetingbock
Gul gaddbagge
Svart ögonknäppare
Noshornsoxe
Robust tickgnagare</t>
        </is>
      </c>
      <c r="S11">
        <f>HYPERLINK("https://klasma.github.io/Logging_0821/artfynd/A 9566-2023 artfynd.xlsx", "A 9566-2023")</f>
        <v/>
      </c>
      <c r="T11">
        <f>HYPERLINK("https://klasma.github.io/Logging_0821/kartor/A 9566-2023 karta.png", "A 9566-2023")</f>
        <v/>
      </c>
      <c r="V11">
        <f>HYPERLINK("https://klasma.github.io/Logging_0821/klagomål/A 9566-2023 FSC-klagomål.docx", "A 9566-2023")</f>
        <v/>
      </c>
      <c r="W11">
        <f>HYPERLINK("https://klasma.github.io/Logging_0821/klagomålsmail/A 9566-2023 FSC-klagomål mail.docx", "A 9566-2023")</f>
        <v/>
      </c>
      <c r="X11">
        <f>HYPERLINK("https://klasma.github.io/Logging_0821/tillsyn/A 9566-2023 tillsynsbegäran.docx", "A 9566-2023")</f>
        <v/>
      </c>
      <c r="Y11">
        <f>HYPERLINK("https://klasma.github.io/Logging_0821/tillsynsmail/A 9566-2023 tillsynsbegäran mail.docx", "A 9566-2023")</f>
        <v/>
      </c>
    </row>
    <row r="12" ht="15" customHeight="1">
      <c r="A12" t="inlineStr">
        <is>
          <t>A 1583-2024</t>
        </is>
      </c>
      <c r="B12" s="1" t="n">
        <v>45306</v>
      </c>
      <c r="C12" s="1" t="n">
        <v>45475</v>
      </c>
      <c r="D12" t="inlineStr">
        <is>
          <t>KALMAR LÄN</t>
        </is>
      </c>
      <c r="E12" t="inlineStr">
        <is>
          <t>HÖGSBY</t>
        </is>
      </c>
      <c r="F12" t="inlineStr">
        <is>
          <t>Övriga Aktiebolag</t>
        </is>
      </c>
      <c r="G12" t="n">
        <v>13.4</v>
      </c>
      <c r="H12" t="n">
        <v>4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Slåtterfibbla
Spillkråka
Tallticka
Blåsippa
Gullviva</t>
        </is>
      </c>
      <c r="S12">
        <f>HYPERLINK("https://klasma.github.io/Logging_0821/artfynd/A 1583-2024 artfynd.xlsx", "A 1583-2024")</f>
        <v/>
      </c>
      <c r="T12">
        <f>HYPERLINK("https://klasma.github.io/Logging_0821/kartor/A 1583-2024 karta.png", "A 1583-2024")</f>
        <v/>
      </c>
      <c r="U12">
        <f>HYPERLINK("https://klasma.github.io/Logging_0821/knärot/A 1583-2024 karta knärot.png", "A 1583-2024")</f>
        <v/>
      </c>
      <c r="V12">
        <f>HYPERLINK("https://klasma.github.io/Logging_0821/klagomål/A 1583-2024 FSC-klagomål.docx", "A 1583-2024")</f>
        <v/>
      </c>
      <c r="W12">
        <f>HYPERLINK("https://klasma.github.io/Logging_0821/klagomålsmail/A 1583-2024 FSC-klagomål mail.docx", "A 1583-2024")</f>
        <v/>
      </c>
      <c r="X12">
        <f>HYPERLINK("https://klasma.github.io/Logging_0821/tillsyn/A 1583-2024 tillsynsbegäran.docx", "A 1583-2024")</f>
        <v/>
      </c>
      <c r="Y12">
        <f>HYPERLINK("https://klasma.github.io/Logging_0821/tillsynsmail/A 1583-2024 tillsynsbegäran mail.docx", "A 1583-2024")</f>
        <v/>
      </c>
      <c r="Z12">
        <f>HYPERLINK("https://klasma.github.io/Logging_0821/fåglar/A 1583-2024 prioriterade fågelarter.docx", "A 1583-2024")</f>
        <v/>
      </c>
    </row>
    <row r="13" ht="15" customHeight="1">
      <c r="A13" t="inlineStr">
        <is>
          <t>A 20823-2019</t>
        </is>
      </c>
      <c r="B13" s="1" t="n">
        <v>43573</v>
      </c>
      <c r="C13" s="1" t="n">
        <v>45475</v>
      </c>
      <c r="D13" t="inlineStr">
        <is>
          <t>KALMAR LÄN</t>
        </is>
      </c>
      <c r="E13" t="inlineStr">
        <is>
          <t>HÖGSBY</t>
        </is>
      </c>
      <c r="G13" t="n">
        <v>6.3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Fjällig taggsvamp s.str.
Skarp dropptaggsvamp
Tjockfotad fingersvamp</t>
        </is>
      </c>
      <c r="S13">
        <f>HYPERLINK("https://klasma.github.io/Logging_0821/artfynd/A 20823-2019 artfynd.xlsx", "A 20823-2019")</f>
        <v/>
      </c>
      <c r="T13">
        <f>HYPERLINK("https://klasma.github.io/Logging_0821/kartor/A 20823-2019 karta.png", "A 20823-2019")</f>
        <v/>
      </c>
      <c r="U13">
        <f>HYPERLINK("https://klasma.github.io/Logging_0821/knärot/A 20823-2019 karta knärot.png", "A 20823-2019")</f>
        <v/>
      </c>
      <c r="V13">
        <f>HYPERLINK("https://klasma.github.io/Logging_0821/klagomål/A 20823-2019 FSC-klagomål.docx", "A 20823-2019")</f>
        <v/>
      </c>
      <c r="W13">
        <f>HYPERLINK("https://klasma.github.io/Logging_0821/klagomålsmail/A 20823-2019 FSC-klagomål mail.docx", "A 20823-2019")</f>
        <v/>
      </c>
      <c r="X13">
        <f>HYPERLINK("https://klasma.github.io/Logging_0821/tillsyn/A 20823-2019 tillsynsbegäran.docx", "A 20823-2019")</f>
        <v/>
      </c>
      <c r="Y13">
        <f>HYPERLINK("https://klasma.github.io/Logging_0821/tillsynsmail/A 20823-2019 tillsynsbegäran mail.docx", "A 20823-2019")</f>
        <v/>
      </c>
    </row>
    <row r="14" ht="15" customHeight="1">
      <c r="A14" t="inlineStr">
        <is>
          <t>A 36145-2019</t>
        </is>
      </c>
      <c r="B14" s="1" t="n">
        <v>43668</v>
      </c>
      <c r="C14" s="1" t="n">
        <v>45475</v>
      </c>
      <c r="D14" t="inlineStr">
        <is>
          <t>KALMAR LÄN</t>
        </is>
      </c>
      <c r="E14" t="inlineStr">
        <is>
          <t>HÖGSBY</t>
        </is>
      </c>
      <c r="G14" t="n">
        <v>0.5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Grangråticka
Fjällig taggsvamp s.str.
Kamjordstjärna
Skarp dropptaggsvamp
Blåsippa</t>
        </is>
      </c>
      <c r="S14">
        <f>HYPERLINK("https://klasma.github.io/Logging_0821/artfynd/A 36145-2019 artfynd.xlsx", "A 36145-2019")</f>
        <v/>
      </c>
      <c r="T14">
        <f>HYPERLINK("https://klasma.github.io/Logging_0821/kartor/A 36145-2019 karta.png", "A 36145-2019")</f>
        <v/>
      </c>
      <c r="V14">
        <f>HYPERLINK("https://klasma.github.io/Logging_0821/klagomål/A 36145-2019 FSC-klagomål.docx", "A 36145-2019")</f>
        <v/>
      </c>
      <c r="W14">
        <f>HYPERLINK("https://klasma.github.io/Logging_0821/klagomålsmail/A 36145-2019 FSC-klagomål mail.docx", "A 36145-2019")</f>
        <v/>
      </c>
      <c r="X14">
        <f>HYPERLINK("https://klasma.github.io/Logging_0821/tillsyn/A 36145-2019 tillsynsbegäran.docx", "A 36145-2019")</f>
        <v/>
      </c>
      <c r="Y14">
        <f>HYPERLINK("https://klasma.github.io/Logging_0821/tillsynsmail/A 36145-2019 tillsynsbegäran mail.docx", "A 36145-2019")</f>
        <v/>
      </c>
    </row>
    <row r="15" ht="15" customHeight="1">
      <c r="A15" t="inlineStr">
        <is>
          <t>A 46011-2019</t>
        </is>
      </c>
      <c r="B15" s="1" t="n">
        <v>43718</v>
      </c>
      <c r="C15" s="1" t="n">
        <v>45475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5.3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Ekpricklav
Läderbagge
Lunglav
Ekskinn
Kopparödla</t>
        </is>
      </c>
      <c r="S15">
        <f>HYPERLINK("https://klasma.github.io/Logging_0821/artfynd/A 46011-2019 artfynd.xlsx", "A 46011-2019")</f>
        <v/>
      </c>
      <c r="T15">
        <f>HYPERLINK("https://klasma.github.io/Logging_0821/kartor/A 46011-2019 karta.png", "A 46011-2019")</f>
        <v/>
      </c>
      <c r="V15">
        <f>HYPERLINK("https://klasma.github.io/Logging_0821/klagomål/A 46011-2019 FSC-klagomål.docx", "A 46011-2019")</f>
        <v/>
      </c>
      <c r="W15">
        <f>HYPERLINK("https://klasma.github.io/Logging_0821/klagomålsmail/A 46011-2019 FSC-klagomål mail.docx", "A 46011-2019")</f>
        <v/>
      </c>
      <c r="X15">
        <f>HYPERLINK("https://klasma.github.io/Logging_0821/tillsyn/A 46011-2019 tillsynsbegäran.docx", "A 46011-2019")</f>
        <v/>
      </c>
      <c r="Y15">
        <f>HYPERLINK("https://klasma.github.io/Logging_0821/tillsynsmail/A 46011-2019 tillsynsbegäran mail.docx", "A 46011-2019")</f>
        <v/>
      </c>
    </row>
    <row r="16" ht="15" customHeight="1">
      <c r="A16" t="inlineStr">
        <is>
          <t>A 7701-2022</t>
        </is>
      </c>
      <c r="B16" s="1" t="n">
        <v>44607</v>
      </c>
      <c r="C16" s="1" t="n">
        <v>45475</v>
      </c>
      <c r="D16" t="inlineStr">
        <is>
          <t>KALMAR LÄN</t>
        </is>
      </c>
      <c r="E16" t="inlineStr">
        <is>
          <t>HÖGSBY</t>
        </is>
      </c>
      <c r="G16" t="n">
        <v>3.4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Kopparspindling
Fjällig taggsvamp s.str.
Skarp dropptaggsvamp
Småvaxskivling
Svavelriska</t>
        </is>
      </c>
      <c r="S16">
        <f>HYPERLINK("https://klasma.github.io/Logging_0821/artfynd/A 7701-2022 artfynd.xlsx", "A 7701-2022")</f>
        <v/>
      </c>
      <c r="T16">
        <f>HYPERLINK("https://klasma.github.io/Logging_0821/kartor/A 7701-2022 karta.png", "A 7701-2022")</f>
        <v/>
      </c>
      <c r="V16">
        <f>HYPERLINK("https://klasma.github.io/Logging_0821/klagomål/A 7701-2022 FSC-klagomål.docx", "A 7701-2022")</f>
        <v/>
      </c>
      <c r="W16">
        <f>HYPERLINK("https://klasma.github.io/Logging_0821/klagomålsmail/A 7701-2022 FSC-klagomål mail.docx", "A 7701-2022")</f>
        <v/>
      </c>
      <c r="X16">
        <f>HYPERLINK("https://klasma.github.io/Logging_0821/tillsyn/A 7701-2022 tillsynsbegäran.docx", "A 7701-2022")</f>
        <v/>
      </c>
      <c r="Y16">
        <f>HYPERLINK("https://klasma.github.io/Logging_0821/tillsynsmail/A 7701-2022 tillsynsbegäran mail.docx", "A 7701-2022")</f>
        <v/>
      </c>
    </row>
    <row r="17" ht="15" customHeight="1">
      <c r="A17" t="inlineStr">
        <is>
          <t>A 24795-2020</t>
        </is>
      </c>
      <c r="B17" s="1" t="n">
        <v>43978</v>
      </c>
      <c r="C17" s="1" t="n">
        <v>45475</v>
      </c>
      <c r="D17" t="inlineStr">
        <is>
          <t>KALMAR LÄN</t>
        </is>
      </c>
      <c r="E17" t="inlineStr">
        <is>
          <t>HÖGSBY</t>
        </is>
      </c>
      <c r="G17" t="n">
        <v>0.6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Grangråticka
Spillkråka
Skarp dropptaggsvamp
Blåsippa</t>
        </is>
      </c>
      <c r="S17">
        <f>HYPERLINK("https://klasma.github.io/Logging_0821/artfynd/A 24795-2020 artfynd.xlsx", "A 24795-2020")</f>
        <v/>
      </c>
      <c r="T17">
        <f>HYPERLINK("https://klasma.github.io/Logging_0821/kartor/A 24795-2020 karta.png", "A 24795-2020")</f>
        <v/>
      </c>
      <c r="V17">
        <f>HYPERLINK("https://klasma.github.io/Logging_0821/klagomål/A 24795-2020 FSC-klagomål.docx", "A 24795-2020")</f>
        <v/>
      </c>
      <c r="W17">
        <f>HYPERLINK("https://klasma.github.io/Logging_0821/klagomålsmail/A 24795-2020 FSC-klagomål mail.docx", "A 24795-2020")</f>
        <v/>
      </c>
      <c r="X17">
        <f>HYPERLINK("https://klasma.github.io/Logging_0821/tillsyn/A 24795-2020 tillsynsbegäran.docx", "A 24795-2020")</f>
        <v/>
      </c>
      <c r="Y17">
        <f>HYPERLINK("https://klasma.github.io/Logging_0821/tillsynsmail/A 24795-2020 tillsynsbegäran mail.docx", "A 24795-2020")</f>
        <v/>
      </c>
      <c r="Z17">
        <f>HYPERLINK("https://klasma.github.io/Logging_0821/fåglar/A 24795-2020 prioriterade fågelarter.docx", "A 24795-2020")</f>
        <v/>
      </c>
    </row>
    <row r="18" ht="15" customHeight="1">
      <c r="A18" t="inlineStr">
        <is>
          <t>A 51578-2020</t>
        </is>
      </c>
      <c r="B18" s="1" t="n">
        <v>44109</v>
      </c>
      <c r="C18" s="1" t="n">
        <v>45475</v>
      </c>
      <c r="D18" t="inlineStr">
        <is>
          <t>KALMAR LÄN</t>
        </is>
      </c>
      <c r="E18" t="inlineStr">
        <is>
          <t>HÖGSBY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Rynkskinn
Spillkråka
Bronshjon
Vågbandad barkbock</t>
        </is>
      </c>
      <c r="S18">
        <f>HYPERLINK("https://klasma.github.io/Logging_0821/artfynd/A 51578-2020 artfynd.xlsx", "A 51578-2020")</f>
        <v/>
      </c>
      <c r="T18">
        <f>HYPERLINK("https://klasma.github.io/Logging_0821/kartor/A 51578-2020 karta.png", "A 51578-2020")</f>
        <v/>
      </c>
      <c r="V18">
        <f>HYPERLINK("https://klasma.github.io/Logging_0821/klagomål/A 51578-2020 FSC-klagomål.docx", "A 51578-2020")</f>
        <v/>
      </c>
      <c r="W18">
        <f>HYPERLINK("https://klasma.github.io/Logging_0821/klagomålsmail/A 51578-2020 FSC-klagomål mail.docx", "A 51578-2020")</f>
        <v/>
      </c>
      <c r="X18">
        <f>HYPERLINK("https://klasma.github.io/Logging_0821/tillsyn/A 51578-2020 tillsynsbegäran.docx", "A 51578-2020")</f>
        <v/>
      </c>
      <c r="Y18">
        <f>HYPERLINK("https://klasma.github.io/Logging_0821/tillsynsmail/A 51578-2020 tillsynsbegäran mail.docx", "A 51578-2020")</f>
        <v/>
      </c>
      <c r="Z18">
        <f>HYPERLINK("https://klasma.github.io/Logging_0821/fåglar/A 51578-2020 prioriterade fågelarter.docx", "A 51578-2020")</f>
        <v/>
      </c>
    </row>
    <row r="19" ht="15" customHeight="1">
      <c r="A19" t="inlineStr">
        <is>
          <t>A 62412-2023</t>
        </is>
      </c>
      <c r="B19" s="1" t="n">
        <v>45268</v>
      </c>
      <c r="C19" s="1" t="n">
        <v>45475</v>
      </c>
      <c r="D19" t="inlineStr">
        <is>
          <t>KALMAR LÄN</t>
        </is>
      </c>
      <c r="E19" t="inlineStr">
        <is>
          <t>HÖGSBY</t>
        </is>
      </c>
      <c r="G19" t="n">
        <v>7.7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Bronshjon
Flagellkvastmossa
Vågbandad barkbock</t>
        </is>
      </c>
      <c r="S19">
        <f>HYPERLINK("https://klasma.github.io/Logging_0821/artfynd/A 62412-2023 artfynd.xlsx", "A 62412-2023")</f>
        <v/>
      </c>
      <c r="T19">
        <f>HYPERLINK("https://klasma.github.io/Logging_0821/kartor/A 62412-2023 karta.png", "A 62412-2023")</f>
        <v/>
      </c>
      <c r="V19">
        <f>HYPERLINK("https://klasma.github.io/Logging_0821/klagomål/A 62412-2023 FSC-klagomål.docx", "A 62412-2023")</f>
        <v/>
      </c>
      <c r="W19">
        <f>HYPERLINK("https://klasma.github.io/Logging_0821/klagomålsmail/A 62412-2023 FSC-klagomål mail.docx", "A 62412-2023")</f>
        <v/>
      </c>
      <c r="X19">
        <f>HYPERLINK("https://klasma.github.io/Logging_0821/tillsyn/A 62412-2023 tillsynsbegäran.docx", "A 62412-2023")</f>
        <v/>
      </c>
      <c r="Y19">
        <f>HYPERLINK("https://klasma.github.io/Logging_0821/tillsynsmail/A 62412-2023 tillsynsbegäran mail.docx", "A 62412-2023")</f>
        <v/>
      </c>
    </row>
    <row r="20" ht="15" customHeight="1">
      <c r="A20" t="inlineStr">
        <is>
          <t>A 20714-2024</t>
        </is>
      </c>
      <c r="B20" s="1" t="n">
        <v>45436</v>
      </c>
      <c r="C20" s="1" t="n">
        <v>45475</v>
      </c>
      <c r="D20" t="inlineStr">
        <is>
          <t>KALMAR LÄN</t>
        </is>
      </c>
      <c r="E20" t="inlineStr">
        <is>
          <t>HÖGSBY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Dropptaggsvamp
Kornknutmossa</t>
        </is>
      </c>
      <c r="S20">
        <f>HYPERLINK("https://klasma.github.io/Logging_0821/artfynd/A 20714-2024 artfynd.xlsx", "A 20714-2024")</f>
        <v/>
      </c>
      <c r="T20">
        <f>HYPERLINK("https://klasma.github.io/Logging_0821/kartor/A 20714-2024 karta.png", "A 20714-2024")</f>
        <v/>
      </c>
      <c r="U20">
        <f>HYPERLINK("https://klasma.github.io/Logging_0821/knärot/A 20714-2024 karta knärot.png", "A 20714-2024")</f>
        <v/>
      </c>
      <c r="V20">
        <f>HYPERLINK("https://klasma.github.io/Logging_0821/klagomål/A 20714-2024 FSC-klagomål.docx", "A 20714-2024")</f>
        <v/>
      </c>
      <c r="W20">
        <f>HYPERLINK("https://klasma.github.io/Logging_0821/klagomålsmail/A 20714-2024 FSC-klagomål mail.docx", "A 20714-2024")</f>
        <v/>
      </c>
      <c r="X20">
        <f>HYPERLINK("https://klasma.github.io/Logging_0821/tillsyn/A 20714-2024 tillsynsbegäran.docx", "A 20714-2024")</f>
        <v/>
      </c>
      <c r="Y20">
        <f>HYPERLINK("https://klasma.github.io/Logging_0821/tillsynsmail/A 20714-2024 tillsynsbegäran mail.docx", "A 20714-2024")</f>
        <v/>
      </c>
    </row>
    <row r="21" ht="15" customHeight="1">
      <c r="A21" t="inlineStr">
        <is>
          <t>A 61610-2019</t>
        </is>
      </c>
      <c r="B21" s="1" t="n">
        <v>43784</v>
      </c>
      <c r="C21" s="1" t="n">
        <v>45475</v>
      </c>
      <c r="D21" t="inlineStr">
        <is>
          <t>KALMAR LÄN</t>
        </is>
      </c>
      <c r="E21" t="inlineStr">
        <is>
          <t>HÖGSBY</t>
        </is>
      </c>
      <c r="G21" t="n">
        <v>17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Åkerkål
Purpurknipprot
Sårläka</t>
        </is>
      </c>
      <c r="S21">
        <f>HYPERLINK("https://klasma.github.io/Logging_0821/artfynd/A 61610-2019 artfynd.xlsx", "A 61610-2019")</f>
        <v/>
      </c>
      <c r="T21">
        <f>HYPERLINK("https://klasma.github.io/Logging_0821/kartor/A 61610-2019 karta.png", "A 61610-2019")</f>
        <v/>
      </c>
      <c r="V21">
        <f>HYPERLINK("https://klasma.github.io/Logging_0821/klagomål/A 61610-2019 FSC-klagomål.docx", "A 61610-2019")</f>
        <v/>
      </c>
      <c r="W21">
        <f>HYPERLINK("https://klasma.github.io/Logging_0821/klagomålsmail/A 61610-2019 FSC-klagomål mail.docx", "A 61610-2019")</f>
        <v/>
      </c>
      <c r="X21">
        <f>HYPERLINK("https://klasma.github.io/Logging_0821/tillsyn/A 61610-2019 tillsynsbegäran.docx", "A 61610-2019")</f>
        <v/>
      </c>
      <c r="Y21">
        <f>HYPERLINK("https://klasma.github.io/Logging_0821/tillsynsmail/A 61610-2019 tillsynsbegäran mail.docx", "A 61610-2019")</f>
        <v/>
      </c>
    </row>
    <row r="22" ht="15" customHeight="1">
      <c r="A22" t="inlineStr">
        <is>
          <t>A 51595-2020</t>
        </is>
      </c>
      <c r="B22" s="1" t="n">
        <v>44109</v>
      </c>
      <c r="C22" s="1" t="n">
        <v>45475</v>
      </c>
      <c r="D22" t="inlineStr">
        <is>
          <t>KALMAR LÄN</t>
        </is>
      </c>
      <c r="E22" t="inlineStr">
        <is>
          <t>HÖGSBY</t>
        </is>
      </c>
      <c r="G22" t="n">
        <v>8.1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Vågticka
Blodticka
Blåsippa</t>
        </is>
      </c>
      <c r="S22">
        <f>HYPERLINK("https://klasma.github.io/Logging_0821/artfynd/A 51595-2020 artfynd.xlsx", "A 51595-2020")</f>
        <v/>
      </c>
      <c r="T22">
        <f>HYPERLINK("https://klasma.github.io/Logging_0821/kartor/A 51595-2020 karta.png", "A 51595-2020")</f>
        <v/>
      </c>
      <c r="V22">
        <f>HYPERLINK("https://klasma.github.io/Logging_0821/klagomål/A 51595-2020 FSC-klagomål.docx", "A 51595-2020")</f>
        <v/>
      </c>
      <c r="W22">
        <f>HYPERLINK("https://klasma.github.io/Logging_0821/klagomålsmail/A 51595-2020 FSC-klagomål mail.docx", "A 51595-2020")</f>
        <v/>
      </c>
      <c r="X22">
        <f>HYPERLINK("https://klasma.github.io/Logging_0821/tillsyn/A 51595-2020 tillsynsbegäran.docx", "A 51595-2020")</f>
        <v/>
      </c>
      <c r="Y22">
        <f>HYPERLINK("https://klasma.github.io/Logging_0821/tillsynsmail/A 51595-2020 tillsynsbegäran mail.docx", "A 51595-2020")</f>
        <v/>
      </c>
    </row>
    <row r="23" ht="15" customHeight="1">
      <c r="A23" t="inlineStr">
        <is>
          <t>A 60252-2022</t>
        </is>
      </c>
      <c r="B23" s="1" t="n">
        <v>44910</v>
      </c>
      <c r="C23" s="1" t="n">
        <v>45475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Fällmossa
Blåsippa</t>
        </is>
      </c>
      <c r="S23">
        <f>HYPERLINK("https://klasma.github.io/Logging_0821/artfynd/A 60252-2022 artfynd.xlsx", "A 60252-2022")</f>
        <v/>
      </c>
      <c r="T23">
        <f>HYPERLINK("https://klasma.github.io/Logging_0821/kartor/A 60252-2022 karta.png", "A 60252-2022")</f>
        <v/>
      </c>
      <c r="V23">
        <f>HYPERLINK("https://klasma.github.io/Logging_0821/klagomål/A 60252-2022 FSC-klagomål.docx", "A 60252-2022")</f>
        <v/>
      </c>
      <c r="W23">
        <f>HYPERLINK("https://klasma.github.io/Logging_0821/klagomålsmail/A 60252-2022 FSC-klagomål mail.docx", "A 60252-2022")</f>
        <v/>
      </c>
      <c r="X23">
        <f>HYPERLINK("https://klasma.github.io/Logging_0821/tillsyn/A 60252-2022 tillsynsbegäran.docx", "A 60252-2022")</f>
        <v/>
      </c>
      <c r="Y23">
        <f>HYPERLINK("https://klasma.github.io/Logging_0821/tillsynsmail/A 60252-2022 tillsynsbegäran mail.docx", "A 60252-2022")</f>
        <v/>
      </c>
      <c r="Z23">
        <f>HYPERLINK("https://klasma.github.io/Logging_0821/fåglar/A 60252-2022 prioriterade fågelarter.docx", "A 60252-2022")</f>
        <v/>
      </c>
    </row>
    <row r="24" ht="15" customHeight="1">
      <c r="A24" t="inlineStr">
        <is>
          <t>A 55060-2023</t>
        </is>
      </c>
      <c r="B24" s="1" t="n">
        <v>45230</v>
      </c>
      <c r="C24" s="1" t="n">
        <v>45475</v>
      </c>
      <c r="D24" t="inlineStr">
        <is>
          <t>KALMAR LÄN</t>
        </is>
      </c>
      <c r="E24" t="inlineStr">
        <is>
          <t>HÖGSBY</t>
        </is>
      </c>
      <c r="G24" t="n">
        <v>3.6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Blodticka</t>
        </is>
      </c>
      <c r="S24">
        <f>HYPERLINK("https://klasma.github.io/Logging_0821/artfynd/A 55060-2023 artfynd.xlsx", "A 55060-2023")</f>
        <v/>
      </c>
      <c r="T24">
        <f>HYPERLINK("https://klasma.github.io/Logging_0821/kartor/A 55060-2023 karta.png", "A 55060-2023")</f>
        <v/>
      </c>
      <c r="V24">
        <f>HYPERLINK("https://klasma.github.io/Logging_0821/klagomål/A 55060-2023 FSC-klagomål.docx", "A 55060-2023")</f>
        <v/>
      </c>
      <c r="W24">
        <f>HYPERLINK("https://klasma.github.io/Logging_0821/klagomålsmail/A 55060-2023 FSC-klagomål mail.docx", "A 55060-2023")</f>
        <v/>
      </c>
      <c r="X24">
        <f>HYPERLINK("https://klasma.github.io/Logging_0821/tillsyn/A 55060-2023 tillsynsbegäran.docx", "A 55060-2023")</f>
        <v/>
      </c>
      <c r="Y24">
        <f>HYPERLINK("https://klasma.github.io/Logging_0821/tillsynsmail/A 55060-2023 tillsynsbegäran mail.docx", "A 55060-2023")</f>
        <v/>
      </c>
      <c r="Z24">
        <f>HYPERLINK("https://klasma.github.io/Logging_0821/fåglar/A 55060-2023 prioriterade fågelarter.docx", "A 55060-2023")</f>
        <v/>
      </c>
    </row>
    <row r="25" ht="15" customHeight="1">
      <c r="A25" t="inlineStr">
        <is>
          <t>A 20824-2019</t>
        </is>
      </c>
      <c r="B25" s="1" t="n">
        <v>43573</v>
      </c>
      <c r="C25" s="1" t="n">
        <v>45475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Brandtaggsvamp
Skarp dropptaggsvamp</t>
        </is>
      </c>
      <c r="S25">
        <f>HYPERLINK("https://klasma.github.io/Logging_0821/artfynd/A 20824-2019 artfynd.xlsx", "A 20824-2019")</f>
        <v/>
      </c>
      <c r="T25">
        <f>HYPERLINK("https://klasma.github.io/Logging_0821/kartor/A 20824-2019 karta.png", "A 20824-2019")</f>
        <v/>
      </c>
      <c r="V25">
        <f>HYPERLINK("https://klasma.github.io/Logging_0821/klagomål/A 20824-2019 FSC-klagomål.docx", "A 20824-2019")</f>
        <v/>
      </c>
      <c r="W25">
        <f>HYPERLINK("https://klasma.github.io/Logging_0821/klagomålsmail/A 20824-2019 FSC-klagomål mail.docx", "A 20824-2019")</f>
        <v/>
      </c>
      <c r="X25">
        <f>HYPERLINK("https://klasma.github.io/Logging_0821/tillsyn/A 20824-2019 tillsynsbegäran.docx", "A 20824-2019")</f>
        <v/>
      </c>
      <c r="Y25">
        <f>HYPERLINK("https://klasma.github.io/Logging_0821/tillsynsmail/A 20824-2019 tillsynsbegäran mail.docx", "A 20824-2019")</f>
        <v/>
      </c>
    </row>
    <row r="26" ht="15" customHeight="1">
      <c r="A26" t="inlineStr">
        <is>
          <t>A 36531-2019</t>
        </is>
      </c>
      <c r="B26" s="1" t="n">
        <v>43663</v>
      </c>
      <c r="C26" s="1" t="n">
        <v>45475</v>
      </c>
      <c r="D26" t="inlineStr">
        <is>
          <t>KALMAR LÄN</t>
        </is>
      </c>
      <c r="E26" t="inlineStr">
        <is>
          <t>HÖGSBY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HYPERLINK("https://klasma.github.io/Logging_0821/artfynd/A 36531-2019 artfynd.xlsx", "A 36531-2019")</f>
        <v/>
      </c>
      <c r="T26">
        <f>HYPERLINK("https://klasma.github.io/Logging_0821/kartor/A 36531-2019 karta.png", "A 36531-2019")</f>
        <v/>
      </c>
      <c r="V26">
        <f>HYPERLINK("https://klasma.github.io/Logging_0821/klagomål/A 36531-2019 FSC-klagomål.docx", "A 36531-2019")</f>
        <v/>
      </c>
      <c r="W26">
        <f>HYPERLINK("https://klasma.github.io/Logging_0821/klagomålsmail/A 36531-2019 FSC-klagomål mail.docx", "A 36531-2019")</f>
        <v/>
      </c>
      <c r="X26">
        <f>HYPERLINK("https://klasma.github.io/Logging_0821/tillsyn/A 36531-2019 tillsynsbegäran.docx", "A 36531-2019")</f>
        <v/>
      </c>
      <c r="Y26">
        <f>HYPERLINK("https://klasma.github.io/Logging_0821/tillsynsmail/A 36531-2019 tillsynsbegäran mail.docx", "A 36531-2019")</f>
        <v/>
      </c>
    </row>
    <row r="27" ht="15" customHeight="1">
      <c r="A27" t="inlineStr">
        <is>
          <t>A 53578-2019</t>
        </is>
      </c>
      <c r="B27" s="1" t="n">
        <v>43748</v>
      </c>
      <c r="C27" s="1" t="n">
        <v>45475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Rävticka</t>
        </is>
      </c>
      <c r="S27">
        <f>HYPERLINK("https://klasma.github.io/Logging_0821/artfynd/A 53578-2019 artfynd.xlsx", "A 53578-2019")</f>
        <v/>
      </c>
      <c r="T27">
        <f>HYPERLINK("https://klasma.github.io/Logging_0821/kartor/A 53578-2019 karta.png", "A 53578-2019")</f>
        <v/>
      </c>
      <c r="V27">
        <f>HYPERLINK("https://klasma.github.io/Logging_0821/klagomål/A 53578-2019 FSC-klagomål.docx", "A 53578-2019")</f>
        <v/>
      </c>
      <c r="W27">
        <f>HYPERLINK("https://klasma.github.io/Logging_0821/klagomålsmail/A 53578-2019 FSC-klagomål mail.docx", "A 53578-2019")</f>
        <v/>
      </c>
      <c r="X27">
        <f>HYPERLINK("https://klasma.github.io/Logging_0821/tillsyn/A 53578-2019 tillsynsbegäran.docx", "A 53578-2019")</f>
        <v/>
      </c>
      <c r="Y27">
        <f>HYPERLINK("https://klasma.github.io/Logging_0821/tillsynsmail/A 53578-2019 tillsynsbegäran mail.docx", "A 53578-2019")</f>
        <v/>
      </c>
      <c r="Z27">
        <f>HYPERLINK("https://klasma.github.io/Logging_0821/fåglar/A 53578-2019 prioriterade fågelarter.docx", "A 53578-2019")</f>
        <v/>
      </c>
    </row>
    <row r="28" ht="15" customHeight="1">
      <c r="A28" t="inlineStr">
        <is>
          <t>A 68563-2021</t>
        </is>
      </c>
      <c r="B28" s="1" t="n">
        <v>44529</v>
      </c>
      <c r="C28" s="1" t="n">
        <v>45475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Matt blombagge</t>
        </is>
      </c>
      <c r="S28">
        <f>HYPERLINK("https://klasma.github.io/Logging_0821/artfynd/A 68563-2021 artfynd.xlsx", "A 68563-2021")</f>
        <v/>
      </c>
      <c r="T28">
        <f>HYPERLINK("https://klasma.github.io/Logging_0821/kartor/A 68563-2021 karta.png", "A 68563-2021")</f>
        <v/>
      </c>
      <c r="V28">
        <f>HYPERLINK("https://klasma.github.io/Logging_0821/klagomål/A 68563-2021 FSC-klagomål.docx", "A 68563-2021")</f>
        <v/>
      </c>
      <c r="W28">
        <f>HYPERLINK("https://klasma.github.io/Logging_0821/klagomålsmail/A 68563-2021 FSC-klagomål mail.docx", "A 68563-2021")</f>
        <v/>
      </c>
      <c r="X28">
        <f>HYPERLINK("https://klasma.github.io/Logging_0821/tillsyn/A 68563-2021 tillsynsbegäran.docx", "A 68563-2021")</f>
        <v/>
      </c>
      <c r="Y28">
        <f>HYPERLINK("https://klasma.github.io/Logging_0821/tillsynsmail/A 68563-2021 tillsynsbegäran mail.docx", "A 68563-2021")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45475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32039-2023</t>
        </is>
      </c>
      <c r="B30" s="1" t="n">
        <v>45119</v>
      </c>
      <c r="C30" s="1" t="n">
        <v>45475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Lappuggla
Ekticka</t>
        </is>
      </c>
      <c r="S30">
        <f>HYPERLINK("https://klasma.github.io/Logging_0821/artfynd/A 32039-2023 artfynd.xlsx", "A 32039-2023")</f>
        <v/>
      </c>
      <c r="T30">
        <f>HYPERLINK("https://klasma.github.io/Logging_0821/kartor/A 32039-2023 karta.png", "A 32039-2023")</f>
        <v/>
      </c>
      <c r="V30">
        <f>HYPERLINK("https://klasma.github.io/Logging_0821/klagomål/A 32039-2023 FSC-klagomål.docx", "A 32039-2023")</f>
        <v/>
      </c>
      <c r="W30">
        <f>HYPERLINK("https://klasma.github.io/Logging_0821/klagomålsmail/A 32039-2023 FSC-klagomål mail.docx", "A 32039-2023")</f>
        <v/>
      </c>
      <c r="X30">
        <f>HYPERLINK("https://klasma.github.io/Logging_0821/tillsyn/A 32039-2023 tillsynsbegäran.docx", "A 32039-2023")</f>
        <v/>
      </c>
      <c r="Y30">
        <f>HYPERLINK("https://klasma.github.io/Logging_0821/tillsynsmail/A 32039-2023 tillsynsbegäran mail.docx", "A 32039-2023")</f>
        <v/>
      </c>
      <c r="Z30">
        <f>HYPERLINK("https://klasma.github.io/Logging_0821/fåglar/A 32039-2023 prioriterade fågelarter.docx", "A 32039-2023")</f>
        <v/>
      </c>
    </row>
    <row r="31" ht="15" customHeight="1">
      <c r="A31" t="inlineStr">
        <is>
          <t>A 41475-2023</t>
        </is>
      </c>
      <c r="B31" s="1" t="n">
        <v>45175</v>
      </c>
      <c r="C31" s="1" t="n">
        <v>45475</v>
      </c>
      <c r="D31" t="inlineStr">
        <is>
          <t>KALMAR LÄN</t>
        </is>
      </c>
      <c r="E31" t="inlineStr">
        <is>
          <t>HÖGSBY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Spindelört</t>
        </is>
      </c>
      <c r="S31">
        <f>HYPERLINK("https://klasma.github.io/Logging_0821/artfynd/A 41475-2023 artfynd.xlsx", "A 41475-2023")</f>
        <v/>
      </c>
      <c r="T31">
        <f>HYPERLINK("https://klasma.github.io/Logging_0821/kartor/A 41475-2023 karta.png", "A 41475-2023")</f>
        <v/>
      </c>
      <c r="V31">
        <f>HYPERLINK("https://klasma.github.io/Logging_0821/klagomål/A 41475-2023 FSC-klagomål.docx", "A 41475-2023")</f>
        <v/>
      </c>
      <c r="W31">
        <f>HYPERLINK("https://klasma.github.io/Logging_0821/klagomålsmail/A 41475-2023 FSC-klagomål mail.docx", "A 41475-2023")</f>
        <v/>
      </c>
      <c r="X31">
        <f>HYPERLINK("https://klasma.github.io/Logging_0821/tillsyn/A 41475-2023 tillsynsbegäran.docx", "A 41475-2023")</f>
        <v/>
      </c>
      <c r="Y31">
        <f>HYPERLINK("https://klasma.github.io/Logging_0821/tillsynsmail/A 41475-2023 tillsynsbegäran mail.docx", "A 41475-2023")</f>
        <v/>
      </c>
    </row>
    <row r="32" ht="15" customHeight="1">
      <c r="A32" t="inlineStr">
        <is>
          <t>A 42064-2023</t>
        </is>
      </c>
      <c r="B32" s="1" t="n">
        <v>45177</v>
      </c>
      <c r="C32" s="1" t="n">
        <v>45475</v>
      </c>
      <c r="D32" t="inlineStr">
        <is>
          <t>KALMAR LÄN</t>
        </is>
      </c>
      <c r="E32" t="inlineStr">
        <is>
          <t>HÖGSBY</t>
        </is>
      </c>
      <c r="G32" t="n">
        <v>1.1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Skarp dropptaggsvamp</t>
        </is>
      </c>
      <c r="S32">
        <f>HYPERLINK("https://klasma.github.io/Logging_0821/artfynd/A 42064-2023 artfynd.xlsx", "A 42064-2023")</f>
        <v/>
      </c>
      <c r="T32">
        <f>HYPERLINK("https://klasma.github.io/Logging_0821/kartor/A 42064-2023 karta.png", "A 42064-2023")</f>
        <v/>
      </c>
      <c r="V32">
        <f>HYPERLINK("https://klasma.github.io/Logging_0821/klagomål/A 42064-2023 FSC-klagomål.docx", "A 42064-2023")</f>
        <v/>
      </c>
      <c r="W32">
        <f>HYPERLINK("https://klasma.github.io/Logging_0821/klagomålsmail/A 42064-2023 FSC-klagomål mail.docx", "A 42064-2023")</f>
        <v/>
      </c>
      <c r="X32">
        <f>HYPERLINK("https://klasma.github.io/Logging_0821/tillsyn/A 42064-2023 tillsynsbegäran.docx", "A 42064-2023")</f>
        <v/>
      </c>
      <c r="Y32">
        <f>HYPERLINK("https://klasma.github.io/Logging_0821/tillsynsmail/A 42064-2023 tillsynsbegäran mail.docx", "A 42064-2023")</f>
        <v/>
      </c>
    </row>
    <row r="33" ht="15" customHeight="1">
      <c r="A33" t="inlineStr">
        <is>
          <t>A 42668-2023</t>
        </is>
      </c>
      <c r="B33" s="1" t="n">
        <v>45181</v>
      </c>
      <c r="C33" s="1" t="n">
        <v>45475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Bronshjon</t>
        </is>
      </c>
      <c r="S33">
        <f>HYPERLINK("https://klasma.github.io/Logging_0821/artfynd/A 42668-2023 artfynd.xlsx", "A 42668-2023")</f>
        <v/>
      </c>
      <c r="T33">
        <f>HYPERLINK("https://klasma.github.io/Logging_0821/kartor/A 42668-2023 karta.png", "A 42668-2023")</f>
        <v/>
      </c>
      <c r="V33">
        <f>HYPERLINK("https://klasma.github.io/Logging_0821/klagomål/A 42668-2023 FSC-klagomål.docx", "A 42668-2023")</f>
        <v/>
      </c>
      <c r="W33">
        <f>HYPERLINK("https://klasma.github.io/Logging_0821/klagomålsmail/A 42668-2023 FSC-klagomål mail.docx", "A 42668-2023")</f>
        <v/>
      </c>
      <c r="X33">
        <f>HYPERLINK("https://klasma.github.io/Logging_0821/tillsyn/A 42668-2023 tillsynsbegäran.docx", "A 42668-2023")</f>
        <v/>
      </c>
      <c r="Y33">
        <f>HYPERLINK("https://klasma.github.io/Logging_0821/tillsynsmail/A 42668-2023 tillsynsbegäran mail.docx", "A 42668-2023")</f>
        <v/>
      </c>
    </row>
    <row r="34" ht="15" customHeight="1">
      <c r="A34" t="inlineStr">
        <is>
          <t>A 62371-2023</t>
        </is>
      </c>
      <c r="B34" s="1" t="n">
        <v>45268</v>
      </c>
      <c r="C34" s="1" t="n">
        <v>45475</v>
      </c>
      <c r="D34" t="inlineStr">
        <is>
          <t>KALMAR LÄN</t>
        </is>
      </c>
      <c r="E34" t="inlineStr">
        <is>
          <t>HÖGSBY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HYPERLINK("https://klasma.github.io/Logging_0821/artfynd/A 62371-2023 artfynd.xlsx", "A 62371-2023")</f>
        <v/>
      </c>
      <c r="T34">
        <f>HYPERLINK("https://klasma.github.io/Logging_0821/kartor/A 62371-2023 karta.png", "A 62371-2023")</f>
        <v/>
      </c>
      <c r="U34">
        <f>HYPERLINK("https://klasma.github.io/Logging_0821/knärot/A 62371-2023 karta knärot.png", "A 62371-2023")</f>
        <v/>
      </c>
      <c r="V34">
        <f>HYPERLINK("https://klasma.github.io/Logging_0821/klagomål/A 62371-2023 FSC-klagomål.docx", "A 62371-2023")</f>
        <v/>
      </c>
      <c r="W34">
        <f>HYPERLINK("https://klasma.github.io/Logging_0821/klagomålsmail/A 62371-2023 FSC-klagomål mail.docx", "A 62371-2023")</f>
        <v/>
      </c>
      <c r="X34">
        <f>HYPERLINK("https://klasma.github.io/Logging_0821/tillsyn/A 62371-2023 tillsynsbegäran.docx", "A 62371-2023")</f>
        <v/>
      </c>
      <c r="Y34">
        <f>HYPERLINK("https://klasma.github.io/Logging_0821/tillsynsmail/A 62371-2023 tillsynsbegäran mail.docx", "A 62371-2023")</f>
        <v/>
      </c>
      <c r="Z34">
        <f>HYPERLINK("https://klasma.github.io/Logging_0821/fåglar/A 62371-2023 prioriterade fågelarter.docx", "A 62371-2023")</f>
        <v/>
      </c>
    </row>
    <row r="35" ht="15" customHeight="1">
      <c r="A35" t="inlineStr">
        <is>
          <t>A 7410-2024</t>
        </is>
      </c>
      <c r="B35" s="1" t="n">
        <v>45345</v>
      </c>
      <c r="C35" s="1" t="n">
        <v>45475</v>
      </c>
      <c r="D35" t="inlineStr">
        <is>
          <t>KALMAR LÄN</t>
        </is>
      </c>
      <c r="E35" t="inlineStr">
        <is>
          <t>HÖGSBY</t>
        </is>
      </c>
      <c r="G35" t="n">
        <v>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HYPERLINK("https://klasma.github.io/Logging_0821/artfynd/A 7410-2024 artfynd.xlsx", "A 7410-2024")</f>
        <v/>
      </c>
      <c r="T35">
        <f>HYPERLINK("https://klasma.github.io/Logging_0821/kartor/A 7410-2024 karta.png", "A 7410-2024")</f>
        <v/>
      </c>
      <c r="U35">
        <f>HYPERLINK("https://klasma.github.io/Logging_0821/knärot/A 7410-2024 karta knärot.png", "A 7410-2024")</f>
        <v/>
      </c>
      <c r="V35">
        <f>HYPERLINK("https://klasma.github.io/Logging_0821/klagomål/A 7410-2024 FSC-klagomål.docx", "A 7410-2024")</f>
        <v/>
      </c>
      <c r="W35">
        <f>HYPERLINK("https://klasma.github.io/Logging_0821/klagomålsmail/A 7410-2024 FSC-klagomål mail.docx", "A 7410-2024")</f>
        <v/>
      </c>
      <c r="X35">
        <f>HYPERLINK("https://klasma.github.io/Logging_0821/tillsyn/A 7410-2024 tillsynsbegäran.docx", "A 7410-2024")</f>
        <v/>
      </c>
      <c r="Y35">
        <f>HYPERLINK("https://klasma.github.io/Logging_0821/tillsynsmail/A 7410-2024 tillsynsbegäran mail.docx", "A 7410-2024")</f>
        <v/>
      </c>
    </row>
    <row r="36" ht="15" customHeight="1">
      <c r="A36" t="inlineStr">
        <is>
          <t>A 21100-2019</t>
        </is>
      </c>
      <c r="B36" s="1" t="n">
        <v>43578</v>
      </c>
      <c r="C36" s="1" t="n">
        <v>45475</v>
      </c>
      <c r="D36" t="inlineStr">
        <is>
          <t>KALMAR LÄN</t>
        </is>
      </c>
      <c r="E36" t="inlineStr">
        <is>
          <t>HÖGSBY</t>
        </is>
      </c>
      <c r="G36" t="n">
        <v>7.3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21100-2019 artfynd.xlsx", "A 21100-2019")</f>
        <v/>
      </c>
      <c r="T36">
        <f>HYPERLINK("https://klasma.github.io/Logging_0821/kartor/A 21100-2019 karta.png", "A 21100-2019")</f>
        <v/>
      </c>
      <c r="V36">
        <f>HYPERLINK("https://klasma.github.io/Logging_0821/klagomål/A 21100-2019 FSC-klagomål.docx", "A 21100-2019")</f>
        <v/>
      </c>
      <c r="W36">
        <f>HYPERLINK("https://klasma.github.io/Logging_0821/klagomålsmail/A 21100-2019 FSC-klagomål mail.docx", "A 21100-2019")</f>
        <v/>
      </c>
      <c r="X36">
        <f>HYPERLINK("https://klasma.github.io/Logging_0821/tillsyn/A 21100-2019 tillsynsbegäran.docx", "A 21100-2019")</f>
        <v/>
      </c>
      <c r="Y36">
        <f>HYPERLINK("https://klasma.github.io/Logging_0821/tillsynsmail/A 21100-2019 tillsynsbegäran mail.docx", "A 21100-2019")</f>
        <v/>
      </c>
    </row>
    <row r="37" ht="15" customHeight="1">
      <c r="A37" t="inlineStr">
        <is>
          <t>A 25190-2019</t>
        </is>
      </c>
      <c r="B37" s="1" t="n">
        <v>43605</v>
      </c>
      <c r="C37" s="1" t="n">
        <v>45475</v>
      </c>
      <c r="D37" t="inlineStr">
        <is>
          <t>KALMAR LÄN</t>
        </is>
      </c>
      <c r="E37" t="inlineStr">
        <is>
          <t>HÖGSBY</t>
        </is>
      </c>
      <c r="G37" t="n">
        <v>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HYPERLINK("https://klasma.github.io/Logging_0821/artfynd/A 25190-2019 artfynd.xlsx", "A 25190-2019")</f>
        <v/>
      </c>
      <c r="T37">
        <f>HYPERLINK("https://klasma.github.io/Logging_0821/kartor/A 25190-2019 karta.png", "A 25190-2019")</f>
        <v/>
      </c>
      <c r="U37">
        <f>HYPERLINK("https://klasma.github.io/Logging_0821/knärot/A 25190-2019 karta knärot.png", "A 25190-2019")</f>
        <v/>
      </c>
      <c r="V37">
        <f>HYPERLINK("https://klasma.github.io/Logging_0821/klagomål/A 25190-2019 FSC-klagomål.docx", "A 25190-2019")</f>
        <v/>
      </c>
      <c r="W37">
        <f>HYPERLINK("https://klasma.github.io/Logging_0821/klagomålsmail/A 25190-2019 FSC-klagomål mail.docx", "A 25190-2019")</f>
        <v/>
      </c>
      <c r="X37">
        <f>HYPERLINK("https://klasma.github.io/Logging_0821/tillsyn/A 25190-2019 tillsynsbegäran.docx", "A 25190-2019")</f>
        <v/>
      </c>
      <c r="Y37">
        <f>HYPERLINK("https://klasma.github.io/Logging_0821/tillsynsmail/A 25190-2019 tillsynsbegäran mail.docx", "A 25190-2019")</f>
        <v/>
      </c>
    </row>
    <row r="38" ht="15" customHeight="1">
      <c r="A38" t="inlineStr">
        <is>
          <t>A 26448-2019</t>
        </is>
      </c>
      <c r="B38" s="1" t="n">
        <v>43612</v>
      </c>
      <c r="C38" s="1" t="n">
        <v>45475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Mosippa</t>
        </is>
      </c>
      <c r="S38">
        <f>HYPERLINK("https://klasma.github.io/Logging_0821/artfynd/A 26448-2019 artfynd.xlsx", "A 26448-2019")</f>
        <v/>
      </c>
      <c r="T38">
        <f>HYPERLINK("https://klasma.github.io/Logging_0821/kartor/A 26448-2019 karta.png", "A 26448-2019")</f>
        <v/>
      </c>
      <c r="V38">
        <f>HYPERLINK("https://klasma.github.io/Logging_0821/klagomål/A 26448-2019 FSC-klagomål.docx", "A 26448-2019")</f>
        <v/>
      </c>
      <c r="W38">
        <f>HYPERLINK("https://klasma.github.io/Logging_0821/klagomålsmail/A 26448-2019 FSC-klagomål mail.docx", "A 26448-2019")</f>
        <v/>
      </c>
      <c r="X38">
        <f>HYPERLINK("https://klasma.github.io/Logging_0821/tillsyn/A 26448-2019 tillsynsbegäran.docx", "A 26448-2019")</f>
        <v/>
      </c>
      <c r="Y38">
        <f>HYPERLINK("https://klasma.github.io/Logging_0821/tillsynsmail/A 26448-2019 tillsynsbegäran mail.docx", "A 26448-2019")</f>
        <v/>
      </c>
    </row>
    <row r="39" ht="15" customHeight="1">
      <c r="A39" t="inlineStr">
        <is>
          <t>A 38893-2019</t>
        </is>
      </c>
      <c r="B39" s="1" t="n">
        <v>43686</v>
      </c>
      <c r="C39" s="1" t="n">
        <v>45475</v>
      </c>
      <c r="D39" t="inlineStr">
        <is>
          <t>KALMAR LÄN</t>
        </is>
      </c>
      <c r="E39" t="inlineStr">
        <is>
          <t>HÖGSBY</t>
        </is>
      </c>
      <c r="G39" t="n">
        <v>8.699999999999999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Bergjohannesört</t>
        </is>
      </c>
      <c r="S39">
        <f>HYPERLINK("https://klasma.github.io/Logging_0821/artfynd/A 38893-2019 artfynd.xlsx", "A 38893-2019")</f>
        <v/>
      </c>
      <c r="T39">
        <f>HYPERLINK("https://klasma.github.io/Logging_0821/kartor/A 38893-2019 karta.png", "A 38893-2019")</f>
        <v/>
      </c>
      <c r="V39">
        <f>HYPERLINK("https://klasma.github.io/Logging_0821/klagomål/A 38893-2019 FSC-klagomål.docx", "A 38893-2019")</f>
        <v/>
      </c>
      <c r="W39">
        <f>HYPERLINK("https://klasma.github.io/Logging_0821/klagomålsmail/A 38893-2019 FSC-klagomål mail.docx", "A 38893-2019")</f>
        <v/>
      </c>
      <c r="X39">
        <f>HYPERLINK("https://klasma.github.io/Logging_0821/tillsyn/A 38893-2019 tillsynsbegäran.docx", "A 38893-2019")</f>
        <v/>
      </c>
      <c r="Y39">
        <f>HYPERLINK("https://klasma.github.io/Logging_0821/tillsynsmail/A 38893-2019 tillsynsbegäran mail.docx", "A 38893-2019")</f>
        <v/>
      </c>
    </row>
    <row r="40" ht="15" customHeight="1">
      <c r="A40" t="inlineStr">
        <is>
          <t>A 39421-2019</t>
        </is>
      </c>
      <c r="B40" s="1" t="n">
        <v>43690</v>
      </c>
      <c r="C40" s="1" t="n">
        <v>45475</v>
      </c>
      <c r="D40" t="inlineStr">
        <is>
          <t>KALMAR LÄN</t>
        </is>
      </c>
      <c r="E40" t="inlineStr">
        <is>
          <t>HÖGSBY</t>
        </is>
      </c>
      <c r="G40" t="n">
        <v>10.7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Sandviol</t>
        </is>
      </c>
      <c r="S40">
        <f>HYPERLINK("https://klasma.github.io/Logging_0821/artfynd/A 39421-2019 artfynd.xlsx", "A 39421-2019")</f>
        <v/>
      </c>
      <c r="T40">
        <f>HYPERLINK("https://klasma.github.io/Logging_0821/kartor/A 39421-2019 karta.png", "A 39421-2019")</f>
        <v/>
      </c>
      <c r="V40">
        <f>HYPERLINK("https://klasma.github.io/Logging_0821/klagomål/A 39421-2019 FSC-klagomål.docx", "A 39421-2019")</f>
        <v/>
      </c>
      <c r="W40">
        <f>HYPERLINK("https://klasma.github.io/Logging_0821/klagomålsmail/A 39421-2019 FSC-klagomål mail.docx", "A 39421-2019")</f>
        <v/>
      </c>
      <c r="X40">
        <f>HYPERLINK("https://klasma.github.io/Logging_0821/tillsyn/A 39421-2019 tillsynsbegäran.docx", "A 39421-2019")</f>
        <v/>
      </c>
      <c r="Y40">
        <f>HYPERLINK("https://klasma.github.io/Logging_0821/tillsynsmail/A 39421-2019 tillsynsbegäran mail.docx", "A 39421-2019")</f>
        <v/>
      </c>
    </row>
    <row r="41" ht="15" customHeight="1">
      <c r="A41" t="inlineStr">
        <is>
          <t>A 50457-2019</t>
        </is>
      </c>
      <c r="B41" s="1" t="n">
        <v>43735</v>
      </c>
      <c r="C41" s="1" t="n">
        <v>45475</v>
      </c>
      <c r="D41" t="inlineStr">
        <is>
          <t>KALMAR LÄN</t>
        </is>
      </c>
      <c r="E41" t="inlineStr">
        <is>
          <t>HÖGSBY</t>
        </is>
      </c>
      <c r="G41" t="n">
        <v>11.9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50457-2019 artfynd.xlsx", "A 50457-2019")</f>
        <v/>
      </c>
      <c r="T41">
        <f>HYPERLINK("https://klasma.github.io/Logging_0821/kartor/A 50457-2019 karta.png", "A 50457-2019")</f>
        <v/>
      </c>
      <c r="U41">
        <f>HYPERLINK("https://klasma.github.io/Logging_0821/knärot/A 50457-2019 karta knärot.png", "A 50457-2019")</f>
        <v/>
      </c>
      <c r="V41">
        <f>HYPERLINK("https://klasma.github.io/Logging_0821/klagomål/A 50457-2019 FSC-klagomål.docx", "A 50457-2019")</f>
        <v/>
      </c>
      <c r="W41">
        <f>HYPERLINK("https://klasma.github.io/Logging_0821/klagomålsmail/A 50457-2019 FSC-klagomål mail.docx", "A 50457-2019")</f>
        <v/>
      </c>
      <c r="X41">
        <f>HYPERLINK("https://klasma.github.io/Logging_0821/tillsyn/A 50457-2019 tillsynsbegäran.docx", "A 50457-2019")</f>
        <v/>
      </c>
      <c r="Y41">
        <f>HYPERLINK("https://klasma.github.io/Logging_0821/tillsynsmail/A 50457-2019 tillsynsbegäran mail.docx", "A 50457-2019")</f>
        <v/>
      </c>
    </row>
    <row r="42" ht="15" customHeight="1">
      <c r="A42" t="inlineStr">
        <is>
          <t>A 57390-2019</t>
        </is>
      </c>
      <c r="B42" s="1" t="n">
        <v>43767</v>
      </c>
      <c r="C42" s="1" t="n">
        <v>45475</v>
      </c>
      <c r="D42" t="inlineStr">
        <is>
          <t>KALMAR LÄN</t>
        </is>
      </c>
      <c r="E42" t="inlineStr">
        <is>
          <t>HÖGSBY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HYPERLINK("https://klasma.github.io/Logging_0821/artfynd/A 57390-2019 artfynd.xlsx", "A 57390-2019")</f>
        <v/>
      </c>
      <c r="T42">
        <f>HYPERLINK("https://klasma.github.io/Logging_0821/kartor/A 57390-2019 karta.png", "A 57390-2019")</f>
        <v/>
      </c>
      <c r="V42">
        <f>HYPERLINK("https://klasma.github.io/Logging_0821/klagomål/A 57390-2019 FSC-klagomål.docx", "A 57390-2019")</f>
        <v/>
      </c>
      <c r="W42">
        <f>HYPERLINK("https://klasma.github.io/Logging_0821/klagomålsmail/A 57390-2019 FSC-klagomål mail.docx", "A 57390-2019")</f>
        <v/>
      </c>
      <c r="X42">
        <f>HYPERLINK("https://klasma.github.io/Logging_0821/tillsyn/A 57390-2019 tillsynsbegäran.docx", "A 57390-2019")</f>
        <v/>
      </c>
      <c r="Y42">
        <f>HYPERLINK("https://klasma.github.io/Logging_0821/tillsynsmail/A 57390-2019 tillsynsbegäran mail.docx", "A 57390-2019")</f>
        <v/>
      </c>
    </row>
    <row r="43" ht="15" customHeight="1">
      <c r="A43" t="inlineStr">
        <is>
          <t>A 63075-2019</t>
        </is>
      </c>
      <c r="B43" s="1" t="n">
        <v>43790</v>
      </c>
      <c r="C43" s="1" t="n">
        <v>45475</v>
      </c>
      <c r="D43" t="inlineStr">
        <is>
          <t>KALMAR LÄN</t>
        </is>
      </c>
      <c r="E43" t="inlineStr">
        <is>
          <t>HÖGSBY</t>
        </is>
      </c>
      <c r="G43" t="n">
        <v>11.8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HYPERLINK("https://klasma.github.io/Logging_0821/artfynd/A 63075-2019 artfynd.xlsx", "A 63075-2019")</f>
        <v/>
      </c>
      <c r="T43">
        <f>HYPERLINK("https://klasma.github.io/Logging_0821/kartor/A 63075-2019 karta.png", "A 63075-2019")</f>
        <v/>
      </c>
      <c r="V43">
        <f>HYPERLINK("https://klasma.github.io/Logging_0821/klagomål/A 63075-2019 FSC-klagomål.docx", "A 63075-2019")</f>
        <v/>
      </c>
      <c r="W43">
        <f>HYPERLINK("https://klasma.github.io/Logging_0821/klagomålsmail/A 63075-2019 FSC-klagomål mail.docx", "A 63075-2019")</f>
        <v/>
      </c>
      <c r="X43">
        <f>HYPERLINK("https://klasma.github.io/Logging_0821/tillsyn/A 63075-2019 tillsynsbegäran.docx", "A 63075-2019")</f>
        <v/>
      </c>
      <c r="Y43">
        <f>HYPERLINK("https://klasma.github.io/Logging_0821/tillsynsmail/A 63075-2019 tillsynsbegäran mail.docx", "A 63075-2019")</f>
        <v/>
      </c>
    </row>
    <row r="44" ht="15" customHeight="1">
      <c r="A44" t="inlineStr">
        <is>
          <t>A 44078-2020</t>
        </is>
      </c>
      <c r="B44" s="1" t="n">
        <v>44083</v>
      </c>
      <c r="C44" s="1" t="n">
        <v>45475</v>
      </c>
      <c r="D44" t="inlineStr">
        <is>
          <t>KALMAR LÄN</t>
        </is>
      </c>
      <c r="E44" t="inlineStr">
        <is>
          <t>HÖGSBY</t>
        </is>
      </c>
      <c r="G44" t="n">
        <v>28.3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44078-2020 artfynd.xlsx", "A 44078-2020")</f>
        <v/>
      </c>
      <c r="T44">
        <f>HYPERLINK("https://klasma.github.io/Logging_0821/kartor/A 44078-2020 karta.png", "A 44078-2020")</f>
        <v/>
      </c>
      <c r="V44">
        <f>HYPERLINK("https://klasma.github.io/Logging_0821/klagomål/A 44078-2020 FSC-klagomål.docx", "A 44078-2020")</f>
        <v/>
      </c>
      <c r="W44">
        <f>HYPERLINK("https://klasma.github.io/Logging_0821/klagomålsmail/A 44078-2020 FSC-klagomål mail.docx", "A 44078-2020")</f>
        <v/>
      </c>
      <c r="X44">
        <f>HYPERLINK("https://klasma.github.io/Logging_0821/tillsyn/A 44078-2020 tillsynsbegäran.docx", "A 44078-2020")</f>
        <v/>
      </c>
      <c r="Y44">
        <f>HYPERLINK("https://klasma.github.io/Logging_0821/tillsynsmail/A 44078-2020 tillsynsbegäran mail.docx", "A 44078-2020")</f>
        <v/>
      </c>
    </row>
    <row r="45" ht="15" customHeight="1">
      <c r="A45" t="inlineStr">
        <is>
          <t>A 3518-2021</t>
        </is>
      </c>
      <c r="B45" s="1" t="n">
        <v>44216</v>
      </c>
      <c r="C45" s="1" t="n">
        <v>45475</v>
      </c>
      <c r="D45" t="inlineStr">
        <is>
          <t>KALMAR LÄN</t>
        </is>
      </c>
      <c r="E45" t="inlineStr">
        <is>
          <t>HÖGSBY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HYPERLINK("https://klasma.github.io/Logging_0821/artfynd/A 3518-2021 artfynd.xlsx", "A 3518-2021")</f>
        <v/>
      </c>
      <c r="T45">
        <f>HYPERLINK("https://klasma.github.io/Logging_0821/kartor/A 3518-2021 karta.png", "A 3518-2021")</f>
        <v/>
      </c>
      <c r="V45">
        <f>HYPERLINK("https://klasma.github.io/Logging_0821/klagomål/A 3518-2021 FSC-klagomål.docx", "A 3518-2021")</f>
        <v/>
      </c>
      <c r="W45">
        <f>HYPERLINK("https://klasma.github.io/Logging_0821/klagomålsmail/A 3518-2021 FSC-klagomål mail.docx", "A 3518-2021")</f>
        <v/>
      </c>
      <c r="X45">
        <f>HYPERLINK("https://klasma.github.io/Logging_0821/tillsyn/A 3518-2021 tillsynsbegäran.docx", "A 3518-2021")</f>
        <v/>
      </c>
      <c r="Y45">
        <f>HYPERLINK("https://klasma.github.io/Logging_0821/tillsynsmail/A 3518-2021 tillsynsbegäran mail.docx", "A 3518-2021")</f>
        <v/>
      </c>
    </row>
    <row r="46" ht="15" customHeight="1">
      <c r="A46" t="inlineStr">
        <is>
          <t>A 10947-2021</t>
        </is>
      </c>
      <c r="B46" s="1" t="n">
        <v>44260</v>
      </c>
      <c r="C46" s="1" t="n">
        <v>45475</v>
      </c>
      <c r="D46" t="inlineStr">
        <is>
          <t>KALMAR LÄN</t>
        </is>
      </c>
      <c r="E46" t="inlineStr">
        <is>
          <t>HÖGSBY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10947-2021 artfynd.xlsx", "A 10947-2021")</f>
        <v/>
      </c>
      <c r="T46">
        <f>HYPERLINK("https://klasma.github.io/Logging_0821/kartor/A 10947-2021 karta.png", "A 10947-2021")</f>
        <v/>
      </c>
      <c r="V46">
        <f>HYPERLINK("https://klasma.github.io/Logging_0821/klagomål/A 10947-2021 FSC-klagomål.docx", "A 10947-2021")</f>
        <v/>
      </c>
      <c r="W46">
        <f>HYPERLINK("https://klasma.github.io/Logging_0821/klagomålsmail/A 10947-2021 FSC-klagomål mail.docx", "A 10947-2021")</f>
        <v/>
      </c>
      <c r="X46">
        <f>HYPERLINK("https://klasma.github.io/Logging_0821/tillsyn/A 10947-2021 tillsynsbegäran.docx", "A 10947-2021")</f>
        <v/>
      </c>
      <c r="Y46">
        <f>HYPERLINK("https://klasma.github.io/Logging_0821/tillsynsmail/A 10947-2021 tillsynsbegäran mail.docx", "A 10947-2021")</f>
        <v/>
      </c>
    </row>
    <row r="47" ht="15" customHeight="1">
      <c r="A47" t="inlineStr">
        <is>
          <t>A 25131-2021</t>
        </is>
      </c>
      <c r="B47" s="1" t="n">
        <v>44341</v>
      </c>
      <c r="C47" s="1" t="n">
        <v>45475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HYPERLINK("https://klasma.github.io/Logging_0821/artfynd/A 25131-2021 artfynd.xlsx", "A 25131-2021")</f>
        <v/>
      </c>
      <c r="T47">
        <f>HYPERLINK("https://klasma.github.io/Logging_0821/kartor/A 25131-2021 karta.png", "A 25131-2021")</f>
        <v/>
      </c>
      <c r="V47">
        <f>HYPERLINK("https://klasma.github.io/Logging_0821/klagomål/A 25131-2021 FSC-klagomål.docx", "A 25131-2021")</f>
        <v/>
      </c>
      <c r="W47">
        <f>HYPERLINK("https://klasma.github.io/Logging_0821/klagomålsmail/A 25131-2021 FSC-klagomål mail.docx", "A 25131-2021")</f>
        <v/>
      </c>
      <c r="X47">
        <f>HYPERLINK("https://klasma.github.io/Logging_0821/tillsyn/A 25131-2021 tillsynsbegäran.docx", "A 25131-2021")</f>
        <v/>
      </c>
      <c r="Y47">
        <f>HYPERLINK("https://klasma.github.io/Logging_0821/tillsynsmail/A 25131-2021 tillsynsbegäran mail.docx", "A 25131-2021")</f>
        <v/>
      </c>
    </row>
    <row r="48" ht="15" customHeight="1">
      <c r="A48" t="inlineStr">
        <is>
          <t>A 1519-2022</t>
        </is>
      </c>
      <c r="B48" s="1" t="n">
        <v>44573</v>
      </c>
      <c r="C48" s="1" t="n">
        <v>45475</v>
      </c>
      <c r="D48" t="inlineStr">
        <is>
          <t>KALMAR LÄN</t>
        </is>
      </c>
      <c r="E48" t="inlineStr">
        <is>
          <t>HÖGSBY</t>
        </is>
      </c>
      <c r="G48" t="n">
        <v>2.6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HYPERLINK("https://klasma.github.io/Logging_0821/artfynd/A 1519-2022 artfynd.xlsx", "A 1519-2022")</f>
        <v/>
      </c>
      <c r="T48">
        <f>HYPERLINK("https://klasma.github.io/Logging_0821/kartor/A 1519-2022 karta.png", "A 1519-2022")</f>
        <v/>
      </c>
      <c r="V48">
        <f>HYPERLINK("https://klasma.github.io/Logging_0821/klagomål/A 1519-2022 FSC-klagomål.docx", "A 1519-2022")</f>
        <v/>
      </c>
      <c r="W48">
        <f>HYPERLINK("https://klasma.github.io/Logging_0821/klagomålsmail/A 1519-2022 FSC-klagomål mail.docx", "A 1519-2022")</f>
        <v/>
      </c>
      <c r="X48">
        <f>HYPERLINK("https://klasma.github.io/Logging_0821/tillsyn/A 1519-2022 tillsynsbegäran.docx", "A 1519-2022")</f>
        <v/>
      </c>
      <c r="Y48">
        <f>HYPERLINK("https://klasma.github.io/Logging_0821/tillsynsmail/A 1519-2022 tillsynsbegäran mail.docx", "A 1519-2022")</f>
        <v/>
      </c>
    </row>
    <row r="49" ht="15" customHeight="1">
      <c r="A49" t="inlineStr">
        <is>
          <t>A 7032-2022</t>
        </is>
      </c>
      <c r="B49" s="1" t="n">
        <v>44603</v>
      </c>
      <c r="C49" s="1" t="n">
        <v>45475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HYPERLINK("https://klasma.github.io/Logging_0821/artfynd/A 7032-2022 artfynd.xlsx", "A 7032-2022")</f>
        <v/>
      </c>
      <c r="T49">
        <f>HYPERLINK("https://klasma.github.io/Logging_0821/kartor/A 7032-2022 karta.png", "A 7032-2022")</f>
        <v/>
      </c>
      <c r="V49">
        <f>HYPERLINK("https://klasma.github.io/Logging_0821/klagomål/A 7032-2022 FSC-klagomål.docx", "A 7032-2022")</f>
        <v/>
      </c>
      <c r="W49">
        <f>HYPERLINK("https://klasma.github.io/Logging_0821/klagomålsmail/A 7032-2022 FSC-klagomål mail.docx", "A 7032-2022")</f>
        <v/>
      </c>
      <c r="X49">
        <f>HYPERLINK("https://klasma.github.io/Logging_0821/tillsyn/A 7032-2022 tillsynsbegäran.docx", "A 7032-2022")</f>
        <v/>
      </c>
      <c r="Y49">
        <f>HYPERLINK("https://klasma.github.io/Logging_0821/tillsynsmail/A 7032-2022 tillsynsbegäran mail.docx", "A 7032-2022")</f>
        <v/>
      </c>
    </row>
    <row r="50" ht="15" customHeight="1">
      <c r="A50" t="inlineStr">
        <is>
          <t>A 10989-2022</t>
        </is>
      </c>
      <c r="B50" s="1" t="n">
        <v>44628</v>
      </c>
      <c r="C50" s="1" t="n">
        <v>45475</v>
      </c>
      <c r="D50" t="inlineStr">
        <is>
          <t>KALMAR LÄN</t>
        </is>
      </c>
      <c r="E50" t="inlineStr">
        <is>
          <t>HÖGSBY</t>
        </is>
      </c>
      <c r="F50" t="inlineStr">
        <is>
          <t>Kyrkan</t>
        </is>
      </c>
      <c r="G50" t="n">
        <v>6.8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HYPERLINK("https://klasma.github.io/Logging_0821/artfynd/A 10989-2022 artfynd.xlsx", "A 10989-2022")</f>
        <v/>
      </c>
      <c r="T50">
        <f>HYPERLINK("https://klasma.github.io/Logging_0821/kartor/A 10989-2022 karta.png", "A 10989-2022")</f>
        <v/>
      </c>
      <c r="V50">
        <f>HYPERLINK("https://klasma.github.io/Logging_0821/klagomål/A 10989-2022 FSC-klagomål.docx", "A 10989-2022")</f>
        <v/>
      </c>
      <c r="W50">
        <f>HYPERLINK("https://klasma.github.io/Logging_0821/klagomålsmail/A 10989-2022 FSC-klagomål mail.docx", "A 10989-2022")</f>
        <v/>
      </c>
      <c r="X50">
        <f>HYPERLINK("https://klasma.github.io/Logging_0821/tillsyn/A 10989-2022 tillsynsbegäran.docx", "A 10989-2022")</f>
        <v/>
      </c>
      <c r="Y50">
        <f>HYPERLINK("https://klasma.github.io/Logging_0821/tillsynsmail/A 10989-2022 tillsynsbegäran mail.docx", "A 10989-2022")</f>
        <v/>
      </c>
    </row>
    <row r="51" ht="15" customHeight="1">
      <c r="A51" t="inlineStr">
        <is>
          <t>A 11995-2022</t>
        </is>
      </c>
      <c r="B51" s="1" t="n">
        <v>44635</v>
      </c>
      <c r="C51" s="1" t="n">
        <v>45475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11995-2022 artfynd.xlsx", "A 11995-2022")</f>
        <v/>
      </c>
      <c r="T51">
        <f>HYPERLINK("https://klasma.github.io/Logging_0821/kartor/A 11995-2022 karta.png", "A 11995-2022")</f>
        <v/>
      </c>
      <c r="V51">
        <f>HYPERLINK("https://klasma.github.io/Logging_0821/klagomål/A 11995-2022 FSC-klagomål.docx", "A 11995-2022")</f>
        <v/>
      </c>
      <c r="W51">
        <f>HYPERLINK("https://klasma.github.io/Logging_0821/klagomålsmail/A 11995-2022 FSC-klagomål mail.docx", "A 11995-2022")</f>
        <v/>
      </c>
      <c r="X51">
        <f>HYPERLINK("https://klasma.github.io/Logging_0821/tillsyn/A 11995-2022 tillsynsbegäran.docx", "A 11995-2022")</f>
        <v/>
      </c>
      <c r="Y51">
        <f>HYPERLINK("https://klasma.github.io/Logging_0821/tillsynsmail/A 11995-2022 tillsynsbegäran mail.docx", "A 11995-2022")</f>
        <v/>
      </c>
    </row>
    <row r="52" ht="15" customHeight="1">
      <c r="A52" t="inlineStr">
        <is>
          <t>A 48263-2022</t>
        </is>
      </c>
      <c r="B52" s="1" t="n">
        <v>44853</v>
      </c>
      <c r="C52" s="1" t="n">
        <v>45475</v>
      </c>
      <c r="D52" t="inlineStr">
        <is>
          <t>KALMAR LÄN</t>
        </is>
      </c>
      <c r="E52" t="inlineStr">
        <is>
          <t>HÖGSBY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HYPERLINK("https://klasma.github.io/Logging_0821/artfynd/A 48263-2022 artfynd.xlsx", "A 48263-2022")</f>
        <v/>
      </c>
      <c r="T52">
        <f>HYPERLINK("https://klasma.github.io/Logging_0821/kartor/A 48263-2022 karta.png", "A 48263-2022")</f>
        <v/>
      </c>
      <c r="V52">
        <f>HYPERLINK("https://klasma.github.io/Logging_0821/klagomål/A 48263-2022 FSC-klagomål.docx", "A 48263-2022")</f>
        <v/>
      </c>
      <c r="W52">
        <f>HYPERLINK("https://klasma.github.io/Logging_0821/klagomålsmail/A 48263-2022 FSC-klagomål mail.docx", "A 48263-2022")</f>
        <v/>
      </c>
      <c r="X52">
        <f>HYPERLINK("https://klasma.github.io/Logging_0821/tillsyn/A 48263-2022 tillsynsbegäran.docx", "A 48263-2022")</f>
        <v/>
      </c>
      <c r="Y52">
        <f>HYPERLINK("https://klasma.github.io/Logging_0821/tillsynsmail/A 48263-2022 tillsynsbegäran mail.docx", "A 48263-2022")</f>
        <v/>
      </c>
      <c r="Z52">
        <f>HYPERLINK("https://klasma.github.io/Logging_0821/fåglar/A 48263-2022 prioriterade fågelarter.docx", "A 48263-2022")</f>
        <v/>
      </c>
    </row>
    <row r="53" ht="15" customHeight="1">
      <c r="A53" t="inlineStr">
        <is>
          <t>A 59407-2022</t>
        </is>
      </c>
      <c r="B53" s="1" t="n">
        <v>44907</v>
      </c>
      <c r="C53" s="1" t="n">
        <v>45475</v>
      </c>
      <c r="D53" t="inlineStr">
        <is>
          <t>KALMAR LÄN</t>
        </is>
      </c>
      <c r="E53" t="inlineStr">
        <is>
          <t>HÖGSBY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59407-2022 artfynd.xlsx", "A 59407-2022")</f>
        <v/>
      </c>
      <c r="T53">
        <f>HYPERLINK("https://klasma.github.io/Logging_0821/kartor/A 59407-2022 karta.png", "A 59407-2022")</f>
        <v/>
      </c>
      <c r="V53">
        <f>HYPERLINK("https://klasma.github.io/Logging_0821/klagomål/A 59407-2022 FSC-klagomål.docx", "A 59407-2022")</f>
        <v/>
      </c>
      <c r="W53">
        <f>HYPERLINK("https://klasma.github.io/Logging_0821/klagomålsmail/A 59407-2022 FSC-klagomål mail.docx", "A 59407-2022")</f>
        <v/>
      </c>
      <c r="X53">
        <f>HYPERLINK("https://klasma.github.io/Logging_0821/tillsyn/A 59407-2022 tillsynsbegäran.docx", "A 59407-2022")</f>
        <v/>
      </c>
      <c r="Y53">
        <f>HYPERLINK("https://klasma.github.io/Logging_0821/tillsynsmail/A 59407-2022 tillsynsbegäran mail.docx", "A 59407-2022")</f>
        <v/>
      </c>
    </row>
    <row r="54" ht="15" customHeight="1">
      <c r="A54" t="inlineStr">
        <is>
          <t>A 9565-2023</t>
        </is>
      </c>
      <c r="B54" s="1" t="n">
        <v>44982</v>
      </c>
      <c r="C54" s="1" t="n">
        <v>45475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Thamiaraea hospita</t>
        </is>
      </c>
      <c r="S54">
        <f>HYPERLINK("https://klasma.github.io/Logging_0821/artfynd/A 9565-2023 artfynd.xlsx", "A 9565-2023")</f>
        <v/>
      </c>
      <c r="T54">
        <f>HYPERLINK("https://klasma.github.io/Logging_0821/kartor/A 9565-2023 karta.png", "A 9565-2023")</f>
        <v/>
      </c>
      <c r="V54">
        <f>HYPERLINK("https://klasma.github.io/Logging_0821/klagomål/A 9565-2023 FSC-klagomål.docx", "A 9565-2023")</f>
        <v/>
      </c>
      <c r="W54">
        <f>HYPERLINK("https://klasma.github.io/Logging_0821/klagomålsmail/A 9565-2023 FSC-klagomål mail.docx", "A 9565-2023")</f>
        <v/>
      </c>
      <c r="X54">
        <f>HYPERLINK("https://klasma.github.io/Logging_0821/tillsyn/A 9565-2023 tillsynsbegäran.docx", "A 9565-2023")</f>
        <v/>
      </c>
      <c r="Y54">
        <f>HYPERLINK("https://klasma.github.io/Logging_0821/tillsynsmail/A 9565-2023 tillsynsbegäran mail.docx", "A 9565-2023")</f>
        <v/>
      </c>
    </row>
    <row r="55" ht="15" customHeight="1">
      <c r="A55" t="inlineStr">
        <is>
          <t>A 23849-2023</t>
        </is>
      </c>
      <c r="B55" s="1" t="n">
        <v>45078</v>
      </c>
      <c r="C55" s="1" t="n">
        <v>45475</v>
      </c>
      <c r="D55" t="inlineStr">
        <is>
          <t>KALMAR LÄN</t>
        </is>
      </c>
      <c r="E55" t="inlineStr">
        <is>
          <t>HÖGSBY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HYPERLINK("https://klasma.github.io/Logging_0821/artfynd/A 23849-2023 artfynd.xlsx", "A 23849-2023")</f>
        <v/>
      </c>
      <c r="T55">
        <f>HYPERLINK("https://klasma.github.io/Logging_0821/kartor/A 23849-2023 karta.png", "A 23849-2023")</f>
        <v/>
      </c>
      <c r="V55">
        <f>HYPERLINK("https://klasma.github.io/Logging_0821/klagomål/A 23849-2023 FSC-klagomål.docx", "A 23849-2023")</f>
        <v/>
      </c>
      <c r="W55">
        <f>HYPERLINK("https://klasma.github.io/Logging_0821/klagomålsmail/A 23849-2023 FSC-klagomål mail.docx", "A 23849-2023")</f>
        <v/>
      </c>
      <c r="X55">
        <f>HYPERLINK("https://klasma.github.io/Logging_0821/tillsyn/A 23849-2023 tillsynsbegäran.docx", "A 23849-2023")</f>
        <v/>
      </c>
      <c r="Y55">
        <f>HYPERLINK("https://klasma.github.io/Logging_0821/tillsynsmail/A 23849-2023 tillsynsbegäran mail.docx", "A 23849-2023")</f>
        <v/>
      </c>
    </row>
    <row r="56" ht="15" customHeight="1">
      <c r="A56" t="inlineStr">
        <is>
          <t>A 35072-2023</t>
        </is>
      </c>
      <c r="B56" s="1" t="n">
        <v>45145</v>
      </c>
      <c r="C56" s="1" t="n">
        <v>45475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35072-2023 artfynd.xlsx", "A 35072-2023")</f>
        <v/>
      </c>
      <c r="T56">
        <f>HYPERLINK("https://klasma.github.io/Logging_0821/kartor/A 35072-2023 karta.png", "A 35072-2023")</f>
        <v/>
      </c>
      <c r="V56">
        <f>HYPERLINK("https://klasma.github.io/Logging_0821/klagomål/A 35072-2023 FSC-klagomål.docx", "A 35072-2023")</f>
        <v/>
      </c>
      <c r="W56">
        <f>HYPERLINK("https://klasma.github.io/Logging_0821/klagomålsmail/A 35072-2023 FSC-klagomål mail.docx", "A 35072-2023")</f>
        <v/>
      </c>
      <c r="X56">
        <f>HYPERLINK("https://klasma.github.io/Logging_0821/tillsyn/A 35072-2023 tillsynsbegäran.docx", "A 35072-2023")</f>
        <v/>
      </c>
      <c r="Y56">
        <f>HYPERLINK("https://klasma.github.io/Logging_0821/tillsynsmail/A 35072-2023 tillsynsbegäran mail.docx", "A 35072-2023")</f>
        <v/>
      </c>
    </row>
    <row r="57" ht="15" customHeight="1">
      <c r="A57" t="inlineStr">
        <is>
          <t>A 35075-2023</t>
        </is>
      </c>
      <c r="B57" s="1" t="n">
        <v>45145</v>
      </c>
      <c r="C57" s="1" t="n">
        <v>45475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HYPERLINK("https://klasma.github.io/Logging_0821/artfynd/A 35075-2023 artfynd.xlsx", "A 35075-2023")</f>
        <v/>
      </c>
      <c r="T57">
        <f>HYPERLINK("https://klasma.github.io/Logging_0821/kartor/A 35075-2023 karta.png", "A 35075-2023")</f>
        <v/>
      </c>
      <c r="V57">
        <f>HYPERLINK("https://klasma.github.io/Logging_0821/klagomål/A 35075-2023 FSC-klagomål.docx", "A 35075-2023")</f>
        <v/>
      </c>
      <c r="W57">
        <f>HYPERLINK("https://klasma.github.io/Logging_0821/klagomålsmail/A 35075-2023 FSC-klagomål mail.docx", "A 35075-2023")</f>
        <v/>
      </c>
      <c r="X57">
        <f>HYPERLINK("https://klasma.github.io/Logging_0821/tillsyn/A 35075-2023 tillsynsbegäran.docx", "A 35075-2023")</f>
        <v/>
      </c>
      <c r="Y57">
        <f>HYPERLINK("https://klasma.github.io/Logging_0821/tillsynsmail/A 35075-2023 tillsynsbegäran mail.docx", "A 35075-2023")</f>
        <v/>
      </c>
    </row>
    <row r="58" ht="15" customHeight="1">
      <c r="A58" t="inlineStr">
        <is>
          <t>A 38513-2023</t>
        </is>
      </c>
      <c r="B58" s="1" t="n">
        <v>45162</v>
      </c>
      <c r="C58" s="1" t="n">
        <v>45475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HYPERLINK("https://klasma.github.io/Logging_0821/artfynd/A 38513-2023 artfynd.xlsx", "A 38513-2023")</f>
        <v/>
      </c>
      <c r="T58">
        <f>HYPERLINK("https://klasma.github.io/Logging_0821/kartor/A 38513-2023 karta.png", "A 38513-2023")</f>
        <v/>
      </c>
      <c r="V58">
        <f>HYPERLINK("https://klasma.github.io/Logging_0821/klagomål/A 38513-2023 FSC-klagomål.docx", "A 38513-2023")</f>
        <v/>
      </c>
      <c r="W58">
        <f>HYPERLINK("https://klasma.github.io/Logging_0821/klagomålsmail/A 38513-2023 FSC-klagomål mail.docx", "A 38513-2023")</f>
        <v/>
      </c>
      <c r="X58">
        <f>HYPERLINK("https://klasma.github.io/Logging_0821/tillsyn/A 38513-2023 tillsynsbegäran.docx", "A 38513-2023")</f>
        <v/>
      </c>
      <c r="Y58">
        <f>HYPERLINK("https://klasma.github.io/Logging_0821/tillsynsmail/A 38513-2023 tillsynsbegäran mail.docx", "A 38513-2023")</f>
        <v/>
      </c>
    </row>
    <row r="59" ht="15" customHeight="1">
      <c r="A59" t="inlineStr">
        <is>
          <t>A 59704-2023</t>
        </is>
      </c>
      <c r="B59" s="1" t="n">
        <v>45256</v>
      </c>
      <c r="C59" s="1" t="n">
        <v>45475</v>
      </c>
      <c r="D59" t="inlineStr">
        <is>
          <t>KALMAR LÄN</t>
        </is>
      </c>
      <c r="E59" t="inlineStr">
        <is>
          <t>HÖGSBY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HYPERLINK("https://klasma.github.io/Logging_0821/artfynd/A 59704-2023 artfynd.xlsx", "A 59704-2023")</f>
        <v/>
      </c>
      <c r="T59">
        <f>HYPERLINK("https://klasma.github.io/Logging_0821/kartor/A 59704-2023 karta.png", "A 59704-2023")</f>
        <v/>
      </c>
      <c r="V59">
        <f>HYPERLINK("https://klasma.github.io/Logging_0821/klagomål/A 59704-2023 FSC-klagomål.docx", "A 59704-2023")</f>
        <v/>
      </c>
      <c r="W59">
        <f>HYPERLINK("https://klasma.github.io/Logging_0821/klagomålsmail/A 59704-2023 FSC-klagomål mail.docx", "A 59704-2023")</f>
        <v/>
      </c>
      <c r="X59">
        <f>HYPERLINK("https://klasma.github.io/Logging_0821/tillsyn/A 59704-2023 tillsynsbegäran.docx", "A 59704-2023")</f>
        <v/>
      </c>
      <c r="Y59">
        <f>HYPERLINK("https://klasma.github.io/Logging_0821/tillsynsmail/A 59704-2023 tillsynsbegäran mail.docx", "A 59704-2023")</f>
        <v/>
      </c>
    </row>
    <row r="60" ht="15" customHeight="1">
      <c r="A60" t="inlineStr">
        <is>
          <t>A 62394-2023</t>
        </is>
      </c>
      <c r="B60" s="1" t="n">
        <v>45268</v>
      </c>
      <c r="C60" s="1" t="n">
        <v>45475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HYPERLINK("https://klasma.github.io/Logging_0821/artfynd/A 62394-2023 artfynd.xlsx", "A 62394-2023")</f>
        <v/>
      </c>
      <c r="T60">
        <f>HYPERLINK("https://klasma.github.io/Logging_0821/kartor/A 62394-2023 karta.png", "A 62394-2023")</f>
        <v/>
      </c>
      <c r="V60">
        <f>HYPERLINK("https://klasma.github.io/Logging_0821/klagomål/A 62394-2023 FSC-klagomål.docx", "A 62394-2023")</f>
        <v/>
      </c>
      <c r="W60">
        <f>HYPERLINK("https://klasma.github.io/Logging_0821/klagomålsmail/A 62394-2023 FSC-klagomål mail.docx", "A 62394-2023")</f>
        <v/>
      </c>
      <c r="X60">
        <f>HYPERLINK("https://klasma.github.io/Logging_0821/tillsyn/A 62394-2023 tillsynsbegäran.docx", "A 62394-2023")</f>
        <v/>
      </c>
      <c r="Y60">
        <f>HYPERLINK("https://klasma.github.io/Logging_0821/tillsynsmail/A 62394-2023 tillsynsbegäran mail.docx", "A 62394-2023")</f>
        <v/>
      </c>
    </row>
    <row r="61" ht="15" customHeight="1">
      <c r="A61" t="inlineStr">
        <is>
          <t>A 62431-2023</t>
        </is>
      </c>
      <c r="B61" s="1" t="n">
        <v>45268</v>
      </c>
      <c r="C61" s="1" t="n">
        <v>45475</v>
      </c>
      <c r="D61" t="inlineStr">
        <is>
          <t>KALMAR LÄN</t>
        </is>
      </c>
      <c r="E61" t="inlineStr">
        <is>
          <t>HÖGSBY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HYPERLINK("https://klasma.github.io/Logging_0821/artfynd/A 62431-2023 artfynd.xlsx", "A 62431-2023")</f>
        <v/>
      </c>
      <c r="T61">
        <f>HYPERLINK("https://klasma.github.io/Logging_0821/kartor/A 62431-2023 karta.png", "A 62431-2023")</f>
        <v/>
      </c>
      <c r="V61">
        <f>HYPERLINK("https://klasma.github.io/Logging_0821/klagomål/A 62431-2023 FSC-klagomål.docx", "A 62431-2023")</f>
        <v/>
      </c>
      <c r="W61">
        <f>HYPERLINK("https://klasma.github.io/Logging_0821/klagomålsmail/A 62431-2023 FSC-klagomål mail.docx", "A 62431-2023")</f>
        <v/>
      </c>
      <c r="X61">
        <f>HYPERLINK("https://klasma.github.io/Logging_0821/tillsyn/A 62431-2023 tillsynsbegäran.docx", "A 62431-2023")</f>
        <v/>
      </c>
      <c r="Y61">
        <f>HYPERLINK("https://klasma.github.io/Logging_0821/tillsynsmail/A 62431-2023 tillsynsbegäran mail.docx", "A 62431-2023")</f>
        <v/>
      </c>
    </row>
    <row r="62" ht="15" customHeight="1">
      <c r="A62" t="inlineStr">
        <is>
          <t>A 3490-2024</t>
        </is>
      </c>
      <c r="B62" s="1" t="n">
        <v>45317</v>
      </c>
      <c r="C62" s="1" t="n">
        <v>45475</v>
      </c>
      <c r="D62" t="inlineStr">
        <is>
          <t>KALMAR LÄN</t>
        </is>
      </c>
      <c r="E62" t="inlineStr">
        <is>
          <t>HÖGSBY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HYPERLINK("https://klasma.github.io/Logging_0821/artfynd/A 3490-2024 artfynd.xlsx", "A 3490-2024")</f>
        <v/>
      </c>
      <c r="T62">
        <f>HYPERLINK("https://klasma.github.io/Logging_0821/kartor/A 3490-2024 karta.png", "A 3490-2024")</f>
        <v/>
      </c>
      <c r="V62">
        <f>HYPERLINK("https://klasma.github.io/Logging_0821/klagomål/A 3490-2024 FSC-klagomål.docx", "A 3490-2024")</f>
        <v/>
      </c>
      <c r="W62">
        <f>HYPERLINK("https://klasma.github.io/Logging_0821/klagomålsmail/A 3490-2024 FSC-klagomål mail.docx", "A 3490-2024")</f>
        <v/>
      </c>
      <c r="X62">
        <f>HYPERLINK("https://klasma.github.io/Logging_0821/tillsyn/A 3490-2024 tillsynsbegäran.docx", "A 3490-2024")</f>
        <v/>
      </c>
      <c r="Y62">
        <f>HYPERLINK("https://klasma.github.io/Logging_0821/tillsynsmail/A 3490-2024 tillsynsbegäran mail.docx", "A 3490-2024")</f>
        <v/>
      </c>
    </row>
    <row r="63" ht="15" customHeight="1">
      <c r="A63" t="inlineStr">
        <is>
          <t>A 3800-2024</t>
        </is>
      </c>
      <c r="B63" s="1" t="n">
        <v>45321</v>
      </c>
      <c r="C63" s="1" t="n">
        <v>45475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3800-2024 artfynd.xlsx", "A 3800-2024")</f>
        <v/>
      </c>
      <c r="T63">
        <f>HYPERLINK("https://klasma.github.io/Logging_0821/kartor/A 3800-2024 karta.png", "A 3800-2024")</f>
        <v/>
      </c>
      <c r="V63">
        <f>HYPERLINK("https://klasma.github.io/Logging_0821/klagomål/A 3800-2024 FSC-klagomål.docx", "A 3800-2024")</f>
        <v/>
      </c>
      <c r="W63">
        <f>HYPERLINK("https://klasma.github.io/Logging_0821/klagomålsmail/A 3800-2024 FSC-klagomål mail.docx", "A 3800-2024")</f>
        <v/>
      </c>
      <c r="X63">
        <f>HYPERLINK("https://klasma.github.io/Logging_0821/tillsyn/A 3800-2024 tillsynsbegäran.docx", "A 3800-2024")</f>
        <v/>
      </c>
      <c r="Y63">
        <f>HYPERLINK("https://klasma.github.io/Logging_0821/tillsynsmail/A 3800-2024 tillsynsbegäran mail.docx", "A 3800-2024")</f>
        <v/>
      </c>
    </row>
    <row r="64" ht="15" customHeight="1">
      <c r="A64" t="inlineStr">
        <is>
          <t>A 5296-2024</t>
        </is>
      </c>
      <c r="B64" s="1" t="n">
        <v>45331</v>
      </c>
      <c r="C64" s="1" t="n">
        <v>45475</v>
      </c>
      <c r="D64" t="inlineStr">
        <is>
          <t>KALMAR LÄN</t>
        </is>
      </c>
      <c r="E64" t="inlineStr">
        <is>
          <t>HÖGSBY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5296-2024 artfynd.xlsx", "A 5296-2024")</f>
        <v/>
      </c>
      <c r="T64">
        <f>HYPERLINK("https://klasma.github.io/Logging_0821/kartor/A 5296-2024 karta.png", "A 5296-2024")</f>
        <v/>
      </c>
      <c r="V64">
        <f>HYPERLINK("https://klasma.github.io/Logging_0821/klagomål/A 5296-2024 FSC-klagomål.docx", "A 5296-2024")</f>
        <v/>
      </c>
      <c r="W64">
        <f>HYPERLINK("https://klasma.github.io/Logging_0821/klagomålsmail/A 5296-2024 FSC-klagomål mail.docx", "A 5296-2024")</f>
        <v/>
      </c>
      <c r="X64">
        <f>HYPERLINK("https://klasma.github.io/Logging_0821/tillsyn/A 5296-2024 tillsynsbegäran.docx", "A 5296-2024")</f>
        <v/>
      </c>
      <c r="Y64">
        <f>HYPERLINK("https://klasma.github.io/Logging_0821/tillsynsmail/A 5296-2024 tillsynsbegäran mail.docx", "A 5296-2024")</f>
        <v/>
      </c>
    </row>
    <row r="65" ht="15" customHeight="1">
      <c r="A65" t="inlineStr">
        <is>
          <t>A 6854-2024</t>
        </is>
      </c>
      <c r="B65" s="1" t="n">
        <v>45342</v>
      </c>
      <c r="C65" s="1" t="n">
        <v>45475</v>
      </c>
      <c r="D65" t="inlineStr">
        <is>
          <t>KALMAR LÄN</t>
        </is>
      </c>
      <c r="E65" t="inlineStr">
        <is>
          <t>HÖGSBY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Rödbrun blankbock</t>
        </is>
      </c>
      <c r="S65">
        <f>HYPERLINK("https://klasma.github.io/Logging_0821/artfynd/A 6854-2024 artfynd.xlsx", "A 6854-2024")</f>
        <v/>
      </c>
      <c r="T65">
        <f>HYPERLINK("https://klasma.github.io/Logging_0821/kartor/A 6854-2024 karta.png", "A 6854-2024")</f>
        <v/>
      </c>
      <c r="V65">
        <f>HYPERLINK("https://klasma.github.io/Logging_0821/klagomål/A 6854-2024 FSC-klagomål.docx", "A 6854-2024")</f>
        <v/>
      </c>
      <c r="W65">
        <f>HYPERLINK("https://klasma.github.io/Logging_0821/klagomålsmail/A 6854-2024 FSC-klagomål mail.docx", "A 6854-2024")</f>
        <v/>
      </c>
      <c r="X65">
        <f>HYPERLINK("https://klasma.github.io/Logging_0821/tillsyn/A 6854-2024 tillsynsbegäran.docx", "A 6854-2024")</f>
        <v/>
      </c>
      <c r="Y65">
        <f>HYPERLINK("https://klasma.github.io/Logging_0821/tillsynsmail/A 6854-2024 tillsynsbegäran mail.docx", "A 6854-2024")</f>
        <v/>
      </c>
    </row>
    <row r="66" ht="15" customHeight="1">
      <c r="A66" t="inlineStr">
        <is>
          <t>A 19715-2019</t>
        </is>
      </c>
      <c r="B66" s="1" t="n">
        <v>43566</v>
      </c>
      <c r="C66" s="1" t="n">
        <v>45475</v>
      </c>
      <c r="D66" t="inlineStr">
        <is>
          <t>KALMAR LÄN</t>
        </is>
      </c>
      <c r="E66" t="inlineStr">
        <is>
          <t>HÖGSBY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20553-2019</t>
        </is>
      </c>
      <c r="B67" s="1" t="n">
        <v>43572</v>
      </c>
      <c r="C67" s="1" t="n">
        <v>45475</v>
      </c>
      <c r="D67" t="inlineStr">
        <is>
          <t>KALMAR LÄN</t>
        </is>
      </c>
      <c r="E67" t="inlineStr">
        <is>
          <t>HÖGSBY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20486-2019</t>
        </is>
      </c>
      <c r="B68" s="1" t="n">
        <v>43572</v>
      </c>
      <c r="C68" s="1" t="n">
        <v>45475</v>
      </c>
      <c r="D68" t="inlineStr">
        <is>
          <t>KALMAR LÄN</t>
        </is>
      </c>
      <c r="E68" t="inlineStr">
        <is>
          <t>HÖGSBY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20821-2019</t>
        </is>
      </c>
      <c r="B69" s="1" t="n">
        <v>43573</v>
      </c>
      <c r="C69" s="1" t="n">
        <v>45475</v>
      </c>
      <c r="D69" t="inlineStr">
        <is>
          <t>KALMAR LÄN</t>
        </is>
      </c>
      <c r="E69" t="inlineStr">
        <is>
          <t>HÖGSBY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20820-2019</t>
        </is>
      </c>
      <c r="B70" s="1" t="n">
        <v>43574</v>
      </c>
      <c r="C70" s="1" t="n">
        <v>45475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20815-2019</t>
        </is>
      </c>
      <c r="B71" s="1" t="n">
        <v>43574</v>
      </c>
      <c r="C71" s="1" t="n">
        <v>45475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20961-2019</t>
        </is>
      </c>
      <c r="B72" s="1" t="n">
        <v>43578</v>
      </c>
      <c r="C72" s="1" t="n">
        <v>45475</v>
      </c>
      <c r="D72" t="inlineStr">
        <is>
          <t>KALMAR LÄN</t>
        </is>
      </c>
      <c r="E72" t="inlineStr">
        <is>
          <t>HÖGSBY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21219-2019</t>
        </is>
      </c>
      <c r="B73" s="1" t="n">
        <v>43579</v>
      </c>
      <c r="C73" s="1" t="n">
        <v>45475</v>
      </c>
      <c r="D73" t="inlineStr">
        <is>
          <t>KALMAR LÄN</t>
        </is>
      </c>
      <c r="E73" t="inlineStr">
        <is>
          <t>HÖGSBY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21393-2019</t>
        </is>
      </c>
      <c r="B74" s="1" t="n">
        <v>43579</v>
      </c>
      <c r="C74" s="1" t="n">
        <v>45475</v>
      </c>
      <c r="D74" t="inlineStr">
        <is>
          <t>KALMAR LÄN</t>
        </is>
      </c>
      <c r="E74" t="inlineStr">
        <is>
          <t>HÖGSBY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21504-2019</t>
        </is>
      </c>
      <c r="B75" s="1" t="n">
        <v>43580</v>
      </c>
      <c r="C75" s="1" t="n">
        <v>45475</v>
      </c>
      <c r="D75" t="inlineStr">
        <is>
          <t>KALMAR LÄN</t>
        </is>
      </c>
      <c r="E75" t="inlineStr">
        <is>
          <t>HÖGSBY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21667-2019</t>
        </is>
      </c>
      <c r="B76" s="1" t="n">
        <v>43581</v>
      </c>
      <c r="C76" s="1" t="n">
        <v>45475</v>
      </c>
      <c r="D76" t="inlineStr">
        <is>
          <t>KALMAR LÄN</t>
        </is>
      </c>
      <c r="E76" t="inlineStr">
        <is>
          <t>HÖGSBY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22062-2019</t>
        </is>
      </c>
      <c r="B77" s="1" t="n">
        <v>43584</v>
      </c>
      <c r="C77" s="1" t="n">
        <v>45475</v>
      </c>
      <c r="D77" t="inlineStr">
        <is>
          <t>KALMAR LÄN</t>
        </is>
      </c>
      <c r="E77" t="inlineStr">
        <is>
          <t>HÖGSBY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22023-2019</t>
        </is>
      </c>
      <c r="B78" s="1" t="n">
        <v>43584</v>
      </c>
      <c r="C78" s="1" t="n">
        <v>45475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22572-2019</t>
        </is>
      </c>
      <c r="B79" s="1" t="n">
        <v>43587</v>
      </c>
      <c r="C79" s="1" t="n">
        <v>45475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24085-2019</t>
        </is>
      </c>
      <c r="B80" s="1" t="n">
        <v>43598</v>
      </c>
      <c r="C80" s="1" t="n">
        <v>45475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24277-2019</t>
        </is>
      </c>
      <c r="B81" s="1" t="n">
        <v>43599</v>
      </c>
      <c r="C81" s="1" t="n">
        <v>45475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24274-2019</t>
        </is>
      </c>
      <c r="B82" s="1" t="n">
        <v>43599</v>
      </c>
      <c r="C82" s="1" t="n">
        <v>45475</v>
      </c>
      <c r="D82" t="inlineStr">
        <is>
          <t>KALMAR LÄN</t>
        </is>
      </c>
      <c r="E82" t="inlineStr">
        <is>
          <t>HÖGSBY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24276-2019</t>
        </is>
      </c>
      <c r="B83" s="1" t="n">
        <v>43599</v>
      </c>
      <c r="C83" s="1" t="n">
        <v>45475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24265-2019</t>
        </is>
      </c>
      <c r="B84" s="1" t="n">
        <v>43599</v>
      </c>
      <c r="C84" s="1" t="n">
        <v>45475</v>
      </c>
      <c r="D84" t="inlineStr">
        <is>
          <t>KALMAR LÄN</t>
        </is>
      </c>
      <c r="E84" t="inlineStr">
        <is>
          <t>HÖGSBY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24273-2019</t>
        </is>
      </c>
      <c r="B85" s="1" t="n">
        <v>43599</v>
      </c>
      <c r="C85" s="1" t="n">
        <v>45475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25458-2019</t>
        </is>
      </c>
      <c r="B86" s="1" t="n">
        <v>43606</v>
      </c>
      <c r="C86" s="1" t="n">
        <v>45475</v>
      </c>
      <c r="D86" t="inlineStr">
        <is>
          <t>KALMAR LÄN</t>
        </is>
      </c>
      <c r="E86" t="inlineStr">
        <is>
          <t>HÖGSBY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25608-2019</t>
        </is>
      </c>
      <c r="B87" s="1" t="n">
        <v>43607</v>
      </c>
      <c r="C87" s="1" t="n">
        <v>45475</v>
      </c>
      <c r="D87" t="inlineStr">
        <is>
          <t>KALMAR LÄN</t>
        </is>
      </c>
      <c r="E87" t="inlineStr">
        <is>
          <t>HÖGSBY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26385-2019</t>
        </is>
      </c>
      <c r="B88" s="1" t="n">
        <v>43612</v>
      </c>
      <c r="C88" s="1" t="n">
        <v>45475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26510-2019</t>
        </is>
      </c>
      <c r="B89" s="1" t="n">
        <v>43612</v>
      </c>
      <c r="C89" s="1" t="n">
        <v>45475</v>
      </c>
      <c r="D89" t="inlineStr">
        <is>
          <t>KALMAR LÄN</t>
        </is>
      </c>
      <c r="E89" t="inlineStr">
        <is>
          <t>HÖGSBY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27732-2019</t>
        </is>
      </c>
      <c r="B90" s="1" t="n">
        <v>43619</v>
      </c>
      <c r="C90" s="1" t="n">
        <v>45475</v>
      </c>
      <c r="D90" t="inlineStr">
        <is>
          <t>KALMAR LÄN</t>
        </is>
      </c>
      <c r="E90" t="inlineStr">
        <is>
          <t>HÖGSBY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29717-2019</t>
        </is>
      </c>
      <c r="B91" s="1" t="n">
        <v>43630</v>
      </c>
      <c r="C91" s="1" t="n">
        <v>45475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30276-2019</t>
        </is>
      </c>
      <c r="B92" s="1" t="n">
        <v>43634</v>
      </c>
      <c r="C92" s="1" t="n">
        <v>45475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31136-2019</t>
        </is>
      </c>
      <c r="B93" s="1" t="n">
        <v>43640</v>
      </c>
      <c r="C93" s="1" t="n">
        <v>45475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32556-2019</t>
        </is>
      </c>
      <c r="B94" s="1" t="n">
        <v>43647</v>
      </c>
      <c r="C94" s="1" t="n">
        <v>45475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32991-2019</t>
        </is>
      </c>
      <c r="B95" s="1" t="n">
        <v>43649</v>
      </c>
      <c r="C95" s="1" t="n">
        <v>45475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33035-2019</t>
        </is>
      </c>
      <c r="B96" s="1" t="n">
        <v>43649</v>
      </c>
      <c r="C96" s="1" t="n">
        <v>45475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32989-2019</t>
        </is>
      </c>
      <c r="B97" s="1" t="n">
        <v>43649</v>
      </c>
      <c r="C97" s="1" t="n">
        <v>45475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35384-2019</t>
        </is>
      </c>
      <c r="B98" s="1" t="n">
        <v>43651</v>
      </c>
      <c r="C98" s="1" t="n">
        <v>45475</v>
      </c>
      <c r="D98" t="inlineStr">
        <is>
          <t>KALMAR LÄN</t>
        </is>
      </c>
      <c r="E98" t="inlineStr">
        <is>
          <t>HÖGSBY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35055-2019</t>
        </is>
      </c>
      <c r="B99" s="1" t="n">
        <v>43658</v>
      </c>
      <c r="C99" s="1" t="n">
        <v>45475</v>
      </c>
      <c r="D99" t="inlineStr">
        <is>
          <t>KALMAR LÄN</t>
        </is>
      </c>
      <c r="E99" t="inlineStr">
        <is>
          <t>HÖGSBY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35050-2019</t>
        </is>
      </c>
      <c r="B100" s="1" t="n">
        <v>43658</v>
      </c>
      <c r="C100" s="1" t="n">
        <v>45475</v>
      </c>
      <c r="D100" t="inlineStr">
        <is>
          <t>KALMAR LÄN</t>
        </is>
      </c>
      <c r="E100" t="inlineStr">
        <is>
          <t>HÖGSBY</t>
        </is>
      </c>
      <c r="G100" t="n">
        <v>29.4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35333-2019</t>
        </is>
      </c>
      <c r="B101" s="1" t="n">
        <v>43662</v>
      </c>
      <c r="C101" s="1" t="n">
        <v>45475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35334-2019</t>
        </is>
      </c>
      <c r="B102" s="1" t="n">
        <v>43662</v>
      </c>
      <c r="C102" s="1" t="n">
        <v>45475</v>
      </c>
      <c r="D102" t="inlineStr">
        <is>
          <t>KALMAR LÄN</t>
        </is>
      </c>
      <c r="E102" t="inlineStr">
        <is>
          <t>HÖGSBY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35498-2019</t>
        </is>
      </c>
      <c r="B103" s="1" t="n">
        <v>43663</v>
      </c>
      <c r="C103" s="1" t="n">
        <v>45475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36527-2019</t>
        </is>
      </c>
      <c r="B104" s="1" t="n">
        <v>43663</v>
      </c>
      <c r="C104" s="1" t="n">
        <v>45475</v>
      </c>
      <c r="D104" t="inlineStr">
        <is>
          <t>KALMAR LÄN</t>
        </is>
      </c>
      <c r="E104" t="inlineStr">
        <is>
          <t>HÖGSBY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36529-2019</t>
        </is>
      </c>
      <c r="B105" s="1" t="n">
        <v>43663</v>
      </c>
      <c r="C105" s="1" t="n">
        <v>45475</v>
      </c>
      <c r="D105" t="inlineStr">
        <is>
          <t>KALMAR LÄN</t>
        </is>
      </c>
      <c r="E105" t="inlineStr">
        <is>
          <t>HÖGSBY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35501-2019</t>
        </is>
      </c>
      <c r="B106" s="1" t="n">
        <v>43663</v>
      </c>
      <c r="C106" s="1" t="n">
        <v>45475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36144-2019</t>
        </is>
      </c>
      <c r="B107" s="1" t="n">
        <v>43668</v>
      </c>
      <c r="C107" s="1" t="n">
        <v>45475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36212-2019</t>
        </is>
      </c>
      <c r="B108" s="1" t="n">
        <v>43669</v>
      </c>
      <c r="C108" s="1" t="n">
        <v>45475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36221-2019</t>
        </is>
      </c>
      <c r="B109" s="1" t="n">
        <v>43669</v>
      </c>
      <c r="C109" s="1" t="n">
        <v>45475</v>
      </c>
      <c r="D109" t="inlineStr">
        <is>
          <t>KALMAR LÄN</t>
        </is>
      </c>
      <c r="E109" t="inlineStr">
        <is>
          <t>HÖGSBY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36581-2019</t>
        </is>
      </c>
      <c r="B110" s="1" t="n">
        <v>43671</v>
      </c>
      <c r="C110" s="1" t="n">
        <v>45475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37175-2019</t>
        </is>
      </c>
      <c r="B111" s="1" t="n">
        <v>43676</v>
      </c>
      <c r="C111" s="1" t="n">
        <v>45475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37173-2019</t>
        </is>
      </c>
      <c r="B112" s="1" t="n">
        <v>43676</v>
      </c>
      <c r="C112" s="1" t="n">
        <v>45475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37205-2019</t>
        </is>
      </c>
      <c r="B113" s="1" t="n">
        <v>43676</v>
      </c>
      <c r="C113" s="1" t="n">
        <v>45475</v>
      </c>
      <c r="D113" t="inlineStr">
        <is>
          <t>KALMAR LÄN</t>
        </is>
      </c>
      <c r="E113" t="inlineStr">
        <is>
          <t>HÖGSBY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37846-2019</t>
        </is>
      </c>
      <c r="B114" s="1" t="n">
        <v>43682</v>
      </c>
      <c r="C114" s="1" t="n">
        <v>45475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37955-2019</t>
        </is>
      </c>
      <c r="B115" s="1" t="n">
        <v>43683</v>
      </c>
      <c r="C115" s="1" t="n">
        <v>45475</v>
      </c>
      <c r="D115" t="inlineStr">
        <is>
          <t>KALMAR LÄN</t>
        </is>
      </c>
      <c r="E115" t="inlineStr">
        <is>
          <t>HÖGSBY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37958-2019</t>
        </is>
      </c>
      <c r="B116" s="1" t="n">
        <v>43683</v>
      </c>
      <c r="C116" s="1" t="n">
        <v>45475</v>
      </c>
      <c r="D116" t="inlineStr">
        <is>
          <t>KALMAR LÄN</t>
        </is>
      </c>
      <c r="E116" t="inlineStr">
        <is>
          <t>HÖGSBY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38082-2019</t>
        </is>
      </c>
      <c r="B117" s="1" t="n">
        <v>43683</v>
      </c>
      <c r="C117" s="1" t="n">
        <v>45475</v>
      </c>
      <c r="D117" t="inlineStr">
        <is>
          <t>KALMAR LÄN</t>
        </is>
      </c>
      <c r="E117" t="inlineStr">
        <is>
          <t>HÖGSBY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39846-2019</t>
        </is>
      </c>
      <c r="B118" s="1" t="n">
        <v>43689</v>
      </c>
      <c r="C118" s="1" t="n">
        <v>45475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39851-2019</t>
        </is>
      </c>
      <c r="B119" s="1" t="n">
        <v>43689</v>
      </c>
      <c r="C119" s="1" t="n">
        <v>45475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39327-2019</t>
        </is>
      </c>
      <c r="B120" s="1" t="n">
        <v>43690</v>
      </c>
      <c r="C120" s="1" t="n">
        <v>45475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39971-2019</t>
        </is>
      </c>
      <c r="B121" s="1" t="n">
        <v>43690</v>
      </c>
      <c r="C121" s="1" t="n">
        <v>45475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40216-2019</t>
        </is>
      </c>
      <c r="B122" s="1" t="n">
        <v>43691</v>
      </c>
      <c r="C122" s="1" t="n">
        <v>45475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41291-2019</t>
        </is>
      </c>
      <c r="B123" s="1" t="n">
        <v>43696</v>
      </c>
      <c r="C123" s="1" t="n">
        <v>45475</v>
      </c>
      <c r="D123" t="inlineStr">
        <is>
          <t>KALMAR LÄN</t>
        </is>
      </c>
      <c r="E123" t="inlineStr">
        <is>
          <t>HÖGSBY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41276-2019</t>
        </is>
      </c>
      <c r="B124" s="1" t="n">
        <v>43696</v>
      </c>
      <c r="C124" s="1" t="n">
        <v>45475</v>
      </c>
      <c r="D124" t="inlineStr">
        <is>
          <t>KALMAR LÄN</t>
        </is>
      </c>
      <c r="E124" t="inlineStr">
        <is>
          <t>HÖGSBY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41285-2019</t>
        </is>
      </c>
      <c r="B125" s="1" t="n">
        <v>43696</v>
      </c>
      <c r="C125" s="1" t="n">
        <v>45475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41310-2019</t>
        </is>
      </c>
      <c r="B126" s="1" t="n">
        <v>43696</v>
      </c>
      <c r="C126" s="1" t="n">
        <v>45475</v>
      </c>
      <c r="D126" t="inlineStr">
        <is>
          <t>KALMAR LÄN</t>
        </is>
      </c>
      <c r="E126" t="inlineStr">
        <is>
          <t>HÖGSBY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41307-2019</t>
        </is>
      </c>
      <c r="B127" s="1" t="n">
        <v>43696</v>
      </c>
      <c r="C127" s="1" t="n">
        <v>45475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41271-2019</t>
        </is>
      </c>
      <c r="B128" s="1" t="n">
        <v>43696</v>
      </c>
      <c r="C128" s="1" t="n">
        <v>45475</v>
      </c>
      <c r="D128" t="inlineStr">
        <is>
          <t>KALMAR LÄN</t>
        </is>
      </c>
      <c r="E128" t="inlineStr">
        <is>
          <t>HÖGSBY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41739-2019</t>
        </is>
      </c>
      <c r="B129" s="1" t="n">
        <v>43699</v>
      </c>
      <c r="C129" s="1" t="n">
        <v>45475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42264-2019</t>
        </is>
      </c>
      <c r="B130" s="1" t="n">
        <v>43703</v>
      </c>
      <c r="C130" s="1" t="n">
        <v>45475</v>
      </c>
      <c r="D130" t="inlineStr">
        <is>
          <t>KALMAR LÄN</t>
        </is>
      </c>
      <c r="E130" t="inlineStr">
        <is>
          <t>HÖGSBY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42737-2019</t>
        </is>
      </c>
      <c r="B131" s="1" t="n">
        <v>43704</v>
      </c>
      <c r="C131" s="1" t="n">
        <v>45475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42732-2019</t>
        </is>
      </c>
      <c r="B132" s="1" t="n">
        <v>43704</v>
      </c>
      <c r="C132" s="1" t="n">
        <v>45475</v>
      </c>
      <c r="D132" t="inlineStr">
        <is>
          <t>KALMAR LÄN</t>
        </is>
      </c>
      <c r="E132" t="inlineStr">
        <is>
          <t>HÖGSBY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42915-2019</t>
        </is>
      </c>
      <c r="B133" s="1" t="n">
        <v>43705</v>
      </c>
      <c r="C133" s="1" t="n">
        <v>45475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43702-2019</t>
        </is>
      </c>
      <c r="B134" s="1" t="n">
        <v>43707</v>
      </c>
      <c r="C134" s="1" t="n">
        <v>45475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44352-2019</t>
        </is>
      </c>
      <c r="B135" s="1" t="n">
        <v>43711</v>
      </c>
      <c r="C135" s="1" t="n">
        <v>45475</v>
      </c>
      <c r="D135" t="inlineStr">
        <is>
          <t>KALMAR LÄN</t>
        </is>
      </c>
      <c r="E135" t="inlineStr">
        <is>
          <t>HÖGSBY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44760-2019</t>
        </is>
      </c>
      <c r="B136" s="1" t="n">
        <v>43712</v>
      </c>
      <c r="C136" s="1" t="n">
        <v>45475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45968-2019</t>
        </is>
      </c>
      <c r="B137" s="1" t="n">
        <v>43718</v>
      </c>
      <c r="C137" s="1" t="n">
        <v>45475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46729-2019</t>
        </is>
      </c>
      <c r="B138" s="1" t="n">
        <v>43719</v>
      </c>
      <c r="C138" s="1" t="n">
        <v>45475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46985-2019</t>
        </is>
      </c>
      <c r="B139" s="1" t="n">
        <v>43719</v>
      </c>
      <c r="C139" s="1" t="n">
        <v>45475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47029-2019</t>
        </is>
      </c>
      <c r="B140" s="1" t="n">
        <v>43720</v>
      </c>
      <c r="C140" s="1" t="n">
        <v>45475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47261-2019</t>
        </is>
      </c>
      <c r="B141" s="1" t="n">
        <v>43721</v>
      </c>
      <c r="C141" s="1" t="n">
        <v>45475</v>
      </c>
      <c r="D141" t="inlineStr">
        <is>
          <t>KALMAR LÄN</t>
        </is>
      </c>
      <c r="E141" t="inlineStr">
        <is>
          <t>HÖGSBY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47499-2019</t>
        </is>
      </c>
      <c r="B142" s="1" t="n">
        <v>43724</v>
      </c>
      <c r="C142" s="1" t="n">
        <v>45475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47508-2019</t>
        </is>
      </c>
      <c r="B143" s="1" t="n">
        <v>43724</v>
      </c>
      <c r="C143" s="1" t="n">
        <v>45475</v>
      </c>
      <c r="D143" t="inlineStr">
        <is>
          <t>KALMAR LÄN</t>
        </is>
      </c>
      <c r="E143" t="inlineStr">
        <is>
          <t>HÖGSBY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48102-2019</t>
        </is>
      </c>
      <c r="B144" s="1" t="n">
        <v>43725</v>
      </c>
      <c r="C144" s="1" t="n">
        <v>45475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48101-2019</t>
        </is>
      </c>
      <c r="B145" s="1" t="n">
        <v>43725</v>
      </c>
      <c r="C145" s="1" t="n">
        <v>45475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48172-2019</t>
        </is>
      </c>
      <c r="B146" s="1" t="n">
        <v>43726</v>
      </c>
      <c r="C146" s="1" t="n">
        <v>45475</v>
      </c>
      <c r="D146" t="inlineStr">
        <is>
          <t>KALMAR LÄN</t>
        </is>
      </c>
      <c r="E146" t="inlineStr">
        <is>
          <t>HÖGSBY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48600-2019</t>
        </is>
      </c>
      <c r="B147" s="1" t="n">
        <v>43727</v>
      </c>
      <c r="C147" s="1" t="n">
        <v>45475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49326-2019</t>
        </is>
      </c>
      <c r="B148" s="1" t="n">
        <v>43730</v>
      </c>
      <c r="C148" s="1" t="n">
        <v>45475</v>
      </c>
      <c r="D148" t="inlineStr">
        <is>
          <t>KALMAR LÄN</t>
        </is>
      </c>
      <c r="E148" t="inlineStr">
        <is>
          <t>HÖGSBY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49317-2019</t>
        </is>
      </c>
      <c r="B149" s="1" t="n">
        <v>43730</v>
      </c>
      <c r="C149" s="1" t="n">
        <v>45475</v>
      </c>
      <c r="D149" t="inlineStr">
        <is>
          <t>KALMAR LÄN</t>
        </is>
      </c>
      <c r="E149" t="inlineStr">
        <is>
          <t>HÖGSBY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49325-2019</t>
        </is>
      </c>
      <c r="B150" s="1" t="n">
        <v>43731</v>
      </c>
      <c r="C150" s="1" t="n">
        <v>45475</v>
      </c>
      <c r="D150" t="inlineStr">
        <is>
          <t>KALMAR LÄN</t>
        </is>
      </c>
      <c r="E150" t="inlineStr">
        <is>
          <t>HÖGSBY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50445-2019</t>
        </is>
      </c>
      <c r="B151" s="1" t="n">
        <v>43735</v>
      </c>
      <c r="C151" s="1" t="n">
        <v>45475</v>
      </c>
      <c r="D151" t="inlineStr">
        <is>
          <t>KALMAR LÄN</t>
        </is>
      </c>
      <c r="E151" t="inlineStr">
        <is>
          <t>HÖGSBY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50794-2019</t>
        </is>
      </c>
      <c r="B152" s="1" t="n">
        <v>43735</v>
      </c>
      <c r="C152" s="1" t="n">
        <v>45475</v>
      </c>
      <c r="D152" t="inlineStr">
        <is>
          <t>KALMAR LÄN</t>
        </is>
      </c>
      <c r="E152" t="inlineStr">
        <is>
          <t>HÖGSBY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50764-2019</t>
        </is>
      </c>
      <c r="B153" s="1" t="n">
        <v>43738</v>
      </c>
      <c r="C153" s="1" t="n">
        <v>45475</v>
      </c>
      <c r="D153" t="inlineStr">
        <is>
          <t>KALMAR LÄN</t>
        </is>
      </c>
      <c r="E153" t="inlineStr">
        <is>
          <t>HÖGSBY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50774-2019</t>
        </is>
      </c>
      <c r="B154" s="1" t="n">
        <v>43738</v>
      </c>
      <c r="C154" s="1" t="n">
        <v>45475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51893-2019</t>
        </is>
      </c>
      <c r="B155" s="1" t="n">
        <v>43741</v>
      </c>
      <c r="C155" s="1" t="n">
        <v>45475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51891-2019</t>
        </is>
      </c>
      <c r="B156" s="1" t="n">
        <v>43741</v>
      </c>
      <c r="C156" s="1" t="n">
        <v>45475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52418-2019</t>
        </is>
      </c>
      <c r="B157" s="1" t="n">
        <v>43745</v>
      </c>
      <c r="C157" s="1" t="n">
        <v>45475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52633-2019</t>
        </is>
      </c>
      <c r="B158" s="1" t="n">
        <v>43745</v>
      </c>
      <c r="C158" s="1" t="n">
        <v>45475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53129-2019</t>
        </is>
      </c>
      <c r="B159" s="1" t="n">
        <v>43747</v>
      </c>
      <c r="C159" s="1" t="n">
        <v>45475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53127-2019</t>
        </is>
      </c>
      <c r="B160" s="1" t="n">
        <v>43747</v>
      </c>
      <c r="C160" s="1" t="n">
        <v>45475</v>
      </c>
      <c r="D160" t="inlineStr">
        <is>
          <t>KALMAR LÄN</t>
        </is>
      </c>
      <c r="E160" t="inlineStr">
        <is>
          <t>HÖGSBY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53567-2019</t>
        </is>
      </c>
      <c r="B161" s="1" t="n">
        <v>43748</v>
      </c>
      <c r="C161" s="1" t="n">
        <v>45475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54684-2019</t>
        </is>
      </c>
      <c r="B162" s="1" t="n">
        <v>43754</v>
      </c>
      <c r="C162" s="1" t="n">
        <v>45475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54611-2019</t>
        </is>
      </c>
      <c r="B163" s="1" t="n">
        <v>43754</v>
      </c>
      <c r="C163" s="1" t="n">
        <v>45475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56642-2019</t>
        </is>
      </c>
      <c r="B164" s="1" t="n">
        <v>43763</v>
      </c>
      <c r="C164" s="1" t="n">
        <v>45475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59479-2019</t>
        </is>
      </c>
      <c r="B165" s="1" t="n">
        <v>43775</v>
      </c>
      <c r="C165" s="1" t="n">
        <v>45475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59557-2019</t>
        </is>
      </c>
      <c r="B166" s="1" t="n">
        <v>43776</v>
      </c>
      <c r="C166" s="1" t="n">
        <v>45475</v>
      </c>
      <c r="D166" t="inlineStr">
        <is>
          <t>KALMAR LÄN</t>
        </is>
      </c>
      <c r="E166" t="inlineStr">
        <is>
          <t>HÖGSBY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61619-2019</t>
        </is>
      </c>
      <c r="B167" s="1" t="n">
        <v>43784</v>
      </c>
      <c r="C167" s="1" t="n">
        <v>45475</v>
      </c>
      <c r="D167" t="inlineStr">
        <is>
          <t>KALMAR LÄN</t>
        </is>
      </c>
      <c r="E167" t="inlineStr">
        <is>
          <t>HÖGSBY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61623-2019</t>
        </is>
      </c>
      <c r="B168" s="1" t="n">
        <v>43784</v>
      </c>
      <c r="C168" s="1" t="n">
        <v>45475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61607-2019</t>
        </is>
      </c>
      <c r="B169" s="1" t="n">
        <v>43784</v>
      </c>
      <c r="C169" s="1" t="n">
        <v>45475</v>
      </c>
      <c r="D169" t="inlineStr">
        <is>
          <t>KALMAR LÄN</t>
        </is>
      </c>
      <c r="E169" t="inlineStr">
        <is>
          <t>HÖGSBY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61902-2019</t>
        </is>
      </c>
      <c r="B170" s="1" t="n">
        <v>43787</v>
      </c>
      <c r="C170" s="1" t="n">
        <v>45475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63086-2019</t>
        </is>
      </c>
      <c r="B171" s="1" t="n">
        <v>43790</v>
      </c>
      <c r="C171" s="1" t="n">
        <v>45475</v>
      </c>
      <c r="D171" t="inlineStr">
        <is>
          <t>KALMAR LÄN</t>
        </is>
      </c>
      <c r="E171" t="inlineStr">
        <is>
          <t>HÖGSBY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64786-2019</t>
        </is>
      </c>
      <c r="B172" s="1" t="n">
        <v>43795</v>
      </c>
      <c r="C172" s="1" t="n">
        <v>45475</v>
      </c>
      <c r="D172" t="inlineStr">
        <is>
          <t>KALMAR LÄN</t>
        </is>
      </c>
      <c r="E172" t="inlineStr">
        <is>
          <t>HÖGSBY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63969-2019</t>
        </is>
      </c>
      <c r="B173" s="1" t="n">
        <v>43796</v>
      </c>
      <c r="C173" s="1" t="n">
        <v>45475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65394-2019</t>
        </is>
      </c>
      <c r="B174" s="1" t="n">
        <v>43798</v>
      </c>
      <c r="C174" s="1" t="n">
        <v>45475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65136-2019</t>
        </is>
      </c>
      <c r="B175" s="1" t="n">
        <v>43802</v>
      </c>
      <c r="C175" s="1" t="n">
        <v>45475</v>
      </c>
      <c r="D175" t="inlineStr">
        <is>
          <t>KALMAR LÄN</t>
        </is>
      </c>
      <c r="E175" t="inlineStr">
        <is>
          <t>HÖGSBY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66535-2019</t>
        </is>
      </c>
      <c r="B176" s="1" t="n">
        <v>43803</v>
      </c>
      <c r="C176" s="1" t="n">
        <v>45475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65770-2019</t>
        </is>
      </c>
      <c r="B177" s="1" t="n">
        <v>43804</v>
      </c>
      <c r="C177" s="1" t="n">
        <v>45475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68132-2019</t>
        </is>
      </c>
      <c r="B178" s="1" t="n">
        <v>43817</v>
      </c>
      <c r="C178" s="1" t="n">
        <v>45475</v>
      </c>
      <c r="D178" t="inlineStr">
        <is>
          <t>KALMAR LÄN</t>
        </is>
      </c>
      <c r="E178" t="inlineStr">
        <is>
          <t>HÖGSBY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457-2020</t>
        </is>
      </c>
      <c r="B179" s="1" t="n">
        <v>43817</v>
      </c>
      <c r="C179" s="1" t="n">
        <v>45475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278-2020</t>
        </is>
      </c>
      <c r="B180" s="1" t="n">
        <v>43837</v>
      </c>
      <c r="C180" s="1" t="n">
        <v>45475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863-2020</t>
        </is>
      </c>
      <c r="B181" s="1" t="n">
        <v>43839</v>
      </c>
      <c r="C181" s="1" t="n">
        <v>45475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2579-2020</t>
        </is>
      </c>
      <c r="B182" s="1" t="n">
        <v>43847</v>
      </c>
      <c r="C182" s="1" t="n">
        <v>45475</v>
      </c>
      <c r="D182" t="inlineStr">
        <is>
          <t>KALMAR LÄN</t>
        </is>
      </c>
      <c r="E182" t="inlineStr">
        <is>
          <t>HÖGSBY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3535-2020</t>
        </is>
      </c>
      <c r="B183" s="1" t="n">
        <v>43853</v>
      </c>
      <c r="C183" s="1" t="n">
        <v>45475</v>
      </c>
      <c r="D183" t="inlineStr">
        <is>
          <t>KALMAR LÄN</t>
        </is>
      </c>
      <c r="E183" t="inlineStr">
        <is>
          <t>HÖGSBY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4090-2020</t>
        </is>
      </c>
      <c r="B184" s="1" t="n">
        <v>43854</v>
      </c>
      <c r="C184" s="1" t="n">
        <v>45475</v>
      </c>
      <c r="D184" t="inlineStr">
        <is>
          <t>KALMAR LÄN</t>
        </is>
      </c>
      <c r="E184" t="inlineStr">
        <is>
          <t>HÖGSBY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5808-2020</t>
        </is>
      </c>
      <c r="B185" s="1" t="n">
        <v>43864</v>
      </c>
      <c r="C185" s="1" t="n">
        <v>45475</v>
      </c>
      <c r="D185" t="inlineStr">
        <is>
          <t>KALMAR LÄN</t>
        </is>
      </c>
      <c r="E185" t="inlineStr">
        <is>
          <t>HÖGSBY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10082-2020</t>
        </is>
      </c>
      <c r="B186" s="1" t="n">
        <v>43884</v>
      </c>
      <c r="C186" s="1" t="n">
        <v>45475</v>
      </c>
      <c r="D186" t="inlineStr">
        <is>
          <t>KALMAR LÄN</t>
        </is>
      </c>
      <c r="E186" t="inlineStr">
        <is>
          <t>HÖGSBY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16520-2020</t>
        </is>
      </c>
      <c r="B187" s="1" t="n">
        <v>43909</v>
      </c>
      <c r="C187" s="1" t="n">
        <v>45475</v>
      </c>
      <c r="D187" t="inlineStr">
        <is>
          <t>KALMAR LÄN</t>
        </is>
      </c>
      <c r="E187" t="inlineStr">
        <is>
          <t>HÖGSBY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14983-2020</t>
        </is>
      </c>
      <c r="B188" s="1" t="n">
        <v>43910</v>
      </c>
      <c r="C188" s="1" t="n">
        <v>45475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17834-2020</t>
        </is>
      </c>
      <c r="B189" s="1" t="n">
        <v>43924</v>
      </c>
      <c r="C189" s="1" t="n">
        <v>45475</v>
      </c>
      <c r="D189" t="inlineStr">
        <is>
          <t>KALMAR LÄN</t>
        </is>
      </c>
      <c r="E189" t="inlineStr">
        <is>
          <t>HÖGSBY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17863-2020</t>
        </is>
      </c>
      <c r="B190" s="1" t="n">
        <v>43924</v>
      </c>
      <c r="C190" s="1" t="n">
        <v>45475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18032-2020</t>
        </is>
      </c>
      <c r="B191" s="1" t="n">
        <v>43927</v>
      </c>
      <c r="C191" s="1" t="n">
        <v>45475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20749-2020</t>
        </is>
      </c>
      <c r="B192" s="1" t="n">
        <v>43948</v>
      </c>
      <c r="C192" s="1" t="n">
        <v>45475</v>
      </c>
      <c r="D192" t="inlineStr">
        <is>
          <t>KALMAR LÄN</t>
        </is>
      </c>
      <c r="E192" t="inlineStr">
        <is>
          <t>HÖGSBY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21461-2020</t>
        </is>
      </c>
      <c r="B193" s="1" t="n">
        <v>43951</v>
      </c>
      <c r="C193" s="1" t="n">
        <v>45475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21464-2020</t>
        </is>
      </c>
      <c r="B194" s="1" t="n">
        <v>43951</v>
      </c>
      <c r="C194" s="1" t="n">
        <v>45475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22721-2020</t>
        </is>
      </c>
      <c r="B195" s="1" t="n">
        <v>43964</v>
      </c>
      <c r="C195" s="1" t="n">
        <v>45475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24947-2020</t>
        </is>
      </c>
      <c r="B196" s="1" t="n">
        <v>43979</v>
      </c>
      <c r="C196" s="1" t="n">
        <v>45475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26418-2020</t>
        </is>
      </c>
      <c r="B197" s="1" t="n">
        <v>43987</v>
      </c>
      <c r="C197" s="1" t="n">
        <v>45475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27159-2020</t>
        </is>
      </c>
      <c r="B198" s="1" t="n">
        <v>43991</v>
      </c>
      <c r="C198" s="1" t="n">
        <v>45475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27541-2020</t>
        </is>
      </c>
      <c r="B199" s="1" t="n">
        <v>43993</v>
      </c>
      <c r="C199" s="1" t="n">
        <v>45475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27864-2020</t>
        </is>
      </c>
      <c r="B200" s="1" t="n">
        <v>43994</v>
      </c>
      <c r="C200" s="1" t="n">
        <v>45475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28656-2020</t>
        </is>
      </c>
      <c r="B201" s="1" t="n">
        <v>43999</v>
      </c>
      <c r="C201" s="1" t="n">
        <v>45475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29870-2020</t>
        </is>
      </c>
      <c r="B202" s="1" t="n">
        <v>44006</v>
      </c>
      <c r="C202" s="1" t="n">
        <v>45475</v>
      </c>
      <c r="D202" t="inlineStr">
        <is>
          <t>KALMAR LÄN</t>
        </is>
      </c>
      <c r="E202" t="inlineStr">
        <is>
          <t>HÖGSBY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33365-2020</t>
        </is>
      </c>
      <c r="B203" s="1" t="n">
        <v>44021</v>
      </c>
      <c r="C203" s="1" t="n">
        <v>45475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33957-2020</t>
        </is>
      </c>
      <c r="B204" s="1" t="n">
        <v>44026</v>
      </c>
      <c r="C204" s="1" t="n">
        <v>45475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34808-2020</t>
        </is>
      </c>
      <c r="B205" s="1" t="n">
        <v>44035</v>
      </c>
      <c r="C205" s="1" t="n">
        <v>45475</v>
      </c>
      <c r="D205" t="inlineStr">
        <is>
          <t>KALMAR LÄN</t>
        </is>
      </c>
      <c r="E205" t="inlineStr">
        <is>
          <t>HÖGSBY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34865-2020</t>
        </is>
      </c>
      <c r="B206" s="1" t="n">
        <v>44036</v>
      </c>
      <c r="C206" s="1" t="n">
        <v>45475</v>
      </c>
      <c r="D206" t="inlineStr">
        <is>
          <t>KALMAR LÄN</t>
        </is>
      </c>
      <c r="E206" t="inlineStr">
        <is>
          <t>HÖGSBY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35244-2020</t>
        </is>
      </c>
      <c r="B207" s="1" t="n">
        <v>44041</v>
      </c>
      <c r="C207" s="1" t="n">
        <v>45475</v>
      </c>
      <c r="D207" t="inlineStr">
        <is>
          <t>KALMAR LÄN</t>
        </is>
      </c>
      <c r="E207" t="inlineStr">
        <is>
          <t>HÖGSBY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36050-2020</t>
        </is>
      </c>
      <c r="B208" s="1" t="n">
        <v>44048</v>
      </c>
      <c r="C208" s="1" t="n">
        <v>45475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36053-2020</t>
        </is>
      </c>
      <c r="B209" s="1" t="n">
        <v>44048</v>
      </c>
      <c r="C209" s="1" t="n">
        <v>45475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36342-2020</t>
        </is>
      </c>
      <c r="B210" s="1" t="n">
        <v>44049</v>
      </c>
      <c r="C210" s="1" t="n">
        <v>45475</v>
      </c>
      <c r="D210" t="inlineStr">
        <is>
          <t>KALMAR LÄN</t>
        </is>
      </c>
      <c r="E210" t="inlineStr">
        <is>
          <t>HÖGSBY</t>
        </is>
      </c>
      <c r="G210" t="n">
        <v>30.4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36422-2020</t>
        </is>
      </c>
      <c r="B211" s="1" t="n">
        <v>44049</v>
      </c>
      <c r="C211" s="1" t="n">
        <v>45475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36641-2020</t>
        </is>
      </c>
      <c r="B212" s="1" t="n">
        <v>44050</v>
      </c>
      <c r="C212" s="1" t="n">
        <v>45475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36816-2020</t>
        </is>
      </c>
      <c r="B213" s="1" t="n">
        <v>44053</v>
      </c>
      <c r="C213" s="1" t="n">
        <v>45475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36860-2020</t>
        </is>
      </c>
      <c r="B214" s="1" t="n">
        <v>44053</v>
      </c>
      <c r="C214" s="1" t="n">
        <v>45475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36862-2020</t>
        </is>
      </c>
      <c r="B215" s="1" t="n">
        <v>44053</v>
      </c>
      <c r="C215" s="1" t="n">
        <v>45475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37558-2020</t>
        </is>
      </c>
      <c r="B216" s="1" t="n">
        <v>44056</v>
      </c>
      <c r="C216" s="1" t="n">
        <v>45475</v>
      </c>
      <c r="D216" t="inlineStr">
        <is>
          <t>KALMAR LÄN</t>
        </is>
      </c>
      <c r="E216" t="inlineStr">
        <is>
          <t>HÖGSBY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37552-2020</t>
        </is>
      </c>
      <c r="B217" s="1" t="n">
        <v>44056</v>
      </c>
      <c r="C217" s="1" t="n">
        <v>45475</v>
      </c>
      <c r="D217" t="inlineStr">
        <is>
          <t>KALMAR LÄN</t>
        </is>
      </c>
      <c r="E217" t="inlineStr">
        <is>
          <t>HÖGSBY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37753-2020</t>
        </is>
      </c>
      <c r="B218" s="1" t="n">
        <v>44056</v>
      </c>
      <c r="C218" s="1" t="n">
        <v>45475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37908-2020</t>
        </is>
      </c>
      <c r="B219" s="1" t="n">
        <v>44057</v>
      </c>
      <c r="C219" s="1" t="n">
        <v>45475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37911-2020</t>
        </is>
      </c>
      <c r="B220" s="1" t="n">
        <v>44057</v>
      </c>
      <c r="C220" s="1" t="n">
        <v>45475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38563-2020</t>
        </is>
      </c>
      <c r="B221" s="1" t="n">
        <v>44061</v>
      </c>
      <c r="C221" s="1" t="n">
        <v>45475</v>
      </c>
      <c r="D221" t="inlineStr">
        <is>
          <t>KALMAR LÄN</t>
        </is>
      </c>
      <c r="E221" t="inlineStr">
        <is>
          <t>HÖGSBY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38540-2020</t>
        </is>
      </c>
      <c r="B222" s="1" t="n">
        <v>44061</v>
      </c>
      <c r="C222" s="1" t="n">
        <v>45475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39255-2020</t>
        </is>
      </c>
      <c r="B223" s="1" t="n">
        <v>44063</v>
      </c>
      <c r="C223" s="1" t="n">
        <v>45475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39465-2020</t>
        </is>
      </c>
      <c r="B224" s="1" t="n">
        <v>44064</v>
      </c>
      <c r="C224" s="1" t="n">
        <v>45475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40349-2020</t>
        </is>
      </c>
      <c r="B225" s="1" t="n">
        <v>44068</v>
      </c>
      <c r="C225" s="1" t="n">
        <v>45475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40367-2020</t>
        </is>
      </c>
      <c r="B226" s="1" t="n">
        <v>44068</v>
      </c>
      <c r="C226" s="1" t="n">
        <v>45475</v>
      </c>
      <c r="D226" t="inlineStr">
        <is>
          <t>KALMAR LÄN</t>
        </is>
      </c>
      <c r="E226" t="inlineStr">
        <is>
          <t>HÖGSBY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41379-2020</t>
        </is>
      </c>
      <c r="B227" s="1" t="n">
        <v>44072</v>
      </c>
      <c r="C227" s="1" t="n">
        <v>45475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42355-2020</t>
        </is>
      </c>
      <c r="B228" s="1" t="n">
        <v>44076</v>
      </c>
      <c r="C228" s="1" t="n">
        <v>45475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42540-2020</t>
        </is>
      </c>
      <c r="B229" s="1" t="n">
        <v>44077</v>
      </c>
      <c r="C229" s="1" t="n">
        <v>45475</v>
      </c>
      <c r="D229" t="inlineStr">
        <is>
          <t>KALMAR LÄN</t>
        </is>
      </c>
      <c r="E229" t="inlineStr">
        <is>
          <t>HÖGSBY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42958-2020</t>
        </is>
      </c>
      <c r="B230" s="1" t="n">
        <v>44078</v>
      </c>
      <c r="C230" s="1" t="n">
        <v>45475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43684-2020</t>
        </is>
      </c>
      <c r="B231" s="1" t="n">
        <v>44078</v>
      </c>
      <c r="C231" s="1" t="n">
        <v>45475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43425-2020</t>
        </is>
      </c>
      <c r="B232" s="1" t="n">
        <v>44081</v>
      </c>
      <c r="C232" s="1" t="n">
        <v>45475</v>
      </c>
      <c r="D232" t="inlineStr">
        <is>
          <t>KALMAR LÄN</t>
        </is>
      </c>
      <c r="E232" t="inlineStr">
        <is>
          <t>HÖGSBY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44084-2020</t>
        </is>
      </c>
      <c r="B233" s="1" t="n">
        <v>44083</v>
      </c>
      <c r="C233" s="1" t="n">
        <v>45475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45253-2020</t>
        </is>
      </c>
      <c r="B234" s="1" t="n">
        <v>44089</v>
      </c>
      <c r="C234" s="1" t="n">
        <v>45475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45429-2020</t>
        </is>
      </c>
      <c r="B235" s="1" t="n">
        <v>44089</v>
      </c>
      <c r="C235" s="1" t="n">
        <v>45475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49631-2020</t>
        </is>
      </c>
      <c r="B236" s="1" t="n">
        <v>44106</v>
      </c>
      <c r="C236" s="1" t="n">
        <v>45475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51593-2020</t>
        </is>
      </c>
      <c r="B237" s="1" t="n">
        <v>44109</v>
      </c>
      <c r="C237" s="1" t="n">
        <v>45475</v>
      </c>
      <c r="D237" t="inlineStr">
        <is>
          <t>KALMAR LÄN</t>
        </is>
      </c>
      <c r="E237" t="inlineStr">
        <is>
          <t>HÖGSBY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51581-2020</t>
        </is>
      </c>
      <c r="B238" s="1" t="n">
        <v>44109</v>
      </c>
      <c r="C238" s="1" t="n">
        <v>45475</v>
      </c>
      <c r="D238" t="inlineStr">
        <is>
          <t>KALMAR LÄN</t>
        </is>
      </c>
      <c r="E238" t="inlineStr">
        <is>
          <t>HÖGSBY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53784-2020</t>
        </is>
      </c>
      <c r="B239" s="1" t="n">
        <v>44124</v>
      </c>
      <c r="C239" s="1" t="n">
        <v>45475</v>
      </c>
      <c r="D239" t="inlineStr">
        <is>
          <t>KALMAR LÄN</t>
        </is>
      </c>
      <c r="E239" t="inlineStr">
        <is>
          <t>HÖGSBY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54369-2020</t>
        </is>
      </c>
      <c r="B240" s="1" t="n">
        <v>44125</v>
      </c>
      <c r="C240" s="1" t="n">
        <v>45475</v>
      </c>
      <c r="D240" t="inlineStr">
        <is>
          <t>KALMAR LÄN</t>
        </is>
      </c>
      <c r="E240" t="inlineStr">
        <is>
          <t>HÖGSBY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54361-2020</t>
        </is>
      </c>
      <c r="B241" s="1" t="n">
        <v>44125</v>
      </c>
      <c r="C241" s="1" t="n">
        <v>45475</v>
      </c>
      <c r="D241" t="inlineStr">
        <is>
          <t>KALMAR LÄN</t>
        </is>
      </c>
      <c r="E241" t="inlineStr">
        <is>
          <t>HÖGSBY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55170-2020</t>
        </is>
      </c>
      <c r="B242" s="1" t="n">
        <v>44130</v>
      </c>
      <c r="C242" s="1" t="n">
        <v>45475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57683-2020</t>
        </is>
      </c>
      <c r="B243" s="1" t="n">
        <v>44140</v>
      </c>
      <c r="C243" s="1" t="n">
        <v>45475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57680-2020</t>
        </is>
      </c>
      <c r="B244" s="1" t="n">
        <v>44140</v>
      </c>
      <c r="C244" s="1" t="n">
        <v>45475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58982-2020</t>
        </is>
      </c>
      <c r="B245" s="1" t="n">
        <v>44146</v>
      </c>
      <c r="C245" s="1" t="n">
        <v>45475</v>
      </c>
      <c r="D245" t="inlineStr">
        <is>
          <t>KALMAR LÄN</t>
        </is>
      </c>
      <c r="E245" t="inlineStr">
        <is>
          <t>HÖGSBY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59113-2020</t>
        </is>
      </c>
      <c r="B246" s="1" t="n">
        <v>44147</v>
      </c>
      <c r="C246" s="1" t="n">
        <v>45475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61428-2020</t>
        </is>
      </c>
      <c r="B247" s="1" t="n">
        <v>44157</v>
      </c>
      <c r="C247" s="1" t="n">
        <v>45475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64209-2020</t>
        </is>
      </c>
      <c r="B248" s="1" t="n">
        <v>44168</v>
      </c>
      <c r="C248" s="1" t="n">
        <v>45475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64602-2020</t>
        </is>
      </c>
      <c r="B249" s="1" t="n">
        <v>44169</v>
      </c>
      <c r="C249" s="1" t="n">
        <v>45475</v>
      </c>
      <c r="D249" t="inlineStr">
        <is>
          <t>KALMAR LÄN</t>
        </is>
      </c>
      <c r="E249" t="inlineStr">
        <is>
          <t>HÖGSBY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66145-2020</t>
        </is>
      </c>
      <c r="B250" s="1" t="n">
        <v>44175</v>
      </c>
      <c r="C250" s="1" t="n">
        <v>45475</v>
      </c>
      <c r="D250" t="inlineStr">
        <is>
          <t>KALMAR LÄN</t>
        </is>
      </c>
      <c r="E250" t="inlineStr">
        <is>
          <t>HÖGSBY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66158-2020</t>
        </is>
      </c>
      <c r="B251" s="1" t="n">
        <v>44175</v>
      </c>
      <c r="C251" s="1" t="n">
        <v>45475</v>
      </c>
      <c r="D251" t="inlineStr">
        <is>
          <t>KALMAR LÄN</t>
        </is>
      </c>
      <c r="E251" t="inlineStr">
        <is>
          <t>HÖGSBY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66764-2020</t>
        </is>
      </c>
      <c r="B252" s="1" t="n">
        <v>44179</v>
      </c>
      <c r="C252" s="1" t="n">
        <v>45475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68311-2020</t>
        </is>
      </c>
      <c r="B253" s="1" t="n">
        <v>44185</v>
      </c>
      <c r="C253" s="1" t="n">
        <v>45475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235-2021</t>
        </is>
      </c>
      <c r="B254" s="1" t="n">
        <v>44200</v>
      </c>
      <c r="C254" s="1" t="n">
        <v>45475</v>
      </c>
      <c r="D254" t="inlineStr">
        <is>
          <t>KALMAR LÄN</t>
        </is>
      </c>
      <c r="E254" t="inlineStr">
        <is>
          <t>HÖGSBY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1454-2021</t>
        </is>
      </c>
      <c r="B255" s="1" t="n">
        <v>44208</v>
      </c>
      <c r="C255" s="1" t="n">
        <v>45475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2964-2021</t>
        </is>
      </c>
      <c r="B256" s="1" t="n">
        <v>44216</v>
      </c>
      <c r="C256" s="1" t="n">
        <v>45475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3507-2021</t>
        </is>
      </c>
      <c r="B257" s="1" t="n">
        <v>44216</v>
      </c>
      <c r="C257" s="1" t="n">
        <v>45475</v>
      </c>
      <c r="D257" t="inlineStr">
        <is>
          <t>KALMAR LÄN</t>
        </is>
      </c>
      <c r="E257" t="inlineStr">
        <is>
          <t>HÖGSBY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4505-2021</t>
        </is>
      </c>
      <c r="B258" s="1" t="n">
        <v>44224</v>
      </c>
      <c r="C258" s="1" t="n">
        <v>45475</v>
      </c>
      <c r="D258" t="inlineStr">
        <is>
          <t>KALMAR LÄN</t>
        </is>
      </c>
      <c r="E258" t="inlineStr">
        <is>
          <t>HÖGSBY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4566-2021</t>
        </is>
      </c>
      <c r="B259" s="1" t="n">
        <v>44224</v>
      </c>
      <c r="C259" s="1" t="n">
        <v>45475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5539-2021</t>
        </is>
      </c>
      <c r="B260" s="1" t="n">
        <v>44230</v>
      </c>
      <c r="C260" s="1" t="n">
        <v>45475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9353-2021</t>
        </is>
      </c>
      <c r="B261" s="1" t="n">
        <v>44250</v>
      </c>
      <c r="C261" s="1" t="n">
        <v>45475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11529-2021</t>
        </is>
      </c>
      <c r="B262" s="1" t="n">
        <v>44264</v>
      </c>
      <c r="C262" s="1" t="n">
        <v>45475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11916-2021</t>
        </is>
      </c>
      <c r="B263" s="1" t="n">
        <v>44266</v>
      </c>
      <c r="C263" s="1" t="n">
        <v>45475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12883-2021</t>
        </is>
      </c>
      <c r="B264" s="1" t="n">
        <v>44271</v>
      </c>
      <c r="C264" s="1" t="n">
        <v>45475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12887-2021</t>
        </is>
      </c>
      <c r="B265" s="1" t="n">
        <v>44271</v>
      </c>
      <c r="C265" s="1" t="n">
        <v>45475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12899-2021</t>
        </is>
      </c>
      <c r="B266" s="1" t="n">
        <v>44271</v>
      </c>
      <c r="C266" s="1" t="n">
        <v>45475</v>
      </c>
      <c r="D266" t="inlineStr">
        <is>
          <t>KALMAR LÄN</t>
        </is>
      </c>
      <c r="E266" t="inlineStr">
        <is>
          <t>HÖGSBY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13170-2021</t>
        </is>
      </c>
      <c r="B267" s="1" t="n">
        <v>44272</v>
      </c>
      <c r="C267" s="1" t="n">
        <v>45475</v>
      </c>
      <c r="D267" t="inlineStr">
        <is>
          <t>KALMAR LÄN</t>
        </is>
      </c>
      <c r="E267" t="inlineStr">
        <is>
          <t>HÖGSBY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18777-2021</t>
        </is>
      </c>
      <c r="B268" s="1" t="n">
        <v>44307</v>
      </c>
      <c r="C268" s="1" t="n">
        <v>45475</v>
      </c>
      <c r="D268" t="inlineStr">
        <is>
          <t>KALMAR LÄN</t>
        </is>
      </c>
      <c r="E268" t="inlineStr">
        <is>
          <t>HÖGSBY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19694-2021</t>
        </is>
      </c>
      <c r="B269" s="1" t="n">
        <v>44312</v>
      </c>
      <c r="C269" s="1" t="n">
        <v>45475</v>
      </c>
      <c r="D269" t="inlineStr">
        <is>
          <t>KALMAR LÄN</t>
        </is>
      </c>
      <c r="E269" t="inlineStr">
        <is>
          <t>HÖGSBY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20415-2021</t>
        </is>
      </c>
      <c r="B270" s="1" t="n">
        <v>44315</v>
      </c>
      <c r="C270" s="1" t="n">
        <v>45475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21496-2021</t>
        </is>
      </c>
      <c r="B271" s="1" t="n">
        <v>44321</v>
      </c>
      <c r="C271" s="1" t="n">
        <v>45475</v>
      </c>
      <c r="D271" t="inlineStr">
        <is>
          <t>KALMAR LÄN</t>
        </is>
      </c>
      <c r="E271" t="inlineStr">
        <is>
          <t>HÖGSBY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22636-2021</t>
        </is>
      </c>
      <c r="B272" s="1" t="n">
        <v>44327</v>
      </c>
      <c r="C272" s="1" t="n">
        <v>45475</v>
      </c>
      <c r="D272" t="inlineStr">
        <is>
          <t>KALMAR LÄN</t>
        </is>
      </c>
      <c r="E272" t="inlineStr">
        <is>
          <t>HÖGSBY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23597-2021</t>
        </is>
      </c>
      <c r="B273" s="1" t="n">
        <v>44334</v>
      </c>
      <c r="C273" s="1" t="n">
        <v>45475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23604-2021</t>
        </is>
      </c>
      <c r="B274" s="1" t="n">
        <v>44334</v>
      </c>
      <c r="C274" s="1" t="n">
        <v>45475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45475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45475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45475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45475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45475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45475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45475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45475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45475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45475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45475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45475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45475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45475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45475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45475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45475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45475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45475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45475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45475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45475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45475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45475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45475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45475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45475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45475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45475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45475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45475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45475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45475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45475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45475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45475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45475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45475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45475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45475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45475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45475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45475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45475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45475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45475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45475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45475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45475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45475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45475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45475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45475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45475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45475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45475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45475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45475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45475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45475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45475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45475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45475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45475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45475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45475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45475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45475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45475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45475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45475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45475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45475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45475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45475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45475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45475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45475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45475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45475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45475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45475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45475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45475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45475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45475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45475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45475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45475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45475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45475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45475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45475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45475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45475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45475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45475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45475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45475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45475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45475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45475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45475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45475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45475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45475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45475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45475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45475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45475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45475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45475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45475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45475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45475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45475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45475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45475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45475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45475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45475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45475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45475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45475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45475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45475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45475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45475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45475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45475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45475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45475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45475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45475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45475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45475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45475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45475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45475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45475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45475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45475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45475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45475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45475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45475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45475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45475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45475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45475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45475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45475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45475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45475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45475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45475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45475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45475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45475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45475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45475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45475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45475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45475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45475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45475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45475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45475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45475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45475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45475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45475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45475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45475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45475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45475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45475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45475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45475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45475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45475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45475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45475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45475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45475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45475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45475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45475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45475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45475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45475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45475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45475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45475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45475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45475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45475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45475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45475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45475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45475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45475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45475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45475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45475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45475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45475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45475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45475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45475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45475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45475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45475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45475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45475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45475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45475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45475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45475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45475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45475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45475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45475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45475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45475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45475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45475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45475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45475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45475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45475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45475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45475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45475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45475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45475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45475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45475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45475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45475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45475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45475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45475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45475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45475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45475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45475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45475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45475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45475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45475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45475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45475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45475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45475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45475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45475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45475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45475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45475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45475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45475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45475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45475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45475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45475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45475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45475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45475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45475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45475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45475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45475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45475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45475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45475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45475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45475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45475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45475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45475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45475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45475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45475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45475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45475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45475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45475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45475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45475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45475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45475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45475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45475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45475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45475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45475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45475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45475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45475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45475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45475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45475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45475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45475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45475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45475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45475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45475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45475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45475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45475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45475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45475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45475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45475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45475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45475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45475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45475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45475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45475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45475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45475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45475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45475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45475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45475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45475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45475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45475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45475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45475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45475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45475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45475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45475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45475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45475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45475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45475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45475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45475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45475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45475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45475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45475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45475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45475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45475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45475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45475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45475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45475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45475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45475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45475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45475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45475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45475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45475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45475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22522-2024</t>
        </is>
      </c>
      <c r="B637" s="1" t="n">
        <v>45447</v>
      </c>
      <c r="C637" s="1" t="n">
        <v>45475</v>
      </c>
      <c r="D637" t="inlineStr">
        <is>
          <t>KALMAR LÄN</t>
        </is>
      </c>
      <c r="E637" t="inlineStr">
        <is>
          <t>HÖGSBY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22523-2024</t>
        </is>
      </c>
      <c r="B638" s="1" t="n">
        <v>45447</v>
      </c>
      <c r="C638" s="1" t="n">
        <v>45475</v>
      </c>
      <c r="D638" t="inlineStr">
        <is>
          <t>KALMAR LÄN</t>
        </is>
      </c>
      <c r="E638" t="inlineStr">
        <is>
          <t>HÖGSBY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22620-2024</t>
        </is>
      </c>
      <c r="B639" s="1" t="n">
        <v>45447</v>
      </c>
      <c r="C639" s="1" t="n">
        <v>45475</v>
      </c>
      <c r="D639" t="inlineStr">
        <is>
          <t>KALMAR LÄN</t>
        </is>
      </c>
      <c r="E639" t="inlineStr">
        <is>
          <t>HÖGSBY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22524-2024</t>
        </is>
      </c>
      <c r="B640" s="1" t="n">
        <v>45447</v>
      </c>
      <c r="C640" s="1" t="n">
        <v>45475</v>
      </c>
      <c r="D640" t="inlineStr">
        <is>
          <t>KALMAR LÄN</t>
        </is>
      </c>
      <c r="E640" t="inlineStr">
        <is>
          <t>HÖGSBY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45475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24612-2024</t>
        </is>
      </c>
      <c r="B642" s="1" t="n">
        <v>45460</v>
      </c>
      <c r="C642" s="1" t="n">
        <v>45475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24601-2024</t>
        </is>
      </c>
      <c r="B643" s="1" t="n">
        <v>45460</v>
      </c>
      <c r="C643" s="1" t="n">
        <v>45475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14.7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24609-2024</t>
        </is>
      </c>
      <c r="B644" s="1" t="n">
        <v>45460</v>
      </c>
      <c r="C644" s="1" t="n">
        <v>45475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24611-2024</t>
        </is>
      </c>
      <c r="B645" s="1" t="n">
        <v>45460</v>
      </c>
      <c r="C645" s="1" t="n">
        <v>45475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45475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26545-2024</t>
        </is>
      </c>
      <c r="B647" s="1" t="n">
        <v>45469</v>
      </c>
      <c r="C647" s="1" t="n">
        <v>45475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2024-07-02T10:35:35Z</dcterms:created>
  <dcterms:modified xmlns:dcterms="http://purl.org/dc/terms/" xmlns:xsi="http://www.w3.org/2001/XMLSchema-instance" xsi:type="dcterms:W3CDTF">2024-07-02T10:35:36Z</dcterms:modified>
</cp:coreProperties>
</file>