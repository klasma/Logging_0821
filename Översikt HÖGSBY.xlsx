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46296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46296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46296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46296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46296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38705-2026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46296</v>
      </c>
      <c r="F8" t="inlineStr">
        <is>
          <t>KALMAR LÄN</t>
        </is>
      </c>
      <c r="G8" t="inlineStr">
        <is>
          <t>HÖGSBY</t>
        </is>
      </c>
      <c r="I8" t="n">
        <v>2.9</v>
      </c>
      <c r="J8" t="n">
        <v>5</v>
      </c>
      <c r="K8" t="n">
        <v>2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14</v>
      </c>
      <c r="U8" t="n">
        <v>14</v>
      </c>
      <c r="V8" s="2" t="inlineStr">
        <is>
          <t>Knärot
Större flatbagge
Talltita
Ullticka
Björksplintborre
Grön sköldmossa
Blåsippa
Kransmossa
Tjäder</t>
        </is>
      </c>
      <c r="W8">
        <f>HYPERLINK("https://klasma.github.io/Logging_0821/artfynd/A 38705-2026 artfynd.xlsx", "A 38705-2026")</f>
        <v/>
      </c>
      <c r="X8">
        <f>HYPERLINK("https://klasma.github.io/Logging_0821/kartor/A 38705-2026 karta.png", "A 38705-2026")</f>
        <v/>
      </c>
      <c r="Y8">
        <f>HYPERLINK("https://klasma.github.io/Logging_0821/kartor_geotiff/A 38705-2026 georefererad karta.tif", "A 38705-2026")</f>
        <v/>
      </c>
      <c r="Z8">
        <f>HYPERLINK("https://klasma.github.io/Logging_0821/knärot/A 38705-2026 karta knärot.png", "A 38705-2026")</f>
        <v/>
      </c>
      <c r="AA8">
        <f>HYPERLINK("https://klasma.github.io/Logging_0821/klagomål/A 38705-2026 FSC-klagomål.docx", "A 38705-2026")</f>
        <v/>
      </c>
      <c r="AB8">
        <f>HYPERLINK("https://klasma.github.io/Logging_0821/klagomålsmail/A 38705-2026 FSC-klagomål mail.docx", "A 38705-2026")</f>
        <v/>
      </c>
      <c r="AC8">
        <f>HYPERLINK("https://klasma.github.io/Logging_0821/tillsyn/A 38705-2026 tillsynsbegäran.docx", "A 38705-2026")</f>
        <v/>
      </c>
      <c r="AD8">
        <f>HYPERLINK("https://klasma.github.io/Logging_0821/tillsynsmail/A 38705-2026 tillsynsbegäran mail.docx", "A 38705-2026")</f>
        <v/>
      </c>
      <c r="AE8">
        <f>HYPERLINK("https://klasma.github.io/Logging_0821/fåglar/A 38705-2026 prioriterade fågelarter.docx", "A 38705-2026")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46296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46296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46296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46296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46296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46296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46296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A 7410-2024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45345</v>
      </c>
      <c r="E16" s="1" t="n">
        <v>46296</v>
      </c>
      <c r="F16" t="inlineStr">
        <is>
          <t>KALMAR LÄN</t>
        </is>
      </c>
      <c r="G16" t="inlineStr">
        <is>
          <t>HÖGSBY</t>
        </is>
      </c>
      <c r="I16" t="n">
        <v>2.7</v>
      </c>
      <c r="J16" t="n">
        <v>5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16</v>
      </c>
      <c r="U16" t="n">
        <v>0</v>
      </c>
      <c r="V16" s="2" t="inlineStr">
        <is>
          <t>Knärot
Talltita
Blåsippa
Mattlummer
Tjäder</t>
        </is>
      </c>
      <c r="W16">
        <f>HYPERLINK("https://klasma.github.io/Logging_0821/artfynd/A 7410-2024 artfynd.xlsx", "A 7410-2024")</f>
        <v/>
      </c>
      <c r="X16">
        <f>HYPERLINK("https://klasma.github.io/Logging_0821/kartor/A 7410-2024 karta.png", "A 7410-2024")</f>
        <v/>
      </c>
      <c r="Y16">
        <f>HYPERLINK("https://klasma.github.io/Logging_0821/kartor_geotiff/A 7410-2024 georefererad karta.tif", "A 7410-2024")</f>
        <v/>
      </c>
      <c r="Z16">
        <f>HYPERLINK("https://klasma.github.io/Logging_0821/knärot/A 7410-2024 karta knärot.png", "A 7410-2024")</f>
        <v/>
      </c>
      <c r="AA16">
        <f>HYPERLINK("https://klasma.github.io/Logging_0821/klagomål/A 7410-2024 FSC-klagomål.docx", "A 7410-2024")</f>
        <v/>
      </c>
      <c r="AB16">
        <f>HYPERLINK("https://klasma.github.io/Logging_0821/klagomålsmail/A 7410-2024 FSC-klagomål mail.docx", "A 7410-2024")</f>
        <v/>
      </c>
      <c r="AC16">
        <f>HYPERLINK("https://klasma.github.io/Logging_0821/tillsyn/A 7410-2024 tillsynsbegäran.docx", "A 7410-2024")</f>
        <v/>
      </c>
      <c r="AD16">
        <f>HYPERLINK("https://klasma.github.io/Logging_0821/tillsynsmail/A 7410-2024 tillsynsbegäran mail.docx", "A 7410-2024")</f>
        <v/>
      </c>
      <c r="AE16">
        <f>HYPERLINK("https://klasma.github.io/Logging_0821/fåglar/A 7410-2024 prioriterade fågelarter.docx", "A 7410-2024")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46296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46296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46296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46296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46296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46296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46296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46296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46296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46296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46296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46296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46296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46296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46296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62371-2023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46296</v>
      </c>
      <c r="F32" t="inlineStr">
        <is>
          <t>KALMAR LÄN</t>
        </is>
      </c>
      <c r="G32" t="inlineStr">
        <is>
          <t>HÖGSBY</t>
        </is>
      </c>
      <c r="I32" t="n">
        <v>4.5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Spillkråka</t>
        </is>
      </c>
      <c r="W32">
        <f>HYPERLINK("https://klasma.github.io/Logging_0821/artfynd/A 62371-2023 artfynd.xlsx", "A 62371-2023")</f>
        <v/>
      </c>
      <c r="X32">
        <f>HYPERLINK("https://klasma.github.io/Logging_0821/kartor/A 62371-2023 karta.png", "A 62371-2023")</f>
        <v/>
      </c>
      <c r="Y32">
        <f>HYPERLINK("https://klasma.github.io/Logging_0821/kartor_geotiff/A 62371-2023 georefererad karta.tif", "A 62371-2023")</f>
        <v/>
      </c>
      <c r="Z32">
        <f>HYPERLINK("https://klasma.github.io/Logging_0821/knärot/A 62371-2023 karta knärot.png", "A 62371-2023")</f>
        <v/>
      </c>
      <c r="AA32">
        <f>HYPERLINK("https://klasma.github.io/Logging_0821/klagomål/A 62371-2023 FSC-klagomål.docx", "A 62371-2023")</f>
        <v/>
      </c>
      <c r="AB32">
        <f>HYPERLINK("https://klasma.github.io/Logging_0821/klagomålsmail/A 62371-2023 FSC-klagomål mail.docx", "A 62371-2023")</f>
        <v/>
      </c>
      <c r="AC32">
        <f>HYPERLINK("https://klasma.github.io/Logging_0821/tillsyn/A 62371-2023 tillsynsbegäran.docx", "A 62371-2023")</f>
        <v/>
      </c>
      <c r="AD32">
        <f>HYPERLINK("https://klasma.github.io/Logging_0821/tillsynsmail/A 62371-2023 tillsynsbegäran mail.docx", "A 62371-2023")</f>
        <v/>
      </c>
      <c r="AE32">
        <f>HYPERLINK("https://klasma.github.io/Logging_0821/fåglar/A 62371-2023 prioriterade fågelarter.docx", "A 62371-2023")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46296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46296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46296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46296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26775-2026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46184</v>
      </c>
      <c r="E37" s="1" t="n">
        <v>46296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Blåsippa</t>
        </is>
      </c>
      <c r="W37">
        <f>HYPERLINK("https://klasma.github.io/Logging_0821/artfynd/A 26775-2026 artfynd.xlsx", "A 26775-2026")</f>
        <v/>
      </c>
      <c r="X37">
        <f>HYPERLINK("https://klasma.github.io/Logging_0821/kartor/A 26775-2026 karta.png", "A 26775-2026")</f>
        <v/>
      </c>
      <c r="Y37">
        <f>HYPERLINK("https://klasma.github.io/Logging_0821/kartor_geotiff/A 26775-2026 georefererad karta.tif", "A 26775-2026")</f>
        <v/>
      </c>
      <c r="AA37">
        <f>HYPERLINK("https://klasma.github.io/Logging_0821/klagomål/A 26775-2026 FSC-klagomål.docx", "A 26775-2026")</f>
        <v/>
      </c>
      <c r="AB37">
        <f>HYPERLINK("https://klasma.github.io/Logging_0821/klagomålsmail/A 26775-2026 FSC-klagomål mail.docx", "A 26775-2026")</f>
        <v/>
      </c>
      <c r="AC37">
        <f>HYPERLINK("https://klasma.github.io/Logging_0821/tillsyn/A 26775-2026 tillsynsbegäran.docx", "A 26775-2026")</f>
        <v/>
      </c>
      <c r="AD37">
        <f>HYPERLINK("https://klasma.github.io/Logging_0821/tillsynsmail/A 26775-2026 tillsynsbegäran mail.docx", "A 26775-2026")</f>
        <v/>
      </c>
    </row>
    <row r="38" ht="15" customHeight="1">
      <c r="A38" t="inlineStr">
        <is>
          <t>A 32911-2026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46296</v>
      </c>
      <c r="F38" t="inlineStr">
        <is>
          <t>KALMAR LÄN</t>
        </is>
      </c>
      <c r="G38" t="inlineStr">
        <is>
          <t>HÖGSBY</t>
        </is>
      </c>
      <c r="I38" t="n">
        <v>6.1</v>
      </c>
      <c r="J38" t="n">
        <v>2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Hornuggla
Hasselsnok</t>
        </is>
      </c>
      <c r="W38">
        <f>HYPERLINK("https://klasma.github.io/Logging_0821/artfynd/A 32911-2026 artfynd.xlsx", "A 32911-2026")</f>
        <v/>
      </c>
      <c r="X38">
        <f>HYPERLINK("https://klasma.github.io/Logging_0821/kartor/A 32911-2026 karta.png", "A 32911-2026")</f>
        <v/>
      </c>
      <c r="Y38">
        <f>HYPERLINK("https://klasma.github.io/Logging_0821/kartor_geotiff/A 32911-2026 georefererad karta.tif", "A 32911-2026")</f>
        <v/>
      </c>
      <c r="AA38">
        <f>HYPERLINK("https://klasma.github.io/Logging_0821/klagomål/A 32911-2026 FSC-klagomål.docx", "A 32911-2026")</f>
        <v/>
      </c>
      <c r="AB38">
        <f>HYPERLINK("https://klasma.github.io/Logging_0821/klagomålsmail/A 32911-2026 FSC-klagomål mail.docx", "A 32911-2026")</f>
        <v/>
      </c>
      <c r="AC38">
        <f>HYPERLINK("https://klasma.github.io/Logging_0821/tillsyn/A 32911-2026 tillsynsbegäran.docx", "A 32911-2026")</f>
        <v/>
      </c>
      <c r="AD38">
        <f>HYPERLINK("https://klasma.github.io/Logging_0821/tillsynsmail/A 32911-2026 tillsynsbegäran mail.docx", "A 32911-2026")</f>
        <v/>
      </c>
      <c r="AE38">
        <f>HYPERLINK("https://klasma.github.io/Logging_0821/fåglar/A 32911-2026 prioriterade fågelarter.docx", "A 32911-2026")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46296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46296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59407-2022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44907</v>
      </c>
      <c r="E41" s="1" t="n">
        <v>46296</v>
      </c>
      <c r="F41" t="inlineStr">
        <is>
          <t>KALMAR LÄN</t>
        </is>
      </c>
      <c r="G41" t="inlineStr">
        <is>
          <t>HÖGSBY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Blåsippa</t>
        </is>
      </c>
      <c r="W41">
        <f>HYPERLINK("https://klasma.github.io/Logging_0821/artfynd/A 59407-2022 artfynd.xlsx", "A 59407-2022")</f>
        <v/>
      </c>
      <c r="X41">
        <f>HYPERLINK("https://klasma.github.io/Logging_0821/kartor/A 59407-2022 karta.png", "A 59407-2022")</f>
        <v/>
      </c>
      <c r="Y41">
        <f>HYPERLINK("https://klasma.github.io/Logging_0821/kartor_geotiff/A 59407-2022 georefererad karta.tif", "A 59407-2022")</f>
        <v/>
      </c>
      <c r="AA41">
        <f>HYPERLINK("https://klasma.github.io/Logging_0821/klagomål/A 59407-2022 FSC-klagomål.docx", "A 59407-2022")</f>
        <v/>
      </c>
      <c r="AB41">
        <f>HYPERLINK("https://klasma.github.io/Logging_0821/klagomålsmail/A 59407-2022 FSC-klagomål mail.docx", "A 59407-2022")</f>
        <v/>
      </c>
      <c r="AC41">
        <f>HYPERLINK("https://klasma.github.io/Logging_0821/tillsyn/A 59407-2022 tillsynsbegäran.docx", "A 59407-2022")</f>
        <v/>
      </c>
      <c r="AD41">
        <f>HYPERLINK("https://klasma.github.io/Logging_0821/tillsynsmail/A 59407-2022 tillsynsbegäran mail.docx", "A 59407-2022")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46296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35075-2023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46296</v>
      </c>
      <c r="F43" t="inlineStr">
        <is>
          <t>KALMAR LÄN</t>
        </is>
      </c>
      <c r="G43" t="inlineStr">
        <is>
          <t>HÖGSBY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35075-2023 artfynd.xlsx", "A 35075-2023")</f>
        <v/>
      </c>
      <c r="X43">
        <f>HYPERLINK("https://klasma.github.io/Logging_0821/kartor/A 35075-2023 karta.png", "A 35075-2023")</f>
        <v/>
      </c>
      <c r="Y43">
        <f>HYPERLINK("https://klasma.github.io/Logging_0821/kartor_geotiff/A 35075-2023 georefererad karta.tif", "A 35075-2023")</f>
        <v/>
      </c>
      <c r="AA43">
        <f>HYPERLINK("https://klasma.github.io/Logging_0821/klagomål/A 35075-2023 FSC-klagomål.docx", "A 35075-2023")</f>
        <v/>
      </c>
      <c r="AB43">
        <f>HYPERLINK("https://klasma.github.io/Logging_0821/klagomålsmail/A 35075-2023 FSC-klagomål mail.docx", "A 35075-2023")</f>
        <v/>
      </c>
      <c r="AC43">
        <f>HYPERLINK("https://klasma.github.io/Logging_0821/tillsyn/A 35075-2023 tillsynsbegäran.docx", "A 35075-2023")</f>
        <v/>
      </c>
      <c r="AD43">
        <f>HYPERLINK("https://klasma.github.io/Logging_0821/tillsynsmail/A 35075-2023 tillsynsbegäran mail.docx", "A 35075-2023")</f>
        <v/>
      </c>
    </row>
    <row r="44" ht="15" customHeight="1">
      <c r="A44" t="inlineStr">
        <is>
          <t>A 19519-2025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45770</v>
      </c>
      <c r="E44" s="1" t="n">
        <v>46296</v>
      </c>
      <c r="F44" t="inlineStr">
        <is>
          <t>KALMAR LÄN</t>
        </is>
      </c>
      <c r="G44" t="inlineStr">
        <is>
          <t>HÖGSBY</t>
        </is>
      </c>
      <c r="I44" t="n">
        <v>3.5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Dropptaggsvamp</t>
        </is>
      </c>
      <c r="W44">
        <f>HYPERLINK("https://klasma.github.io/Logging_0821/artfynd/A 19519-2025 artfynd.xlsx", "A 19519-2025")</f>
        <v/>
      </c>
      <c r="X44">
        <f>HYPERLINK("https://klasma.github.io/Logging_0821/kartor/A 19519-2025 karta.png", "A 19519-2025")</f>
        <v/>
      </c>
      <c r="Y44">
        <f>HYPERLINK("https://klasma.github.io/Logging_0821/kartor_geotiff/A 19519-2025 georefererad karta.tif", "A 19519-2025")</f>
        <v/>
      </c>
      <c r="AA44">
        <f>HYPERLINK("https://klasma.github.io/Logging_0821/klagomål/A 19519-2025 FSC-klagomål.docx", "A 19519-2025")</f>
        <v/>
      </c>
      <c r="AB44">
        <f>HYPERLINK("https://klasma.github.io/Logging_0821/klagomålsmail/A 19519-2025 FSC-klagomål mail.docx", "A 19519-2025")</f>
        <v/>
      </c>
      <c r="AC44">
        <f>HYPERLINK("https://klasma.github.io/Logging_0821/tillsyn/A 19519-2025 tillsynsbegäran.docx", "A 19519-2025")</f>
        <v/>
      </c>
      <c r="AD44">
        <f>HYPERLINK("https://klasma.github.io/Logging_0821/tillsynsmail/A 19519-2025 tillsynsbegäran mail.docx", "A 19519-2025")</f>
        <v/>
      </c>
    </row>
    <row r="45" ht="15" customHeight="1">
      <c r="A45" t="inlineStr">
        <is>
          <t>A 59700-2023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45256</v>
      </c>
      <c r="E45" s="1" t="n">
        <v>46296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59700-2023 artfynd.xlsx", "A 59700-2023")</f>
        <v/>
      </c>
      <c r="X45">
        <f>HYPERLINK("https://klasma.github.io/Logging_0821/kartor/A 59700-2023 karta.png", "A 59700-2023")</f>
        <v/>
      </c>
      <c r="Y45">
        <f>HYPERLINK("https://klasma.github.io/Logging_0821/kartor_geotiff/A 59700-2023 georefererad karta.tif", "A 59700-2023")</f>
        <v/>
      </c>
      <c r="AA45">
        <f>HYPERLINK("https://klasma.github.io/Logging_0821/klagomål/A 59700-2023 FSC-klagomål.docx", "A 59700-2023")</f>
        <v/>
      </c>
      <c r="AB45">
        <f>HYPERLINK("https://klasma.github.io/Logging_0821/klagomålsmail/A 59700-2023 FSC-klagomål mail.docx", "A 59700-2023")</f>
        <v/>
      </c>
      <c r="AC45">
        <f>HYPERLINK("https://klasma.github.io/Logging_0821/tillsyn/A 59700-2023 tillsynsbegäran.docx", "A 59700-2023")</f>
        <v/>
      </c>
      <c r="AD45">
        <f>HYPERLINK("https://klasma.github.io/Logging_0821/tillsynsmail/A 59700-2023 tillsynsbegäran mail.docx", "A 59700-2023")</f>
        <v/>
      </c>
      <c r="AE45">
        <f>HYPERLINK("https://klasma.github.io/Logging_0821/fåglar/A 59700-2023 prioriterade fågelarter.docx", "A 59700-2023")</f>
        <v/>
      </c>
    </row>
    <row r="46" ht="15" customHeight="1">
      <c r="A46" t="inlineStr">
        <is>
          <t>A 35072-2023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46296</v>
      </c>
      <c r="F46" t="inlineStr">
        <is>
          <t>KALMAR LÄN</t>
        </is>
      </c>
      <c r="G46" t="inlineStr">
        <is>
          <t>HÖGSBY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HYPERLINK("https://klasma.github.io/Logging_0821/artfynd/A 35072-2023 artfynd.xlsx", "A 35072-2023")</f>
        <v/>
      </c>
      <c r="X46">
        <f>HYPERLINK("https://klasma.github.io/Logging_0821/kartor/A 35072-2023 karta.png", "A 35072-2023")</f>
        <v/>
      </c>
      <c r="Y46">
        <f>HYPERLINK("https://klasma.github.io/Logging_0821/kartor_geotiff/A 35072-2023 georefererad karta.tif", "A 35072-2023")</f>
        <v/>
      </c>
      <c r="AA46">
        <f>HYPERLINK("https://klasma.github.io/Logging_0821/klagomål/A 35072-2023 FSC-klagomål.docx", "A 35072-2023")</f>
        <v/>
      </c>
      <c r="AB46">
        <f>HYPERLINK("https://klasma.github.io/Logging_0821/klagomålsmail/A 35072-2023 FSC-klagomål mail.docx", "A 35072-2023")</f>
        <v/>
      </c>
      <c r="AC46">
        <f>HYPERLINK("https://klasma.github.io/Logging_0821/tillsyn/A 35072-2023 tillsynsbegäran.docx", "A 35072-2023")</f>
        <v/>
      </c>
      <c r="AD46">
        <f>HYPERLINK("https://klasma.github.io/Logging_0821/tillsynsmail/A 35072-2023 tillsynsbegäran mail.docx", "A 35072-2023")</f>
        <v/>
      </c>
    </row>
    <row r="47" ht="15" customHeight="1">
      <c r="A47" t="inlineStr">
        <is>
          <t>A 38802-2024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45547</v>
      </c>
      <c r="E47" s="1" t="n">
        <v>46296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Brandticka</t>
        </is>
      </c>
      <c r="W47">
        <f>HYPERLINK("https://klasma.github.io/Logging_0821/artfynd/A 38802-2024 artfynd.xlsx", "A 38802-2024")</f>
        <v/>
      </c>
      <c r="X47">
        <f>HYPERLINK("https://klasma.github.io/Logging_0821/kartor/A 38802-2024 karta.png", "A 38802-2024")</f>
        <v/>
      </c>
      <c r="Y47">
        <f>HYPERLINK("https://klasma.github.io/Logging_0821/kartor_geotiff/A 38802-2024 georefererad karta.tif", "A 38802-2024")</f>
        <v/>
      </c>
      <c r="AA47">
        <f>HYPERLINK("https://klasma.github.io/Logging_0821/klagomål/A 38802-2024 FSC-klagomål.docx", "A 38802-2024")</f>
        <v/>
      </c>
      <c r="AB47">
        <f>HYPERLINK("https://klasma.github.io/Logging_0821/klagomålsmail/A 38802-2024 FSC-klagomål mail.docx", "A 38802-2024")</f>
        <v/>
      </c>
      <c r="AC47">
        <f>HYPERLINK("https://klasma.github.io/Logging_0821/tillsyn/A 38802-2024 tillsynsbegäran.docx", "A 38802-2024")</f>
        <v/>
      </c>
      <c r="AD47">
        <f>HYPERLINK("https://klasma.github.io/Logging_0821/tillsynsmail/A 38802-2024 tillsynsbegäran mail.docx", "A 38802-2024")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46296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HYPERLINK("https://klasma.github.io/Logging_0821/artfynd/A 1519-2022 artfynd.xlsx", "A 1519-2022")</f>
        <v/>
      </c>
      <c r="X48">
        <f>HYPERLINK("https://klasma.github.io/Logging_0821/kartor/A 1519-2022 karta.png", "A 1519-2022")</f>
        <v/>
      </c>
      <c r="Y48">
        <f>HYPERLINK("https://klasma.github.io/Logging_0821/kartor_geotiff/A 1519-2022 georefererad karta.tif", "A 1519-2022")</f>
        <v/>
      </c>
      <c r="AA48">
        <f>HYPERLINK("https://klasma.github.io/Logging_0821/klagomål/A 1519-2022 FSC-klagomål.docx", "A 1519-2022")</f>
        <v/>
      </c>
      <c r="AB48">
        <f>HYPERLINK("https://klasma.github.io/Logging_0821/klagomålsmail/A 1519-2022 FSC-klagomål mail.docx", "A 1519-2022")</f>
        <v/>
      </c>
      <c r="AC48">
        <f>HYPERLINK("https://klasma.github.io/Logging_0821/tillsyn/A 1519-2022 tillsynsbegäran.docx", "A 1519-2022")</f>
        <v/>
      </c>
      <c r="AD48">
        <f>HYPERLINK("https://klasma.github.io/Logging_0821/tillsynsmail/A 1519-2022 tillsynsbegäran mail.docx", "A 1519-2022")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46296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52177-2022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46296</v>
      </c>
      <c r="F50" t="inlineStr">
        <is>
          <t>KALMAR LÄN</t>
        </is>
      </c>
      <c r="G50" t="inlineStr">
        <is>
          <t>HÖGSBY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Nordfladdermus</t>
        </is>
      </c>
      <c r="W50">
        <f>HYPERLINK("https://klasma.github.io/Logging_0821/artfynd/A 52177-2022 artfynd.xlsx", "A 52177-2022")</f>
        <v/>
      </c>
      <c r="X50">
        <f>HYPERLINK("https://klasma.github.io/Logging_0821/kartor/A 52177-2022 karta.png", "A 52177-2022")</f>
        <v/>
      </c>
      <c r="Y50">
        <f>HYPERLINK("https://klasma.github.io/Logging_0821/kartor_geotiff/A 52177-2022 georefererad karta.tif", "A 52177-2022")</f>
        <v/>
      </c>
      <c r="AA50">
        <f>HYPERLINK("https://klasma.github.io/Logging_0821/klagomål/A 52177-2022 FSC-klagomål.docx", "A 52177-2022")</f>
        <v/>
      </c>
      <c r="AB50">
        <f>HYPERLINK("https://klasma.github.io/Logging_0821/klagomålsmail/A 52177-2022 FSC-klagomål mail.docx", "A 52177-2022")</f>
        <v/>
      </c>
      <c r="AC50">
        <f>HYPERLINK("https://klasma.github.io/Logging_0821/tillsyn/A 52177-2022 tillsynsbegäran.docx", "A 52177-2022")</f>
        <v/>
      </c>
      <c r="AD50">
        <f>HYPERLINK("https://klasma.github.io/Logging_0821/tillsynsmail/A 52177-2022 tillsynsbegäran mail.docx", "A 52177-2022")</f>
        <v/>
      </c>
    </row>
    <row r="51" ht="15" customHeight="1">
      <c r="A51" t="inlineStr">
        <is>
          <t>A 38596-2024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45546</v>
      </c>
      <c r="E51" s="1" t="n">
        <v>46296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HYPERLINK("https://klasma.github.io/Logging_0821/artfynd/A 38596-2024 artfynd.xlsx", "A 38596-2024")</f>
        <v/>
      </c>
      <c r="X51">
        <f>HYPERLINK("https://klasma.github.io/Logging_0821/kartor/A 38596-2024 karta.png", "A 38596-2024")</f>
        <v/>
      </c>
      <c r="Y51">
        <f>HYPERLINK("https://klasma.github.io/Logging_0821/kartor_geotiff/A 38596-2024 georefererad karta.tif", "A 38596-2024")</f>
        <v/>
      </c>
      <c r="AA51">
        <f>HYPERLINK("https://klasma.github.io/Logging_0821/klagomål/A 38596-2024 FSC-klagomål.docx", "A 38596-2024")</f>
        <v/>
      </c>
      <c r="AB51">
        <f>HYPERLINK("https://klasma.github.io/Logging_0821/klagomålsmail/A 38596-2024 FSC-klagomål mail.docx", "A 38596-2024")</f>
        <v/>
      </c>
      <c r="AC51">
        <f>HYPERLINK("https://klasma.github.io/Logging_0821/tillsyn/A 38596-2024 tillsynsbegäran.docx", "A 38596-2024")</f>
        <v/>
      </c>
      <c r="AD51">
        <f>HYPERLINK("https://klasma.github.io/Logging_0821/tillsynsmail/A 38596-2024 tillsynsbegäran mail.docx", "A 38596-2024")</f>
        <v/>
      </c>
    </row>
    <row r="52" ht="15" customHeight="1">
      <c r="A52" t="inlineStr">
        <is>
          <t>A 17994-2026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46124</v>
      </c>
      <c r="E52" s="1" t="n">
        <v>46296</v>
      </c>
      <c r="F52" t="inlineStr">
        <is>
          <t>KALMAR LÄN</t>
        </is>
      </c>
      <c r="G52" t="inlineStr">
        <is>
          <t>HÖGSBY</t>
        </is>
      </c>
      <c r="I52" t="n">
        <v>1.7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Mindre bastardsvärmare</t>
        </is>
      </c>
      <c r="W52">
        <f>HYPERLINK("https://klasma.github.io/Logging_0821/artfynd/A 17994-2026 artfynd.xlsx", "A 17994-2026")</f>
        <v/>
      </c>
      <c r="X52">
        <f>HYPERLINK("https://klasma.github.io/Logging_0821/kartor/A 17994-2026 karta.png", "A 17994-2026")</f>
        <v/>
      </c>
      <c r="Y52">
        <f>HYPERLINK("https://klasma.github.io/Logging_0821/kartor_geotiff/A 17994-2026 georefererad karta.tif", "A 17994-2026")</f>
        <v/>
      </c>
      <c r="AA52">
        <f>HYPERLINK("https://klasma.github.io/Logging_0821/klagomål/A 17994-2026 FSC-klagomål.docx", "A 17994-2026")</f>
        <v/>
      </c>
      <c r="AB52">
        <f>HYPERLINK("https://klasma.github.io/Logging_0821/klagomålsmail/A 17994-2026 FSC-klagomål mail.docx", "A 17994-2026")</f>
        <v/>
      </c>
      <c r="AC52">
        <f>HYPERLINK("https://klasma.github.io/Logging_0821/tillsyn/A 17994-2026 tillsynsbegäran.docx", "A 17994-2026")</f>
        <v/>
      </c>
      <c r="AD52">
        <f>HYPERLINK("https://klasma.github.io/Logging_0821/tillsynsmail/A 17994-2026 tillsynsbegäran mail.docx", "A 17994-2026")</f>
        <v/>
      </c>
    </row>
    <row r="53" ht="15" customHeight="1">
      <c r="A53" t="inlineStr">
        <is>
          <t>A 19463-2026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46129</v>
      </c>
      <c r="E53" s="1" t="n">
        <v>46296</v>
      </c>
      <c r="F53" t="inlineStr">
        <is>
          <t>KALMAR LÄN</t>
        </is>
      </c>
      <c r="G53" t="inlineStr">
        <is>
          <t>HÖGSBY</t>
        </is>
      </c>
      <c r="I53" t="n">
        <v>4.1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HYPERLINK("https://klasma.github.io/Logging_0821/artfynd/A 19463-2026 artfynd.xlsx", "A 19463-2026")</f>
        <v/>
      </c>
      <c r="X53">
        <f>HYPERLINK("https://klasma.github.io/Logging_0821/kartor/A 19463-2026 karta.png", "A 19463-2026")</f>
        <v/>
      </c>
      <c r="Y53">
        <f>HYPERLINK("https://klasma.github.io/Logging_0821/kartor_geotiff/A 19463-2026 georefererad karta.tif", "A 19463-2026")</f>
        <v/>
      </c>
      <c r="AA53">
        <f>HYPERLINK("https://klasma.github.io/Logging_0821/klagomål/A 19463-2026 FSC-klagomål.docx", "A 19463-2026")</f>
        <v/>
      </c>
      <c r="AB53">
        <f>HYPERLINK("https://klasma.github.io/Logging_0821/klagomålsmail/A 19463-2026 FSC-klagomål mail.docx", "A 19463-2026")</f>
        <v/>
      </c>
      <c r="AC53">
        <f>HYPERLINK("https://klasma.github.io/Logging_0821/tillsyn/A 19463-2026 tillsynsbegäran.docx", "A 19463-2026")</f>
        <v/>
      </c>
      <c r="AD53">
        <f>HYPERLINK("https://klasma.github.io/Logging_0821/tillsynsmail/A 19463-2026 tillsynsbegäran mail.docx", "A 19463-2026")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46296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38267-2025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46296</v>
      </c>
      <c r="F55" t="inlineStr">
        <is>
          <t>KALMAR LÄN</t>
        </is>
      </c>
      <c r="G55" t="inlineStr">
        <is>
          <t>HÖGSBY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Flikig tallfibbla</t>
        </is>
      </c>
      <c r="W55">
        <f>HYPERLINK("https://klasma.github.io/Logging_0821/artfynd/A 38267-2025 artfynd.xlsx", "A 38267-2025")</f>
        <v/>
      </c>
      <c r="X55">
        <f>HYPERLINK("https://klasma.github.io/Logging_0821/kartor/A 38267-2025 karta.png", "A 38267-2025")</f>
        <v/>
      </c>
      <c r="Y55">
        <f>HYPERLINK("https://klasma.github.io/Logging_0821/kartor_geotiff/A 38267-2025 georefererad karta.tif", "A 38267-2025")</f>
        <v/>
      </c>
      <c r="AA55">
        <f>HYPERLINK("https://klasma.github.io/Logging_0821/klagomål/A 38267-2025 FSC-klagomål.docx", "A 38267-2025")</f>
        <v/>
      </c>
      <c r="AB55">
        <f>HYPERLINK("https://klasma.github.io/Logging_0821/klagomålsmail/A 38267-2025 FSC-klagomål mail.docx", "A 38267-2025")</f>
        <v/>
      </c>
      <c r="AC55">
        <f>HYPERLINK("https://klasma.github.io/Logging_0821/tillsyn/A 38267-2025 tillsynsbegäran.docx", "A 38267-2025")</f>
        <v/>
      </c>
      <c r="AD55">
        <f>HYPERLINK("https://klasma.github.io/Logging_0821/tillsynsmail/A 38267-2025 tillsynsbegäran mail.docx", "A 38267-2025")</f>
        <v/>
      </c>
    </row>
    <row r="56" ht="15" customHeight="1">
      <c r="A56" t="inlineStr">
        <is>
          <t>A 22757-2026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46296</v>
      </c>
      <c r="F56" t="inlineStr">
        <is>
          <t>KALMAR LÄN</t>
        </is>
      </c>
      <c r="G56" t="inlineStr">
        <is>
          <t>HÖGSBY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4</v>
      </c>
      <c r="V56" s="2" t="inlineStr">
        <is>
          <t>Blåsippa</t>
        </is>
      </c>
      <c r="W56">
        <f>HYPERLINK("https://klasma.github.io/Logging_0821/artfynd/A 22757-2026 artfynd.xlsx", "A 22757-2026")</f>
        <v/>
      </c>
      <c r="X56">
        <f>HYPERLINK("https://klasma.github.io/Logging_0821/kartor/A 22757-2026 karta.png", "A 22757-2026")</f>
        <v/>
      </c>
      <c r="Y56">
        <f>HYPERLINK("https://klasma.github.io/Logging_0821/kartor_geotiff/A 22757-2026 georefererad karta.tif", "A 22757-2026")</f>
        <v/>
      </c>
      <c r="AA56">
        <f>HYPERLINK("https://klasma.github.io/Logging_0821/klagomål/A 22757-2026 FSC-klagomål.docx", "A 22757-2026")</f>
        <v/>
      </c>
      <c r="AB56">
        <f>HYPERLINK("https://klasma.github.io/Logging_0821/klagomålsmail/A 22757-2026 FSC-klagomål mail.docx", "A 22757-2026")</f>
        <v/>
      </c>
      <c r="AC56">
        <f>HYPERLINK("https://klasma.github.io/Logging_0821/tillsyn/A 22757-2026 tillsynsbegäran.docx", "A 22757-2026")</f>
        <v/>
      </c>
      <c r="AD56">
        <f>HYPERLINK("https://klasma.github.io/Logging_0821/tillsynsmail/A 22757-2026 tillsynsbegäran mail.docx", "A 22757-2026")</f>
        <v/>
      </c>
    </row>
    <row r="57" ht="15" customHeight="1">
      <c r="A57" t="inlineStr">
        <is>
          <t>A 23859-2026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46296</v>
      </c>
      <c r="F57" t="inlineStr">
        <is>
          <t>KALMAR LÄN</t>
        </is>
      </c>
      <c r="G57" t="inlineStr">
        <is>
          <t>HÖGSBY</t>
        </is>
      </c>
      <c r="I57" t="n">
        <v>3.8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Rödlånke</t>
        </is>
      </c>
      <c r="W57">
        <f>HYPERLINK("https://klasma.github.io/Logging_0821/artfynd/A 23859-2026 artfynd.xlsx", "A 23859-2026")</f>
        <v/>
      </c>
      <c r="X57">
        <f>HYPERLINK("https://klasma.github.io/Logging_0821/kartor/A 23859-2026 karta.png", "A 23859-2026")</f>
        <v/>
      </c>
      <c r="Y57">
        <f>HYPERLINK("https://klasma.github.io/Logging_0821/kartor_geotiff/A 23859-2026 georefererad karta.tif", "A 23859-2026")</f>
        <v/>
      </c>
      <c r="AA57">
        <f>HYPERLINK("https://klasma.github.io/Logging_0821/klagomål/A 23859-2026 FSC-klagomål.docx", "A 23859-2026")</f>
        <v/>
      </c>
      <c r="AB57">
        <f>HYPERLINK("https://klasma.github.io/Logging_0821/klagomålsmail/A 23859-2026 FSC-klagomål mail.docx", "A 23859-2026")</f>
        <v/>
      </c>
      <c r="AC57">
        <f>HYPERLINK("https://klasma.github.io/Logging_0821/tillsyn/A 23859-2026 tillsynsbegäran.docx", "A 23859-2026")</f>
        <v/>
      </c>
      <c r="AD57">
        <f>HYPERLINK("https://klasma.github.io/Logging_0821/tillsynsmail/A 23859-2026 tillsynsbegäran mail.docx", "A 23859-2026")</f>
        <v/>
      </c>
    </row>
    <row r="58" ht="15" customHeight="1">
      <c r="A58" t="inlineStr">
        <is>
          <t>A 26145-2026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46296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Gullviva</t>
        </is>
      </c>
      <c r="W58">
        <f>HYPERLINK("https://klasma.github.io/Logging_0821/artfynd/A 26145-2026 artfynd.xlsx", "A 26145-2026")</f>
        <v/>
      </c>
      <c r="X58">
        <f>HYPERLINK("https://klasma.github.io/Logging_0821/kartor/A 26145-2026 karta.png", "A 26145-2026")</f>
        <v/>
      </c>
      <c r="Y58">
        <f>HYPERLINK("https://klasma.github.io/Logging_0821/kartor_geotiff/A 26145-2026 georefererad karta.tif", "A 26145-2026")</f>
        <v/>
      </c>
      <c r="AA58">
        <f>HYPERLINK("https://klasma.github.io/Logging_0821/klagomål/A 26145-2026 FSC-klagomål.docx", "A 26145-2026")</f>
        <v/>
      </c>
      <c r="AB58">
        <f>HYPERLINK("https://klasma.github.io/Logging_0821/klagomålsmail/A 26145-2026 FSC-klagomål mail.docx", "A 26145-2026")</f>
        <v/>
      </c>
      <c r="AC58">
        <f>HYPERLINK("https://klasma.github.io/Logging_0821/tillsyn/A 26145-2026 tillsynsbegäran.docx", "A 26145-2026")</f>
        <v/>
      </c>
      <c r="AD58">
        <f>HYPERLINK("https://klasma.github.io/Logging_0821/tillsynsmail/A 26145-2026 tillsynsbegäran mail.docx", "A 26145-2026")</f>
        <v/>
      </c>
    </row>
    <row r="59" ht="15" customHeight="1">
      <c r="A59" t="inlineStr">
        <is>
          <t>A 27366-2026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46296</v>
      </c>
      <c r="F59" t="inlineStr">
        <is>
          <t>KALMAR LÄN</t>
        </is>
      </c>
      <c r="G59" t="inlineStr">
        <is>
          <t>HÖGSBY</t>
        </is>
      </c>
      <c r="I59" t="n">
        <v>4.4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Nattviol</t>
        </is>
      </c>
      <c r="W59">
        <f>HYPERLINK("https://klasma.github.io/Logging_0821/artfynd/A 27366-2026 artfynd.xlsx", "A 27366-2026")</f>
        <v/>
      </c>
      <c r="X59">
        <f>HYPERLINK("https://klasma.github.io/Logging_0821/kartor/A 27366-2026 karta.png", "A 27366-2026")</f>
        <v/>
      </c>
      <c r="Y59">
        <f>HYPERLINK("https://klasma.github.io/Logging_0821/kartor_geotiff/A 27366-2026 georefererad karta.tif", "A 27366-2026")</f>
        <v/>
      </c>
      <c r="AA59">
        <f>HYPERLINK("https://klasma.github.io/Logging_0821/klagomål/A 27366-2026 FSC-klagomål.docx", "A 27366-2026")</f>
        <v/>
      </c>
      <c r="AB59">
        <f>HYPERLINK("https://klasma.github.io/Logging_0821/klagomålsmail/A 27366-2026 FSC-klagomål mail.docx", "A 27366-2026")</f>
        <v/>
      </c>
      <c r="AC59">
        <f>HYPERLINK("https://klasma.github.io/Logging_0821/tillsyn/A 27366-2026 tillsynsbegäran.docx", "A 27366-2026")</f>
        <v/>
      </c>
      <c r="AD59">
        <f>HYPERLINK("https://klasma.github.io/Logging_0821/tillsynsmail/A 27366-2026 tillsynsbegäran mail.docx", "A 27366-2026")</f>
        <v/>
      </c>
    </row>
    <row r="60" ht="15" customHeight="1">
      <c r="A60" t="inlineStr">
        <is>
          <t>A 28894-2026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46199</v>
      </c>
      <c r="E60" s="1" t="n">
        <v>46296</v>
      </c>
      <c r="F60" t="inlineStr">
        <is>
          <t>KALMAR LÄN</t>
        </is>
      </c>
      <c r="G60" t="inlineStr">
        <is>
          <t>HÖGSBY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HYPERLINK("https://klasma.github.io/Logging_0821/artfynd/A 28894-2026 artfynd.xlsx", "A 28894-2026")</f>
        <v/>
      </c>
      <c r="X60">
        <f>HYPERLINK("https://klasma.github.io/Logging_0821/kartor/A 28894-2026 karta.png", "A 28894-2026")</f>
        <v/>
      </c>
      <c r="Y60">
        <f>HYPERLINK("https://klasma.github.io/Logging_0821/kartor_geotiff/A 28894-2026 georefererad karta.tif", "A 28894-2026")</f>
        <v/>
      </c>
      <c r="AA60">
        <f>HYPERLINK("https://klasma.github.io/Logging_0821/klagomål/A 28894-2026 FSC-klagomål.docx", "A 28894-2026")</f>
        <v/>
      </c>
      <c r="AB60">
        <f>HYPERLINK("https://klasma.github.io/Logging_0821/klagomålsmail/A 28894-2026 FSC-klagomål mail.docx", "A 28894-2026")</f>
        <v/>
      </c>
      <c r="AC60">
        <f>HYPERLINK("https://klasma.github.io/Logging_0821/tillsyn/A 28894-2026 tillsynsbegäran.docx", "A 28894-2026")</f>
        <v/>
      </c>
      <c r="AD60">
        <f>HYPERLINK("https://klasma.github.io/Logging_0821/tillsynsmail/A 28894-2026 tillsynsbegäran mail.docx", "A 28894-2026")</f>
        <v/>
      </c>
      <c r="AE60">
        <f>HYPERLINK("https://klasma.github.io/Logging_0821/fåglar/A 28894-2026 prioriterade fågelarter.docx", "A 28894-2026")</f>
        <v/>
      </c>
    </row>
    <row r="61" ht="15" customHeight="1">
      <c r="A61" t="inlineStr">
        <is>
          <t>A 30186-2026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46206</v>
      </c>
      <c r="E61" s="1" t="n">
        <v>46296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Gullklöver</t>
        </is>
      </c>
      <c r="W61">
        <f>HYPERLINK("https://klasma.github.io/Logging_0821/artfynd/A 30186-2026 artfynd.xlsx", "A 30186-2026")</f>
        <v/>
      </c>
      <c r="X61">
        <f>HYPERLINK("https://klasma.github.io/Logging_0821/kartor/A 30186-2026 karta.png", "A 30186-2026")</f>
        <v/>
      </c>
      <c r="Y61">
        <f>HYPERLINK("https://klasma.github.io/Logging_0821/kartor_geotiff/A 30186-2026 georefererad karta.tif", "A 30186-2026")</f>
        <v/>
      </c>
      <c r="AA61">
        <f>HYPERLINK("https://klasma.github.io/Logging_0821/klagomål/A 30186-2026 FSC-klagomål.docx", "A 30186-2026")</f>
        <v/>
      </c>
      <c r="AB61">
        <f>HYPERLINK("https://klasma.github.io/Logging_0821/klagomålsmail/A 30186-2026 FSC-klagomål mail.docx", "A 30186-2026")</f>
        <v/>
      </c>
      <c r="AC61">
        <f>HYPERLINK("https://klasma.github.io/Logging_0821/tillsyn/A 30186-2026 tillsynsbegäran.docx", "A 30186-2026")</f>
        <v/>
      </c>
      <c r="AD61">
        <f>HYPERLINK("https://klasma.github.io/Logging_0821/tillsynsmail/A 30186-2026 tillsynsbegäran mail.docx", "A 30186-2026")</f>
        <v/>
      </c>
    </row>
    <row r="62" ht="15" customHeight="1">
      <c r="A62" t="inlineStr">
        <is>
          <t>A 30800-2026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46212</v>
      </c>
      <c r="E62" s="1" t="n">
        <v>46296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HYPERLINK("https://klasma.github.io/Logging_0821/artfynd/A 30800-2026 artfynd.xlsx", "A 30800-2026")</f>
        <v/>
      </c>
      <c r="X62">
        <f>HYPERLINK("https://klasma.github.io/Logging_0821/kartor/A 30800-2026 karta.png", "A 30800-2026")</f>
        <v/>
      </c>
      <c r="Y62">
        <f>HYPERLINK("https://klasma.github.io/Logging_0821/kartor_geotiff/A 30800-2026 georefererad karta.tif", "A 30800-2026")</f>
        <v/>
      </c>
      <c r="AA62">
        <f>HYPERLINK("https://klasma.github.io/Logging_0821/klagomål/A 30800-2026 FSC-klagomål.docx", "A 30800-2026")</f>
        <v/>
      </c>
      <c r="AB62">
        <f>HYPERLINK("https://klasma.github.io/Logging_0821/klagomålsmail/A 30800-2026 FSC-klagomål mail.docx", "A 30800-2026")</f>
        <v/>
      </c>
      <c r="AC62">
        <f>HYPERLINK("https://klasma.github.io/Logging_0821/tillsyn/A 30800-2026 tillsynsbegäran.docx", "A 30800-2026")</f>
        <v/>
      </c>
      <c r="AD62">
        <f>HYPERLINK("https://klasma.github.io/Logging_0821/tillsynsmail/A 30800-2026 tillsynsbegäran mail.docx", "A 30800-2026")</f>
        <v/>
      </c>
    </row>
    <row r="63" ht="15" customHeight="1">
      <c r="A63" t="inlineStr">
        <is>
          <t>A 39491-2026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46289</v>
      </c>
      <c r="E63" s="1" t="n">
        <v>46296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33.4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HYPERLINK("https://klasma.github.io/Logging_0821/artfynd/A 39491-2026 artfynd.xlsx", "A 39491-2026")</f>
        <v/>
      </c>
      <c r="X63">
        <f>HYPERLINK("https://klasma.github.io/Logging_0821/kartor/A 39491-2026 karta.png", "A 39491-2026")</f>
        <v/>
      </c>
      <c r="Y63">
        <f>HYPERLINK("https://klasma.github.io/Logging_0821/kartor_geotiff/A 39491-2026 georefererad karta.tif", "A 39491-2026")</f>
        <v/>
      </c>
      <c r="AA63">
        <f>HYPERLINK("https://klasma.github.io/Logging_0821/klagomål/A 39491-2026 FSC-klagomål.docx", "A 39491-2026")</f>
        <v/>
      </c>
      <c r="AB63">
        <f>HYPERLINK("https://klasma.github.io/Logging_0821/klagomålsmail/A 39491-2026 FSC-klagomål mail.docx", "A 39491-2026")</f>
        <v/>
      </c>
      <c r="AC63">
        <f>HYPERLINK("https://klasma.github.io/Logging_0821/tillsyn/A 39491-2026 tillsynsbegäran.docx", "A 39491-2026")</f>
        <v/>
      </c>
      <c r="AD63">
        <f>HYPERLINK("https://klasma.github.io/Logging_0821/tillsynsmail/A 39491-2026 tillsynsbegäran mail.docx", "A 39491-2026")</f>
        <v/>
      </c>
    </row>
    <row r="64" ht="15" customHeight="1">
      <c r="A64" t="inlineStr">
        <is>
          <t>A 33784-2026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46296</v>
      </c>
      <c r="F64" t="inlineStr">
        <is>
          <t>KALMAR LÄN</t>
        </is>
      </c>
      <c r="G64" t="inlineStr">
        <is>
          <t>HÖGSBY</t>
        </is>
      </c>
      <c r="H64" t="inlineStr">
        <is>
          <t>Sveaskog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HYPERLINK("https://klasma.github.io/Logging_0821/artfynd/A 33784-2026 artfynd.xlsx", "A 33784-2026")</f>
        <v/>
      </c>
      <c r="X64">
        <f>HYPERLINK("https://klasma.github.io/Logging_0821/kartor/A 33784-2026 karta.png", "A 33784-2026")</f>
        <v/>
      </c>
      <c r="Y64">
        <f>HYPERLINK("https://klasma.github.io/Logging_0821/kartor_geotiff/A 33784-2026 georefererad karta.tif", "A 33784-2026")</f>
        <v/>
      </c>
      <c r="AA64">
        <f>HYPERLINK("https://klasma.github.io/Logging_0821/klagomål/A 33784-2026 FSC-klagomål.docx", "A 33784-2026")</f>
        <v/>
      </c>
      <c r="AB64">
        <f>HYPERLINK("https://klasma.github.io/Logging_0821/klagomålsmail/A 33784-2026 FSC-klagomål mail.docx", "A 33784-2026")</f>
        <v/>
      </c>
      <c r="AC64">
        <f>HYPERLINK("https://klasma.github.io/Logging_0821/tillsyn/A 33784-2026 tillsynsbegäran.docx", "A 33784-2026")</f>
        <v/>
      </c>
      <c r="AD64">
        <f>HYPERLINK("https://klasma.github.io/Logging_0821/tillsynsmail/A 33784-2026 tillsynsbegäran mail.docx", "A 33784-2026")</f>
        <v/>
      </c>
      <c r="AE64">
        <f>HYPERLINK("https://klasma.github.io/Logging_0821/fåglar/A 33784-2026 prioriterade fågelarter.docx", "A 33784-2026")</f>
        <v/>
      </c>
    </row>
    <row r="65" ht="15" customHeight="1">
      <c r="A65" t="inlineStr">
        <is>
          <t>S 352-2023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46296</v>
      </c>
      <c r="F65" t="inlineStr">
        <is>
          <t>KALMAR LÄN</t>
        </is>
      </c>
      <c r="G65" t="inlineStr">
        <is>
          <t>HÖGSBY</t>
        </is>
      </c>
      <c r="I65" t="n">
        <v>20.9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HYPERLINK("https://klasma.github.io/Logging_0821/artfynd/S 352-2023 artfynd.xlsx", "S 352-2023")</f>
        <v/>
      </c>
      <c r="X65">
        <f>HYPERLINK("https://klasma.github.io/Logging_0821/kartor/S 352-2023 karta.png", "S 352-2023")</f>
        <v/>
      </c>
      <c r="Y65">
        <f>HYPERLINK("https://klasma.github.io/Logging_0821/kartor_geotiff/S 352-2023 georefererad karta.tif", "S 352-2023")</f>
        <v/>
      </c>
      <c r="Z65">
        <f>HYPERLINK("https://klasma.github.io/Logging_0821/knärot/S 352-2023 karta knärot.png", "S 352-2023")</f>
        <v/>
      </c>
      <c r="AA65">
        <f>HYPERLINK("https://klasma.github.io/Logging_0821/klagomål/S 352-2023 FSC-klagomål.docx", "S 352-2023")</f>
        <v/>
      </c>
      <c r="AB65">
        <f>HYPERLINK("https://klasma.github.io/Logging_0821/klagomålsmail/S 352-2023 FSC-klagomål mail.docx", "S 352-2023")</f>
        <v/>
      </c>
      <c r="AC65">
        <f>HYPERLINK("https://klasma.github.io/Logging_0821/tillsyn/S 352-2023 tillsynsbegäran.docx", "S 352-2023")</f>
        <v/>
      </c>
      <c r="AD65">
        <f>HYPERLINK("https://klasma.github.io/Logging_0821/tillsynsmail/S 352-2023 tillsynsbegäran mail.docx", "S 352-2023")</f>
        <v/>
      </c>
      <c r="AE65">
        <f>HYPERLINK("https://klasma.github.io/Logging_0821/fåglar/S 352-2023 prioriterade fågelarter.docx", "S 352-2023")</f>
        <v/>
      </c>
    </row>
    <row r="66" ht="15" customHeight="1">
      <c r="A66" t="inlineStr">
        <is>
          <t>S 1694-2022</t>
        </is>
      </c>
      <c r="B66" t="inlineStr">
        <is>
          <t>samrådsanmälan</t>
        </is>
      </c>
      <c r="C66" t="inlineStr">
        <is>
          <t>Åtgärd i nyckelbiotop</t>
        </is>
      </c>
      <c r="D66" s="1" t="n">
        <v>44650</v>
      </c>
      <c r="E66" s="1" t="n">
        <v>46296</v>
      </c>
      <c r="F66" t="inlineStr">
        <is>
          <t>KALMAR LÄN</t>
        </is>
      </c>
      <c r="G66" t="inlineStr">
        <is>
          <t>HÖGSBY</t>
        </is>
      </c>
      <c r="I66" t="n">
        <v>2.2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Mistel</t>
        </is>
      </c>
      <c r="W66">
        <f>HYPERLINK("https://klasma.github.io/Logging_0821/artfynd/S 1694-2022 artfynd.xlsx", "S 1694-2022")</f>
        <v/>
      </c>
      <c r="X66">
        <f>HYPERLINK("https://klasma.github.io/Logging_0821/kartor/S 1694-2022 karta.png", "S 1694-2022")</f>
        <v/>
      </c>
      <c r="Y66">
        <f>HYPERLINK("https://klasma.github.io/Logging_0821/kartor_geotiff/S 1694-2022 georefererad karta.tif", "S 1694-2022")</f>
        <v/>
      </c>
      <c r="AA66">
        <f>HYPERLINK("https://klasma.github.io/Logging_0821/klagomål/S 1694-2022 FSC-klagomål.docx", "S 1694-2022")</f>
        <v/>
      </c>
      <c r="AB66">
        <f>HYPERLINK("https://klasma.github.io/Logging_0821/klagomålsmail/S 1694-2022 FSC-klagomål mail.docx", "S 1694-2022")</f>
        <v/>
      </c>
      <c r="AC66">
        <f>HYPERLINK("https://klasma.github.io/Logging_0821/tillsyn/S 1694-2022 tillsynsbegäran.docx", "S 1694-2022")</f>
        <v/>
      </c>
      <c r="AD66">
        <f>HYPERLINK("https://klasma.github.io/Logging_0821/tillsynsmail/S 1694-2022 tillsynsbegäran mail.docx", "S 1694-2022")</f>
        <v/>
      </c>
    </row>
    <row r="67" ht="15" customHeight="1">
      <c r="A67" t="inlineStr">
        <is>
          <t>S 771-2022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44602</v>
      </c>
      <c r="E67" s="1" t="n">
        <v>46296</v>
      </c>
      <c r="F67" t="inlineStr">
        <is>
          <t>KALMAR LÄN</t>
        </is>
      </c>
      <c r="G67" t="inlineStr">
        <is>
          <t>HÖGSBY</t>
        </is>
      </c>
      <c r="I67" t="n">
        <v>129.1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Ögonpyrola</t>
        </is>
      </c>
      <c r="W67">
        <f>HYPERLINK("https://klasma.github.io/Logging_0821/artfynd/S 771-2022 artfynd.xlsx", "S 771-2022")</f>
        <v/>
      </c>
      <c r="X67">
        <f>HYPERLINK("https://klasma.github.io/Logging_0821/kartor/S 771-2022 karta.png", "S 771-2022")</f>
        <v/>
      </c>
      <c r="Y67">
        <f>HYPERLINK("https://klasma.github.io/Logging_0821/kartor_geotiff/S 771-2022 georefererad karta.tif", "S 771-2022")</f>
        <v/>
      </c>
      <c r="AA67">
        <f>HYPERLINK("https://klasma.github.io/Logging_0821/klagomål/S 771-2022 FSC-klagomål.docx", "S 771-2022")</f>
        <v/>
      </c>
      <c r="AB67">
        <f>HYPERLINK("https://klasma.github.io/Logging_0821/klagomålsmail/S 771-2022 FSC-klagomål mail.docx", "S 771-2022")</f>
        <v/>
      </c>
      <c r="AC67">
        <f>HYPERLINK("https://klasma.github.io/Logging_0821/tillsyn/S 771-2022 tillsynsbegäran.docx", "S 771-2022")</f>
        <v/>
      </c>
      <c r="AD67">
        <f>HYPERLINK("https://klasma.github.io/Logging_0821/tillsynsmail/S 771-2022 tillsynsbegäran mail.docx", "S 771-2022")</f>
        <v/>
      </c>
    </row>
    <row r="68" ht="15" customHeight="1">
      <c r="A68" t="inlineStr">
        <is>
          <t>S 1064-2025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45749</v>
      </c>
      <c r="E68" s="1" t="n">
        <v>46296</v>
      </c>
      <c r="F68" t="inlineStr">
        <is>
          <t>KALMAR LÄN</t>
        </is>
      </c>
      <c r="G68" t="inlineStr">
        <is>
          <t>HÖGSBY</t>
        </is>
      </c>
      <c r="H68" t="inlineStr">
        <is>
          <t>Sveaskog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HYPERLINK("https://klasma.github.io/Logging_0821/artfynd/S 1064-2025 artfynd.xlsx", "S 1064-2025")</f>
        <v/>
      </c>
      <c r="X68">
        <f>HYPERLINK("https://klasma.github.io/Logging_0821/kartor/S 1064-2025 karta.png", "S 1064-2025")</f>
        <v/>
      </c>
      <c r="Y68">
        <f>HYPERLINK("https://klasma.github.io/Logging_0821/kartor_geotiff/S 1064-2025 georefererad karta.tif", "S 1064-2025")</f>
        <v/>
      </c>
      <c r="AA68">
        <f>HYPERLINK("https://klasma.github.io/Logging_0821/klagomål/S 1064-2025 FSC-klagomål.docx", "S 1064-2025")</f>
        <v/>
      </c>
      <c r="AB68">
        <f>HYPERLINK("https://klasma.github.io/Logging_0821/klagomålsmail/S 1064-2025 FSC-klagomål mail.docx", "S 1064-2025")</f>
        <v/>
      </c>
      <c r="AC68">
        <f>HYPERLINK("https://klasma.github.io/Logging_0821/tillsyn/S 1064-2025 tillsynsbegäran.docx", "S 1064-2025")</f>
        <v/>
      </c>
      <c r="AD68">
        <f>HYPERLINK("https://klasma.github.io/Logging_0821/tillsynsmail/S 1064-2025 tillsynsbegäran mail.docx", "S 1064-2025")</f>
        <v/>
      </c>
    </row>
    <row r="69" ht="15" customHeight="1">
      <c r="A69" t="inlineStr">
        <is>
          <t>S 1216-2025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45761</v>
      </c>
      <c r="E69" s="1" t="n">
        <v>46296</v>
      </c>
      <c r="F69" t="inlineStr">
        <is>
          <t>KALMAR LÄN</t>
        </is>
      </c>
      <c r="G69" t="inlineStr">
        <is>
          <t>HÖGSBY</t>
        </is>
      </c>
      <c r="I69" t="n">
        <v>2.9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HYPERLINK("https://klasma.github.io/Logging_0821/artfynd/S 1216-2025 artfynd.xlsx", "S 1216-2025")</f>
        <v/>
      </c>
      <c r="X69">
        <f>HYPERLINK("https://klasma.github.io/Logging_0821/kartor/S 1216-2025 karta.png", "S 1216-2025")</f>
        <v/>
      </c>
      <c r="Y69">
        <f>HYPERLINK("https://klasma.github.io/Logging_0821/kartor_geotiff/S 1216-2025 georefererad karta.tif", "S 1216-2025")</f>
        <v/>
      </c>
      <c r="AA69">
        <f>HYPERLINK("https://klasma.github.io/Logging_0821/klagomål/S 1216-2025 FSC-klagomål.docx", "S 1216-2025")</f>
        <v/>
      </c>
      <c r="AB69">
        <f>HYPERLINK("https://klasma.github.io/Logging_0821/klagomålsmail/S 1216-2025 FSC-klagomål mail.docx", "S 1216-2025")</f>
        <v/>
      </c>
      <c r="AC69">
        <f>HYPERLINK("https://klasma.github.io/Logging_0821/tillsyn/S 1216-2025 tillsynsbegäran.docx", "S 1216-2025")</f>
        <v/>
      </c>
      <c r="AD69">
        <f>HYPERLINK("https://klasma.github.io/Logging_0821/tillsynsmail/S 1216-2025 tillsynsbegäran mail.docx", "S 1216-2025")</f>
        <v/>
      </c>
    </row>
    <row r="70" ht="15" customHeight="1">
      <c r="A70" t="inlineStr">
        <is>
          <t>S 380-2023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46296</v>
      </c>
      <c r="F70" t="inlineStr">
        <is>
          <t>KALMAR LÄN</t>
        </is>
      </c>
      <c r="G70" t="inlineStr">
        <is>
          <t>HÖGSBY</t>
        </is>
      </c>
      <c r="I70" t="n">
        <v>5.4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HYPERLINK("https://klasma.github.io/Logging_0821/artfynd/S 380-2023 artfynd.xlsx", "S 380-2023")</f>
        <v/>
      </c>
      <c r="X70">
        <f>HYPERLINK("https://klasma.github.io/Logging_0821/kartor/S 380-2023 karta.png", "S 380-2023")</f>
        <v/>
      </c>
      <c r="Y70">
        <f>HYPERLINK("https://klasma.github.io/Logging_0821/kartor_geotiff/S 380-2023 georefererad karta.tif", "S 380-2023")</f>
        <v/>
      </c>
      <c r="AA70">
        <f>HYPERLINK("https://klasma.github.io/Logging_0821/klagomål/S 380-2023 FSC-klagomål.docx", "S 380-2023")</f>
        <v/>
      </c>
      <c r="AB70">
        <f>HYPERLINK("https://klasma.github.io/Logging_0821/klagomålsmail/S 380-2023 FSC-klagomål mail.docx", "S 380-2023")</f>
        <v/>
      </c>
      <c r="AC70">
        <f>HYPERLINK("https://klasma.github.io/Logging_0821/tillsyn/S 380-2023 tillsynsbegäran.docx", "S 380-2023")</f>
        <v/>
      </c>
      <c r="AD70">
        <f>HYPERLINK("https://klasma.github.io/Logging_0821/tillsynsmail/S 380-2023 tillsynsbegäran mail.docx", "S 380-2023")</f>
        <v/>
      </c>
    </row>
    <row r="71" ht="15" customHeight="1">
      <c r="A71" t="inlineStr">
        <is>
          <t>S 377-2023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44958</v>
      </c>
      <c r="E71" s="1" t="n">
        <v>46296</v>
      </c>
      <c r="F71" t="inlineStr">
        <is>
          <t>KALMAR LÄN</t>
        </is>
      </c>
      <c r="G71" t="inlineStr">
        <is>
          <t>HÖGSBY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Ryl</t>
        </is>
      </c>
      <c r="W71">
        <f>HYPERLINK("https://klasma.github.io/Logging_0821/artfynd/S 377-2023 artfynd.xlsx", "S 377-2023")</f>
        <v/>
      </c>
      <c r="X71">
        <f>HYPERLINK("https://klasma.github.io/Logging_0821/kartor/S 377-2023 karta.png", "S 377-2023")</f>
        <v/>
      </c>
      <c r="Y71">
        <f>HYPERLINK("https://klasma.github.io/Logging_0821/kartor_geotiff/S 377-2023 georefererad karta.tif", "S 377-2023")</f>
        <v/>
      </c>
      <c r="AA71">
        <f>HYPERLINK("https://klasma.github.io/Logging_0821/klagomål/S 377-2023 FSC-klagomål.docx", "S 377-2023")</f>
        <v/>
      </c>
      <c r="AB71">
        <f>HYPERLINK("https://klasma.github.io/Logging_0821/klagomålsmail/S 377-2023 FSC-klagomål mail.docx", "S 377-2023")</f>
        <v/>
      </c>
      <c r="AC71">
        <f>HYPERLINK("https://klasma.github.io/Logging_0821/tillsyn/S 377-2023 tillsynsbegäran.docx", "S 377-2023")</f>
        <v/>
      </c>
      <c r="AD71">
        <f>HYPERLINK("https://klasma.github.io/Logging_0821/tillsynsmail/S 377-2023 tillsynsbegäran mail.docx", "S 377-2023")</f>
        <v/>
      </c>
    </row>
    <row r="72" ht="15" customHeight="1">
      <c r="A72" t="inlineStr">
        <is>
          <t>S 923-2026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46111</v>
      </c>
      <c r="E72" s="1" t="n">
        <v>46296</v>
      </c>
      <c r="F72" t="inlineStr">
        <is>
          <t>KALMAR LÄN</t>
        </is>
      </c>
      <c r="G72" t="inlineStr">
        <is>
          <t>HÖGSBY</t>
        </is>
      </c>
      <c r="I72" t="n">
        <v>65.2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HYPERLINK("https://klasma.github.io/Logging_0821/artfynd/S 923-2026 artfynd.xlsx", "S 923-2026")</f>
        <v/>
      </c>
      <c r="X72">
        <f>HYPERLINK("https://klasma.github.io/Logging_0821/kartor/S 923-2026 karta.png", "S 923-2026")</f>
        <v/>
      </c>
      <c r="Y72">
        <f>HYPERLINK("https://klasma.github.io/Logging_0821/kartor_geotiff/S 923-2026 georefererad karta.tif", "S 923-2026")</f>
        <v/>
      </c>
      <c r="AA72">
        <f>HYPERLINK("https://klasma.github.io/Logging_0821/klagomål/S 923-2026 FSC-klagomål.docx", "S 923-2026")</f>
        <v/>
      </c>
      <c r="AB72">
        <f>HYPERLINK("https://klasma.github.io/Logging_0821/klagomålsmail/S 923-2026 FSC-klagomål mail.docx", "S 923-2026")</f>
        <v/>
      </c>
      <c r="AC72">
        <f>HYPERLINK("https://klasma.github.io/Logging_0821/tillsyn/S 923-2026 tillsynsbegäran.docx", "S 923-2026")</f>
        <v/>
      </c>
      <c r="AD72">
        <f>HYPERLINK("https://klasma.github.io/Logging_0821/tillsynsmail/S 923-2026 tillsynsbegäran mail.docx", "S 923-2026")</f>
        <v/>
      </c>
    </row>
    <row r="73" ht="15" customHeight="1">
      <c r="A73" t="inlineStr">
        <is>
          <t>A 61740-2021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46296</v>
      </c>
      <c r="F73" t="inlineStr">
        <is>
          <t>KALMAR LÄN</t>
        </is>
      </c>
      <c r="G73" t="inlineStr">
        <is>
          <t>HÖGSBY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44831</v>
      </c>
      <c r="E74" s="1" t="n">
        <v>46296</v>
      </c>
      <c r="F74" t="inlineStr">
        <is>
          <t>KALMAR LÄN</t>
        </is>
      </c>
      <c r="G74" t="inlineStr">
        <is>
          <t>HÖGSBY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46893-2022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44851</v>
      </c>
      <c r="E75" s="1" t="n">
        <v>46296</v>
      </c>
      <c r="F75" t="inlineStr">
        <is>
          <t>KALMAR LÄN</t>
        </is>
      </c>
      <c r="G75" t="inlineStr">
        <is>
          <t>HÖGSBY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46296</v>
      </c>
      <c r="F76" t="inlineStr">
        <is>
          <t>KALMAR LÄN</t>
        </is>
      </c>
      <c r="G76" t="inlineStr">
        <is>
          <t>HÖGSBY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46296</v>
      </c>
      <c r="F77" t="inlineStr">
        <is>
          <t>KALMAR LÄN</t>
        </is>
      </c>
      <c r="G77" t="inlineStr">
        <is>
          <t>HÖGSBY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44568</v>
      </c>
      <c r="E78" s="1" t="n">
        <v>46296</v>
      </c>
      <c r="F78" t="inlineStr">
        <is>
          <t>KALMAR LÄN</t>
        </is>
      </c>
      <c r="G78" t="inlineStr">
        <is>
          <t>HÖGSBY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46296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46296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46296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74471-2021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46296</v>
      </c>
      <c r="F82" t="inlineStr">
        <is>
          <t>KALMAR LÄN</t>
        </is>
      </c>
      <c r="G82" t="inlineStr">
        <is>
          <t>HÖGSBY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40105-2022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46296</v>
      </c>
      <c r="F83" t="inlineStr">
        <is>
          <t>KALMAR LÄN</t>
        </is>
      </c>
      <c r="G83" t="inlineStr">
        <is>
          <t>HÖGSBY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73435-2021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46296</v>
      </c>
      <c r="F84" t="inlineStr">
        <is>
          <t>KALMAR LÄN</t>
        </is>
      </c>
      <c r="G84" t="inlineStr">
        <is>
          <t>HÖGSBY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46296</v>
      </c>
      <c r="F85" t="inlineStr">
        <is>
          <t>KALMAR LÄN</t>
        </is>
      </c>
      <c r="G85" t="inlineStr">
        <is>
          <t>HÖGSBY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71165-2021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46296</v>
      </c>
      <c r="F86" t="inlineStr">
        <is>
          <t>KALMAR LÄN</t>
        </is>
      </c>
      <c r="G86" t="inlineStr">
        <is>
          <t>HÖGSBY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44686</v>
      </c>
      <c r="E87" s="1" t="n">
        <v>46296</v>
      </c>
      <c r="F87" t="inlineStr">
        <is>
          <t>KALMAR LÄN</t>
        </is>
      </c>
      <c r="G87" t="inlineStr">
        <is>
          <t>HÖGSBY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46296</v>
      </c>
      <c r="F88" t="inlineStr">
        <is>
          <t>KALMAR LÄN</t>
        </is>
      </c>
      <c r="G88" t="inlineStr">
        <is>
          <t>HÖGSBY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46296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44644</v>
      </c>
      <c r="E90" s="1" t="n">
        <v>46296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46296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44482</v>
      </c>
      <c r="E92" s="1" t="n">
        <v>46296</v>
      </c>
      <c r="F92" t="inlineStr">
        <is>
          <t>KALMAR LÄN</t>
        </is>
      </c>
      <c r="G92" t="inlineStr">
        <is>
          <t>HÖGSBY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46296</v>
      </c>
      <c r="F93" t="inlineStr">
        <is>
          <t>KALMAR LÄN</t>
        </is>
      </c>
      <c r="G93" t="inlineStr">
        <is>
          <t>HÖGSBY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46296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46296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46296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72059-2021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44542</v>
      </c>
      <c r="E97" s="1" t="n">
        <v>46296</v>
      </c>
      <c r="F97" t="inlineStr">
        <is>
          <t>KALMAR LÄN</t>
        </is>
      </c>
      <c r="G97" t="inlineStr">
        <is>
          <t>HÖGSBY</t>
        </is>
      </c>
      <c r="I97" t="n">
        <v>16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72066-2021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44542</v>
      </c>
      <c r="E98" s="1" t="n">
        <v>46296</v>
      </c>
      <c r="F98" t="inlineStr">
        <is>
          <t>KALMAR LÄN</t>
        </is>
      </c>
      <c r="G98" t="inlineStr">
        <is>
          <t>HÖGSBY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46296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44634</v>
      </c>
      <c r="E100" s="1" t="n">
        <v>46296</v>
      </c>
      <c r="F100" t="inlineStr">
        <is>
          <t>KALMAR LÄN</t>
        </is>
      </c>
      <c r="G100" t="inlineStr">
        <is>
          <t>HÖGSBY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46296</v>
      </c>
      <c r="F101" t="inlineStr">
        <is>
          <t>KALMAR LÄN</t>
        </is>
      </c>
      <c r="G101" t="inlineStr">
        <is>
          <t>HÖGSBY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57006-2024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45626</v>
      </c>
      <c r="E102" s="1" t="n">
        <v>46296</v>
      </c>
      <c r="F102" t="inlineStr">
        <is>
          <t>KALMAR LÄN</t>
        </is>
      </c>
      <c r="G102" t="inlineStr">
        <is>
          <t>HÖGSBY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52117-2024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46296</v>
      </c>
      <c r="F103" t="inlineStr">
        <is>
          <t>KALMAR LÄN</t>
        </is>
      </c>
      <c r="G103" t="inlineStr">
        <is>
          <t>HÖGSBY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60853-2021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44496</v>
      </c>
      <c r="E104" s="1" t="n">
        <v>46296</v>
      </c>
      <c r="F104" t="inlineStr">
        <is>
          <t>KALMAR LÄN</t>
        </is>
      </c>
      <c r="G104" t="inlineStr">
        <is>
          <t>HÖGSBY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44876</v>
      </c>
      <c r="E105" s="1" t="n">
        <v>46296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46296</v>
      </c>
      <c r="F106" t="inlineStr">
        <is>
          <t>KALMAR LÄN</t>
        </is>
      </c>
      <c r="G106" t="inlineStr">
        <is>
          <t>HÖGSBY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46296</v>
      </c>
      <c r="F107" t="inlineStr">
        <is>
          <t>KALMAR LÄN</t>
        </is>
      </c>
      <c r="G107" t="inlineStr">
        <is>
          <t>HÖGSBY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44886</v>
      </c>
      <c r="E108" s="1" t="n">
        <v>46296</v>
      </c>
      <c r="F108" t="inlineStr">
        <is>
          <t>KALMAR LÄN</t>
        </is>
      </c>
      <c r="G108" t="inlineStr">
        <is>
          <t>HÖGSBY</t>
        </is>
      </c>
      <c r="H108" t="inlineStr">
        <is>
          <t>Kyrkan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45274</v>
      </c>
      <c r="E109" s="1" t="n">
        <v>46296</v>
      </c>
      <c r="F109" t="inlineStr">
        <is>
          <t>KALMAR LÄN</t>
        </is>
      </c>
      <c r="G109" t="inlineStr">
        <is>
          <t>HÖGSBY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46296</v>
      </c>
      <c r="F110" t="inlineStr">
        <is>
          <t>KALMAR LÄN</t>
        </is>
      </c>
      <c r="G110" t="inlineStr">
        <is>
          <t>HÖGSBY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46296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14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27830-2023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46296</v>
      </c>
      <c r="F112" t="inlineStr">
        <is>
          <t>KALMAR LÄN</t>
        </is>
      </c>
      <c r="G112" t="inlineStr">
        <is>
          <t>HÖGSBY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46296</v>
      </c>
      <c r="F113" t="inlineStr">
        <is>
          <t>KALMAR LÄN</t>
        </is>
      </c>
      <c r="G113" t="inlineStr">
        <is>
          <t>HÖGSBY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46296</v>
      </c>
      <c r="F114" t="inlineStr">
        <is>
          <t>KALMAR LÄN</t>
        </is>
      </c>
      <c r="G114" t="inlineStr">
        <is>
          <t>HÖGSBY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45154</v>
      </c>
      <c r="E115" s="1" t="n">
        <v>46296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46296</v>
      </c>
      <c r="F116" t="inlineStr">
        <is>
          <t>KALMAR LÄN</t>
        </is>
      </c>
      <c r="G116" t="inlineStr">
        <is>
          <t>HÖGSBY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46296</v>
      </c>
      <c r="F117" t="inlineStr">
        <is>
          <t>KALMAR LÄN</t>
        </is>
      </c>
      <c r="G117" t="inlineStr">
        <is>
          <t>HÖGSBY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45001</v>
      </c>
      <c r="E118" s="1" t="n">
        <v>46296</v>
      </c>
      <c r="F118" t="inlineStr">
        <is>
          <t>KALMAR LÄN</t>
        </is>
      </c>
      <c r="G118" t="inlineStr">
        <is>
          <t>HÖGSBY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46296</v>
      </c>
      <c r="F119" t="inlineStr">
        <is>
          <t>KALMAR LÄN</t>
        </is>
      </c>
      <c r="G119" t="inlineStr">
        <is>
          <t>HÖGSBY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46296</v>
      </c>
      <c r="F120" t="inlineStr">
        <is>
          <t>KALMAR LÄN</t>
        </is>
      </c>
      <c r="G120" t="inlineStr">
        <is>
          <t>HÖGSBY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44865-2023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45190</v>
      </c>
      <c r="E121" s="1" t="n">
        <v>46296</v>
      </c>
      <c r="F121" t="inlineStr">
        <is>
          <t>KALMAR LÄN</t>
        </is>
      </c>
      <c r="G121" t="inlineStr">
        <is>
          <t>HÖGSBY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44895</v>
      </c>
      <c r="E122" s="1" t="n">
        <v>46296</v>
      </c>
      <c r="F122" t="inlineStr">
        <is>
          <t>KALMAR LÄN</t>
        </is>
      </c>
      <c r="G122" t="inlineStr">
        <is>
          <t>HÖGSBY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55697-2023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46296</v>
      </c>
      <c r="F123" t="inlineStr">
        <is>
          <t>KALMAR LÄN</t>
        </is>
      </c>
      <c r="G123" t="inlineStr">
        <is>
          <t>HÖGSBY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45391</v>
      </c>
      <c r="E124" s="1" t="n">
        <v>46296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44907</v>
      </c>
      <c r="E125" s="1" t="n">
        <v>46296</v>
      </c>
      <c r="F125" t="inlineStr">
        <is>
          <t>KALMAR LÄN</t>
        </is>
      </c>
      <c r="G125" t="inlineStr">
        <is>
          <t>HÖGSBY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46296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32049-2023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45119</v>
      </c>
      <c r="E127" s="1" t="n">
        <v>46296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74478-2021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44559</v>
      </c>
      <c r="E128" s="1" t="n">
        <v>46296</v>
      </c>
      <c r="F128" t="inlineStr">
        <is>
          <t>KALMAR LÄN</t>
        </is>
      </c>
      <c r="G128" t="inlineStr">
        <is>
          <t>HÖGSBY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46296</v>
      </c>
      <c r="F129" t="inlineStr">
        <is>
          <t>KALMAR LÄN</t>
        </is>
      </c>
      <c r="G129" t="inlineStr">
        <is>
          <t>HÖGSBY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46296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45624</v>
      </c>
      <c r="E131" s="1" t="n">
        <v>46296</v>
      </c>
      <c r="F131" t="inlineStr">
        <is>
          <t>KALMAR LÄN</t>
        </is>
      </c>
      <c r="G131" t="inlineStr">
        <is>
          <t>HÖGSBY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38824-2024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45547</v>
      </c>
      <c r="E132" s="1" t="n">
        <v>46296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46296</v>
      </c>
      <c r="F133" t="inlineStr">
        <is>
          <t>KALMAR LÄN</t>
        </is>
      </c>
      <c r="G133" t="inlineStr">
        <is>
          <t>HÖGSBY</t>
        </is>
      </c>
      <c r="I133" t="n">
        <v>12.1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38797-2024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45547</v>
      </c>
      <c r="E134" s="1" t="n">
        <v>46296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46296</v>
      </c>
      <c r="F135" t="inlineStr">
        <is>
          <t>KALMAR LÄN</t>
        </is>
      </c>
      <c r="G135" t="inlineStr">
        <is>
          <t>HÖGSBY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46296</v>
      </c>
      <c r="F136" t="inlineStr">
        <is>
          <t>KALMAR LÄN</t>
        </is>
      </c>
      <c r="G136" t="inlineStr">
        <is>
          <t>HÖGSBY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44882</v>
      </c>
      <c r="E137" s="1" t="n">
        <v>46296</v>
      </c>
      <c r="F137" t="inlineStr">
        <is>
          <t>KALMAR LÄN</t>
        </is>
      </c>
      <c r="G137" t="inlineStr">
        <is>
          <t>HÖGSBY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28648-2023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45103</v>
      </c>
      <c r="E138" s="1" t="n">
        <v>46296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46296</v>
      </c>
      <c r="F139" t="inlineStr">
        <is>
          <t>KALMAR LÄN</t>
        </is>
      </c>
      <c r="G139" t="inlineStr">
        <is>
          <t>HÖGSBY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45058</v>
      </c>
      <c r="E140" s="1" t="n">
        <v>46296</v>
      </c>
      <c r="F140" t="inlineStr">
        <is>
          <t>KALMAR LÄN</t>
        </is>
      </c>
      <c r="G140" t="inlineStr">
        <is>
          <t>HÖGSBY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46296</v>
      </c>
      <c r="F141" t="inlineStr">
        <is>
          <t>KALMAR LÄN</t>
        </is>
      </c>
      <c r="G141" t="inlineStr">
        <is>
          <t>HÖGSBY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45203</v>
      </c>
      <c r="E142" s="1" t="n">
        <v>46296</v>
      </c>
      <c r="F142" t="inlineStr">
        <is>
          <t>KALMAR LÄN</t>
        </is>
      </c>
      <c r="G142" t="inlineStr">
        <is>
          <t>HÖGSBY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45203</v>
      </c>
      <c r="E143" s="1" t="n">
        <v>46296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46296</v>
      </c>
      <c r="F144" t="inlineStr">
        <is>
          <t>KALMAR LÄN</t>
        </is>
      </c>
      <c r="G144" t="inlineStr">
        <is>
          <t>HÖGSBY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44939</v>
      </c>
      <c r="E145" s="1" t="n">
        <v>46296</v>
      </c>
      <c r="F145" t="inlineStr">
        <is>
          <t>KALMAR LÄN</t>
        </is>
      </c>
      <c r="G145" t="inlineStr">
        <is>
          <t>HÖGSBY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44613</v>
      </c>
      <c r="E146" s="1" t="n">
        <v>46296</v>
      </c>
      <c r="F146" t="inlineStr">
        <is>
          <t>KALMAR LÄN</t>
        </is>
      </c>
      <c r="G146" t="inlineStr">
        <is>
          <t>HÖGSBY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45469</v>
      </c>
      <c r="E147" s="1" t="n">
        <v>46296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46296</v>
      </c>
      <c r="F148" t="inlineStr">
        <is>
          <t>KALMAR LÄN</t>
        </is>
      </c>
      <c r="G148" t="inlineStr">
        <is>
          <t>HÖGSBY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46296</v>
      </c>
      <c r="F149" t="inlineStr">
        <is>
          <t>KALMAR LÄN</t>
        </is>
      </c>
      <c r="G149" t="inlineStr">
        <is>
          <t>HÖGSBY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45581</v>
      </c>
      <c r="E150" s="1" t="n">
        <v>46296</v>
      </c>
      <c r="F150" t="inlineStr">
        <is>
          <t>KALMAR LÄN</t>
        </is>
      </c>
      <c r="G150" t="inlineStr">
        <is>
          <t>HÖGSBY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46296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73709-2021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46296</v>
      </c>
      <c r="F152" t="inlineStr">
        <is>
          <t>KALMAR LÄN</t>
        </is>
      </c>
      <c r="G152" t="inlineStr">
        <is>
          <t>HÖGSBY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46296</v>
      </c>
      <c r="F153" t="inlineStr">
        <is>
          <t>KALMAR LÄN</t>
        </is>
      </c>
      <c r="G153" t="inlineStr">
        <is>
          <t>HÖGSBY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44866</v>
      </c>
      <c r="E154" s="1" t="n">
        <v>46296</v>
      </c>
      <c r="F154" t="inlineStr">
        <is>
          <t>KALMAR LÄN</t>
        </is>
      </c>
      <c r="G154" t="inlineStr">
        <is>
          <t>HÖGSBY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46296</v>
      </c>
      <c r="F155" t="inlineStr">
        <is>
          <t>KALMAR LÄN</t>
        </is>
      </c>
      <c r="G155" t="inlineStr">
        <is>
          <t>HÖGSBY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46296</v>
      </c>
      <c r="F156" t="inlineStr">
        <is>
          <t>KALMAR LÄN</t>
        </is>
      </c>
      <c r="G156" t="inlineStr">
        <is>
          <t>HÖGSBY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44972</v>
      </c>
      <c r="E157" s="1" t="n">
        <v>46296</v>
      </c>
      <c r="F157" t="inlineStr">
        <is>
          <t>KALMAR LÄN</t>
        </is>
      </c>
      <c r="G157" t="inlineStr">
        <is>
          <t>HÖGSBY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46296</v>
      </c>
      <c r="F158" t="inlineStr">
        <is>
          <t>KALMAR LÄN</t>
        </is>
      </c>
      <c r="G158" t="inlineStr">
        <is>
          <t>HÖGSBY</t>
        </is>
      </c>
      <c r="I158" t="n">
        <v>11.6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45268</v>
      </c>
      <c r="E159" s="1" t="n">
        <v>46296</v>
      </c>
      <c r="F159" t="inlineStr">
        <is>
          <t>KALMAR LÄN</t>
        </is>
      </c>
      <c r="G159" t="inlineStr">
        <is>
          <t>HÖGSBY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44879</v>
      </c>
      <c r="E160" s="1" t="n">
        <v>46296</v>
      </c>
      <c r="F160" t="inlineStr">
        <is>
          <t>KALMAR LÄN</t>
        </is>
      </c>
      <c r="G160" t="inlineStr">
        <is>
          <t>HÖGSBY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45360</v>
      </c>
      <c r="E161" s="1" t="n">
        <v>46296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44907</v>
      </c>
      <c r="E162" s="1" t="n">
        <v>46296</v>
      </c>
      <c r="F162" t="inlineStr">
        <is>
          <t>KALMAR LÄN</t>
        </is>
      </c>
      <c r="G162" t="inlineStr">
        <is>
          <t>HÖGSBY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45320</v>
      </c>
      <c r="E163" s="1" t="n">
        <v>46296</v>
      </c>
      <c r="F163" t="inlineStr">
        <is>
          <t>KALMAR LÄN</t>
        </is>
      </c>
      <c r="G163" t="inlineStr">
        <is>
          <t>HÖGSBY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46296</v>
      </c>
      <c r="F164" t="inlineStr">
        <is>
          <t>KALMAR LÄN</t>
        </is>
      </c>
      <c r="G164" t="inlineStr">
        <is>
          <t>HÖGSBY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46296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45447</v>
      </c>
      <c r="E166" s="1" t="n">
        <v>46296</v>
      </c>
      <c r="F166" t="inlineStr">
        <is>
          <t>KALMAR LÄN</t>
        </is>
      </c>
      <c r="G166" t="inlineStr">
        <is>
          <t>HÖGSBY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45259</v>
      </c>
      <c r="E167" s="1" t="n">
        <v>46296</v>
      </c>
      <c r="F167" t="inlineStr">
        <is>
          <t>KALMAR LÄN</t>
        </is>
      </c>
      <c r="G167" t="inlineStr">
        <is>
          <t>HÖGSBY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45126</v>
      </c>
      <c r="E168" s="1" t="n">
        <v>46296</v>
      </c>
      <c r="F168" t="inlineStr">
        <is>
          <t>KALMAR LÄN</t>
        </is>
      </c>
      <c r="G168" t="inlineStr">
        <is>
          <t>HÖGSBY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45306</v>
      </c>
      <c r="E169" s="1" t="n">
        <v>46296</v>
      </c>
      <c r="F169" t="inlineStr">
        <is>
          <t>KALMAR LÄN</t>
        </is>
      </c>
      <c r="G169" t="inlineStr">
        <is>
          <t>HÖGSBY</t>
        </is>
      </c>
      <c r="H169" t="inlineStr">
        <is>
          <t>Övriga Aktiebolag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46296</v>
      </c>
      <c r="F170" t="inlineStr">
        <is>
          <t>KALMAR LÄN</t>
        </is>
      </c>
      <c r="G170" t="inlineStr">
        <is>
          <t>HÖGSBY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46296</v>
      </c>
      <c r="F171" t="inlineStr">
        <is>
          <t>KALMAR LÄN</t>
        </is>
      </c>
      <c r="G171" t="inlineStr">
        <is>
          <t>HÖGSBY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46296</v>
      </c>
      <c r="F172" t="inlineStr">
        <is>
          <t>KALMAR LÄN</t>
        </is>
      </c>
      <c r="G172" t="inlineStr">
        <is>
          <t>HÖGSBY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46296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46296</v>
      </c>
      <c r="F174" t="inlineStr">
        <is>
          <t>KALMAR LÄN</t>
        </is>
      </c>
      <c r="G174" t="inlineStr">
        <is>
          <t>HÖGSBY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45244</v>
      </c>
      <c r="E175" s="1" t="n">
        <v>46296</v>
      </c>
      <c r="F175" t="inlineStr">
        <is>
          <t>KALMAR LÄN</t>
        </is>
      </c>
      <c r="G175" t="inlineStr">
        <is>
          <t>HÖGSBY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46296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45546</v>
      </c>
      <c r="E177" s="1" t="n">
        <v>46296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46296</v>
      </c>
      <c r="F178" t="inlineStr">
        <is>
          <t>KALMAR LÄN</t>
        </is>
      </c>
      <c r="G178" t="inlineStr">
        <is>
          <t>HÖGSBY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44586</v>
      </c>
      <c r="E179" s="1" t="n">
        <v>46296</v>
      </c>
      <c r="F179" t="inlineStr">
        <is>
          <t>KALMAR LÄN</t>
        </is>
      </c>
      <c r="G179" t="inlineStr">
        <is>
          <t>HÖGSBY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34078-2024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45523</v>
      </c>
      <c r="E180" s="1" t="n">
        <v>46296</v>
      </c>
      <c r="F180" t="inlineStr">
        <is>
          <t>KALMAR LÄN</t>
        </is>
      </c>
      <c r="G180" t="inlineStr">
        <is>
          <t>HÖGSBY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45624</v>
      </c>
      <c r="E181" s="1" t="n">
        <v>46296</v>
      </c>
      <c r="F181" t="inlineStr">
        <is>
          <t>KALMAR LÄN</t>
        </is>
      </c>
      <c r="G181" t="inlineStr">
        <is>
          <t>HÖGSBY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44601</v>
      </c>
      <c r="E182" s="1" t="n">
        <v>46296</v>
      </c>
      <c r="F182" t="inlineStr">
        <is>
          <t>KALMAR LÄN</t>
        </is>
      </c>
      <c r="G182" t="inlineStr">
        <is>
          <t>HÖGSBY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46296</v>
      </c>
      <c r="F183" t="inlineStr">
        <is>
          <t>KALMAR LÄN</t>
        </is>
      </c>
      <c r="G183" t="inlineStr">
        <is>
          <t>HÖGSBY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46296</v>
      </c>
      <c r="F184" t="inlineStr">
        <is>
          <t>KALMAR LÄN</t>
        </is>
      </c>
      <c r="G184" t="inlineStr">
        <is>
          <t>HÖGSBY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45160</v>
      </c>
      <c r="E185" s="1" t="n">
        <v>46296</v>
      </c>
      <c r="F185" t="inlineStr">
        <is>
          <t>KALMAR LÄN</t>
        </is>
      </c>
      <c r="G185" t="inlineStr">
        <is>
          <t>HÖGSBY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59281-2022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44904</v>
      </c>
      <c r="E186" s="1" t="n">
        <v>46296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46296</v>
      </c>
      <c r="F187" t="inlineStr">
        <is>
          <t>KALMAR LÄN</t>
        </is>
      </c>
      <c r="G187" t="inlineStr">
        <is>
          <t>HÖGSBY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40464-2023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46296</v>
      </c>
      <c r="F188" t="inlineStr">
        <is>
          <t>KALMAR LÄN</t>
        </is>
      </c>
      <c r="G188" t="inlineStr">
        <is>
          <t>HÖGSBY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41479-2023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46296</v>
      </c>
      <c r="F189" t="inlineStr">
        <is>
          <t>KALMAR LÄN</t>
        </is>
      </c>
      <c r="G189" t="inlineStr">
        <is>
          <t>HÖGSBY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45173</v>
      </c>
      <c r="E190" s="1" t="n">
        <v>46296</v>
      </c>
      <c r="F190" t="inlineStr">
        <is>
          <t>KALMAR LÄN</t>
        </is>
      </c>
      <c r="G190" t="inlineStr">
        <is>
          <t>HÖGSBY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71635-2021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44543</v>
      </c>
      <c r="E191" s="1" t="n">
        <v>46296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45228</v>
      </c>
      <c r="E192" s="1" t="n">
        <v>46296</v>
      </c>
      <c r="F192" t="inlineStr">
        <is>
          <t>KALMAR LÄN</t>
        </is>
      </c>
      <c r="G192" t="inlineStr">
        <is>
          <t>HÖGSBY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40137-2024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46296</v>
      </c>
      <c r="F193" t="inlineStr">
        <is>
          <t>KALMAR LÄN</t>
        </is>
      </c>
      <c r="G193" t="inlineStr">
        <is>
          <t>HÖGSBY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  <c r="Z193">
        <f>HYPERLINK("https://klasma.github.io/Logging_0821/knärot/A 40137-2024 karta knärot.png", "A 40137-2024")</f>
        <v/>
      </c>
      <c r="AA193">
        <f>HYPERLINK("https://klasma.github.io/Logging_0821/klagomål/A 40137-2024 FSC-klagomål.docx", "A 40137-2024")</f>
        <v/>
      </c>
      <c r="AB193">
        <f>HYPERLINK("https://klasma.github.io/Logging_0821/klagomålsmail/A 40137-2024 FSC-klagomål mail.docx", "A 40137-2024")</f>
        <v/>
      </c>
      <c r="AC193">
        <f>HYPERLINK("https://klasma.github.io/Logging_0821/tillsyn/A 40137-2024 tillsynsbegäran.docx", "A 40137-2024")</f>
        <v/>
      </c>
      <c r="AD193">
        <f>HYPERLINK("https://klasma.github.io/Logging_0821/tillsynsmail/A 40137-2024 tillsynsbegäran mail.docx", "A 40137-2024")</f>
        <v/>
      </c>
    </row>
    <row r="194" ht="15" customHeight="1">
      <c r="A194" t="inlineStr">
        <is>
          <t>A 55902-2024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46296</v>
      </c>
      <c r="F194" t="inlineStr">
        <is>
          <t>KALMAR LÄN</t>
        </is>
      </c>
      <c r="G194" t="inlineStr">
        <is>
          <t>HÖGSBY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50458-2022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46296</v>
      </c>
      <c r="F195" t="inlineStr">
        <is>
          <t>KALMAR LÄN</t>
        </is>
      </c>
      <c r="G195" t="inlineStr">
        <is>
          <t>HÖGSBY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46296</v>
      </c>
      <c r="F196" t="inlineStr">
        <is>
          <t>KALMAR LÄN</t>
        </is>
      </c>
      <c r="G196" t="inlineStr">
        <is>
          <t>HÖGSBY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46296</v>
      </c>
      <c r="F197" t="inlineStr">
        <is>
          <t>KALMAR LÄN</t>
        </is>
      </c>
      <c r="G197" t="inlineStr">
        <is>
          <t>HÖGSBY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45700</v>
      </c>
      <c r="E198" s="1" t="n">
        <v>46296</v>
      </c>
      <c r="F198" t="inlineStr">
        <is>
          <t>KALMAR LÄN</t>
        </is>
      </c>
      <c r="G198" t="inlineStr">
        <is>
          <t>HÖGSBY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37811-2024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45544</v>
      </c>
      <c r="E199" s="1" t="n">
        <v>46296</v>
      </c>
      <c r="F199" t="inlineStr">
        <is>
          <t>KALMAR LÄN</t>
        </is>
      </c>
      <c r="G199" t="inlineStr">
        <is>
          <t>HÖGSBY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45797</v>
      </c>
      <c r="E200" s="1" t="n">
        <v>46296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46296</v>
      </c>
      <c r="F201" t="inlineStr">
        <is>
          <t>KALMAR LÄN</t>
        </is>
      </c>
      <c r="G201" t="inlineStr">
        <is>
          <t>HÖGSBY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60555-2021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44496</v>
      </c>
      <c r="E202" s="1" t="n">
        <v>46296</v>
      </c>
      <c r="F202" t="inlineStr">
        <is>
          <t>KALMAR LÄN</t>
        </is>
      </c>
      <c r="G202" t="inlineStr">
        <is>
          <t>HÖGSBY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46296</v>
      </c>
      <c r="F203" t="inlineStr">
        <is>
          <t>KALMAR LÄN</t>
        </is>
      </c>
      <c r="G203" t="inlineStr">
        <is>
          <t>HÖGSBY</t>
        </is>
      </c>
      <c r="I203" t="n">
        <v>11.5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44993</v>
      </c>
      <c r="E204" s="1" t="n">
        <v>46296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46296</v>
      </c>
      <c r="F205" t="inlineStr">
        <is>
          <t>KALMAR LÄN</t>
        </is>
      </c>
      <c r="G205" t="inlineStr">
        <is>
          <t>HÖGSBY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45702</v>
      </c>
      <c r="E206" s="1" t="n">
        <v>46296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46296</v>
      </c>
      <c r="F207" t="inlineStr">
        <is>
          <t>KALMAR LÄN</t>
        </is>
      </c>
      <c r="G207" t="inlineStr">
        <is>
          <t>HÖGSBY</t>
        </is>
      </c>
      <c r="H207" t="inlineStr">
        <is>
          <t>Övriga Aktiebolag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24292-2022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44725</v>
      </c>
      <c r="E208" s="1" t="n">
        <v>46296</v>
      </c>
      <c r="F208" t="inlineStr">
        <is>
          <t>KALMAR LÄN</t>
        </is>
      </c>
      <c r="G208" t="inlineStr">
        <is>
          <t>HÖGSBY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44950</v>
      </c>
      <c r="E209" s="1" t="n">
        <v>46296</v>
      </c>
      <c r="F209" t="inlineStr">
        <is>
          <t>KALMAR LÄN</t>
        </is>
      </c>
      <c r="G209" t="inlineStr">
        <is>
          <t>HÖGSBY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30294-2022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44760</v>
      </c>
      <c r="E210" s="1" t="n">
        <v>46296</v>
      </c>
      <c r="F210" t="inlineStr">
        <is>
          <t>KALMAR LÄN</t>
        </is>
      </c>
      <c r="G210" t="inlineStr">
        <is>
          <t>HÖGSBY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53328-2022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46296</v>
      </c>
      <c r="F211" t="inlineStr">
        <is>
          <t>KALMAR LÄN</t>
        </is>
      </c>
      <c r="G211" t="inlineStr">
        <is>
          <t>HÖGSBY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57000-2024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45626</v>
      </c>
      <c r="E212" s="1" t="n">
        <v>46296</v>
      </c>
      <c r="F212" t="inlineStr">
        <is>
          <t>KALMAR LÄN</t>
        </is>
      </c>
      <c r="G212" t="inlineStr">
        <is>
          <t>HÖGSBY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44991</v>
      </c>
      <c r="E213" s="1" t="n">
        <v>46296</v>
      </c>
      <c r="F213" t="inlineStr">
        <is>
          <t>KALMAR LÄN</t>
        </is>
      </c>
      <c r="G213" t="inlineStr">
        <is>
          <t>HÖGSBY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46296</v>
      </c>
      <c r="F214" t="inlineStr">
        <is>
          <t>KALMAR LÄN</t>
        </is>
      </c>
      <c r="G214" t="inlineStr">
        <is>
          <t>HÖGSBY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46296</v>
      </c>
      <c r="F215" t="inlineStr">
        <is>
          <t>KALMAR LÄN</t>
        </is>
      </c>
      <c r="G215" t="inlineStr">
        <is>
          <t>HÖGSBY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44861</v>
      </c>
      <c r="E216" s="1" t="n">
        <v>46296</v>
      </c>
      <c r="F216" t="inlineStr">
        <is>
          <t>KALMAR LÄN</t>
        </is>
      </c>
      <c r="G216" t="inlineStr">
        <is>
          <t>HÖGSBY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10704-2022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44625</v>
      </c>
      <c r="E217" s="1" t="n">
        <v>46296</v>
      </c>
      <c r="F217" t="inlineStr">
        <is>
          <t>KALMAR LÄN</t>
        </is>
      </c>
      <c r="G217" t="inlineStr">
        <is>
          <t>HÖGSBY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46296</v>
      </c>
      <c r="F218" t="inlineStr">
        <is>
          <t>KALMAR LÄN</t>
        </is>
      </c>
      <c r="G218" t="inlineStr">
        <is>
          <t>HÖGSBY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45204</v>
      </c>
      <c r="E219" s="1" t="n">
        <v>46296</v>
      </c>
      <c r="F219" t="inlineStr">
        <is>
          <t>KALMAR LÄN</t>
        </is>
      </c>
      <c r="G219" t="inlineStr">
        <is>
          <t>HÖGSBY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45393</v>
      </c>
      <c r="E220" s="1" t="n">
        <v>46296</v>
      </c>
      <c r="F220" t="inlineStr">
        <is>
          <t>KALMAR LÄN</t>
        </is>
      </c>
      <c r="G220" t="inlineStr">
        <is>
          <t>HÖGSBY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44924</v>
      </c>
      <c r="E221" s="1" t="n">
        <v>46296</v>
      </c>
      <c r="F221" t="inlineStr">
        <is>
          <t>KALMAR LÄN</t>
        </is>
      </c>
      <c r="G221" t="inlineStr">
        <is>
          <t>HÖGSBY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46296</v>
      </c>
      <c r="F222" t="inlineStr">
        <is>
          <t>KALMAR LÄN</t>
        </is>
      </c>
      <c r="G222" t="inlineStr">
        <is>
          <t>HÖGSBY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45217</v>
      </c>
      <c r="E223" s="1" t="n">
        <v>46296</v>
      </c>
      <c r="F223" t="inlineStr">
        <is>
          <t>KALMAR LÄN</t>
        </is>
      </c>
      <c r="G223" t="inlineStr">
        <is>
          <t>HÖGSBY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46296</v>
      </c>
      <c r="F224" t="inlineStr">
        <is>
          <t>KALMAR LÄN</t>
        </is>
      </c>
      <c r="G224" t="inlineStr">
        <is>
          <t>HÖGSBY</t>
        </is>
      </c>
      <c r="H224" t="inlineStr">
        <is>
          <t>Kommuner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14273-2024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45393</v>
      </c>
      <c r="E225" s="1" t="n">
        <v>46296</v>
      </c>
      <c r="F225" t="inlineStr">
        <is>
          <t>KALMAR LÄN</t>
        </is>
      </c>
      <c r="G225" t="inlineStr">
        <is>
          <t>HÖGSBY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37320-2022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44809</v>
      </c>
      <c r="E226" s="1" t="n">
        <v>46296</v>
      </c>
      <c r="F226" t="inlineStr">
        <is>
          <t>KALMAR LÄN</t>
        </is>
      </c>
      <c r="G226" t="inlineStr">
        <is>
          <t>HÖGSBY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45222</v>
      </c>
      <c r="E227" s="1" t="n">
        <v>46296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45254</v>
      </c>
      <c r="E228" s="1" t="n">
        <v>46296</v>
      </c>
      <c r="F228" t="inlineStr">
        <is>
          <t>KALMAR LÄN</t>
        </is>
      </c>
      <c r="G228" t="inlineStr">
        <is>
          <t>HÖGSBY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44981</v>
      </c>
      <c r="E229" s="1" t="n">
        <v>46296</v>
      </c>
      <c r="F229" t="inlineStr">
        <is>
          <t>KALMAR LÄN</t>
        </is>
      </c>
      <c r="G229" t="inlineStr">
        <is>
          <t>HÖGSBY</t>
        </is>
      </c>
      <c r="H229" t="inlineStr">
        <is>
          <t>Övriga Aktiebolag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45552</v>
      </c>
      <c r="E230" s="1" t="n">
        <v>46296</v>
      </c>
      <c r="F230" t="inlineStr">
        <is>
          <t>KALMAR LÄN</t>
        </is>
      </c>
      <c r="G230" t="inlineStr">
        <is>
          <t>HÖGSBY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45034</v>
      </c>
      <c r="E231" s="1" t="n">
        <v>46296</v>
      </c>
      <c r="F231" t="inlineStr">
        <is>
          <t>KALMAR LÄN</t>
        </is>
      </c>
      <c r="G231" t="inlineStr">
        <is>
          <t>HÖGSBY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46296</v>
      </c>
      <c r="F232" t="inlineStr">
        <is>
          <t>KALMAR LÄN</t>
        </is>
      </c>
      <c r="G232" t="inlineStr">
        <is>
          <t>HÖGSBY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12396-2023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44999</v>
      </c>
      <c r="E233" s="1" t="n">
        <v>46296</v>
      </c>
      <c r="F233" t="inlineStr">
        <is>
          <t>KALMAR LÄN</t>
        </is>
      </c>
      <c r="G233" t="inlineStr">
        <is>
          <t>HÖGSBY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45247</v>
      </c>
      <c r="E234" s="1" t="n">
        <v>46296</v>
      </c>
      <c r="F234" t="inlineStr">
        <is>
          <t>KALMAR LÄN</t>
        </is>
      </c>
      <c r="G234" t="inlineStr">
        <is>
          <t>HÖGSBY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44861</v>
      </c>
      <c r="E235" s="1" t="n">
        <v>46296</v>
      </c>
      <c r="F235" t="inlineStr">
        <is>
          <t>KALMAR LÄN</t>
        </is>
      </c>
      <c r="G235" t="inlineStr">
        <is>
          <t>HÖGSBY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44981</v>
      </c>
      <c r="E236" s="1" t="n">
        <v>46296</v>
      </c>
      <c r="F236" t="inlineStr">
        <is>
          <t>KALMAR LÄN</t>
        </is>
      </c>
      <c r="G236" t="inlineStr">
        <is>
          <t>HÖGSBY</t>
        </is>
      </c>
      <c r="H236" t="inlineStr">
        <is>
          <t>Övriga Aktiebolag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44623</v>
      </c>
      <c r="E237" s="1" t="n">
        <v>46296</v>
      </c>
      <c r="F237" t="inlineStr">
        <is>
          <t>KALMAR LÄN</t>
        </is>
      </c>
      <c r="G237" t="inlineStr">
        <is>
          <t>HÖGSBY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46296</v>
      </c>
      <c r="F238" t="inlineStr">
        <is>
          <t>KALMAR LÄN</t>
        </is>
      </c>
      <c r="G238" t="inlineStr">
        <is>
          <t>HÖGSBY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38600-2024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46296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45414</v>
      </c>
      <c r="E240" s="1" t="n">
        <v>46296</v>
      </c>
      <c r="F240" t="inlineStr">
        <is>
          <t>KALMAR LÄN</t>
        </is>
      </c>
      <c r="G240" t="inlineStr">
        <is>
          <t>HÖGSBY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45247</v>
      </c>
      <c r="E241" s="1" t="n">
        <v>46296</v>
      </c>
      <c r="F241" t="inlineStr">
        <is>
          <t>KALMAR LÄN</t>
        </is>
      </c>
      <c r="G241" t="inlineStr">
        <is>
          <t>HÖGSBY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46296</v>
      </c>
      <c r="F242" t="inlineStr">
        <is>
          <t>KALMAR LÄN</t>
        </is>
      </c>
      <c r="G242" t="inlineStr">
        <is>
          <t>HÖGSBY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46296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9.199999999999999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45145</v>
      </c>
      <c r="E244" s="1" t="n">
        <v>46296</v>
      </c>
      <c r="F244" t="inlineStr">
        <is>
          <t>KALMAR LÄN</t>
        </is>
      </c>
      <c r="G244" t="inlineStr">
        <is>
          <t>HÖGSBY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46296</v>
      </c>
      <c r="F245" t="inlineStr">
        <is>
          <t>KALMAR LÄN</t>
        </is>
      </c>
      <c r="G245" t="inlineStr">
        <is>
          <t>HÖGSBY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46296</v>
      </c>
      <c r="F246" t="inlineStr">
        <is>
          <t>KALMAR LÄN</t>
        </is>
      </c>
      <c r="G246" t="inlineStr">
        <is>
          <t>HÖGSBY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45847</v>
      </c>
      <c r="E247" s="1" t="n">
        <v>46296</v>
      </c>
      <c r="F247" t="inlineStr">
        <is>
          <t>KALMAR LÄN</t>
        </is>
      </c>
      <c r="G247" t="inlineStr">
        <is>
          <t>HÖGSBY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65130-2023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45288</v>
      </c>
      <c r="E248" s="1" t="n">
        <v>46296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44966</v>
      </c>
      <c r="E249" s="1" t="n">
        <v>46296</v>
      </c>
      <c r="F249" t="inlineStr">
        <is>
          <t>KALMAR LÄN</t>
        </is>
      </c>
      <c r="G249" t="inlineStr">
        <is>
          <t>HÖGSBY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45847</v>
      </c>
      <c r="E250" s="1" t="n">
        <v>46296</v>
      </c>
      <c r="F250" t="inlineStr">
        <is>
          <t>KALMAR LÄN</t>
        </is>
      </c>
      <c r="G250" t="inlineStr">
        <is>
          <t>HÖGSBY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45071</v>
      </c>
      <c r="E251" s="1" t="n">
        <v>46296</v>
      </c>
      <c r="F251" t="inlineStr">
        <is>
          <t>KALMAR LÄN</t>
        </is>
      </c>
      <c r="G251" t="inlineStr">
        <is>
          <t>HÖGSBY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45614</v>
      </c>
      <c r="E252" s="1" t="n">
        <v>46296</v>
      </c>
      <c r="F252" t="inlineStr">
        <is>
          <t>KALMAR LÄN</t>
        </is>
      </c>
      <c r="G252" t="inlineStr">
        <is>
          <t>HÖGSBY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45239</v>
      </c>
      <c r="E253" s="1" t="n">
        <v>46296</v>
      </c>
      <c r="F253" t="inlineStr">
        <is>
          <t>KALMAR LÄN</t>
        </is>
      </c>
      <c r="G253" t="inlineStr">
        <is>
          <t>HÖGSBY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46296</v>
      </c>
      <c r="F254" t="inlineStr">
        <is>
          <t>KALMAR LÄN</t>
        </is>
      </c>
      <c r="G254" t="inlineStr">
        <is>
          <t>HÖGSBY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22688-2025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45789</v>
      </c>
      <c r="E255" s="1" t="n">
        <v>46296</v>
      </c>
      <c r="F255" t="inlineStr">
        <is>
          <t>KALMAR LÄN</t>
        </is>
      </c>
      <c r="G255" t="inlineStr">
        <is>
          <t>HÖGSBY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45320</v>
      </c>
      <c r="E256" s="1" t="n">
        <v>46296</v>
      </c>
      <c r="F256" t="inlineStr">
        <is>
          <t>KALMAR LÄN</t>
        </is>
      </c>
      <c r="G256" t="inlineStr">
        <is>
          <t>HÖGSBY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44677</v>
      </c>
      <c r="E257" s="1" t="n">
        <v>46296</v>
      </c>
      <c r="F257" t="inlineStr">
        <is>
          <t>KALMAR LÄN</t>
        </is>
      </c>
      <c r="G257" t="inlineStr">
        <is>
          <t>HÖGSBY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44729</v>
      </c>
      <c r="E258" s="1" t="n">
        <v>46296</v>
      </c>
      <c r="F258" t="inlineStr">
        <is>
          <t>KALMAR LÄN</t>
        </is>
      </c>
      <c r="G258" t="inlineStr">
        <is>
          <t>HÖGSBY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46296</v>
      </c>
      <c r="F259" t="inlineStr">
        <is>
          <t>KALMAR LÄN</t>
        </is>
      </c>
      <c r="G259" t="inlineStr">
        <is>
          <t>HÖGSBY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45688</v>
      </c>
      <c r="E260" s="1" t="n">
        <v>46296</v>
      </c>
      <c r="F260" t="inlineStr">
        <is>
          <t>KALMAR LÄN</t>
        </is>
      </c>
      <c r="G260" t="inlineStr">
        <is>
          <t>HÖGSBY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8108-2025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45707</v>
      </c>
      <c r="E261" s="1" t="n">
        <v>46296</v>
      </c>
      <c r="F261" t="inlineStr">
        <is>
          <t>KALMAR LÄN</t>
        </is>
      </c>
      <c r="G261" t="inlineStr">
        <is>
          <t>HÖGSBY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58753-2022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44903</v>
      </c>
      <c r="E262" s="1" t="n">
        <v>46296</v>
      </c>
      <c r="F262" t="inlineStr">
        <is>
          <t>KALMAR LÄN</t>
        </is>
      </c>
      <c r="G262" t="inlineStr">
        <is>
          <t>HÖGSBY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46296</v>
      </c>
      <c r="F263" t="inlineStr">
        <is>
          <t>KALMAR LÄN</t>
        </is>
      </c>
      <c r="G263" t="inlineStr">
        <is>
          <t>HÖGSBY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44437-2023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45189</v>
      </c>
      <c r="E264" s="1" t="n">
        <v>46296</v>
      </c>
      <c r="F264" t="inlineStr">
        <is>
          <t>KALMAR LÄN</t>
        </is>
      </c>
      <c r="G264" t="inlineStr">
        <is>
          <t>HÖGSBY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46296</v>
      </c>
      <c r="F265" t="inlineStr">
        <is>
          <t>KALMAR LÄN</t>
        </is>
      </c>
      <c r="G265" t="inlineStr">
        <is>
          <t>HÖGSBY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25876-2023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45090</v>
      </c>
      <c r="E266" s="1" t="n">
        <v>46296</v>
      </c>
      <c r="F266" t="inlineStr">
        <is>
          <t>KALMAR LÄN</t>
        </is>
      </c>
      <c r="G266" t="inlineStr">
        <is>
          <t>HÖGSBY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46296</v>
      </c>
      <c r="F267" t="inlineStr">
        <is>
          <t>KALMAR LÄN</t>
        </is>
      </c>
      <c r="G267" t="inlineStr">
        <is>
          <t>HÖGSBY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46296</v>
      </c>
      <c r="F268" t="inlineStr">
        <is>
          <t>KALMAR LÄN</t>
        </is>
      </c>
      <c r="G268" t="inlineStr">
        <is>
          <t>HÖGSBY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38068-2025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45882</v>
      </c>
      <c r="E269" s="1" t="n">
        <v>46296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50947-2025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45946</v>
      </c>
      <c r="E270" s="1" t="n">
        <v>46296</v>
      </c>
      <c r="F270" t="inlineStr">
        <is>
          <t>KALMAR LÄN</t>
        </is>
      </c>
      <c r="G270" t="inlineStr">
        <is>
          <t>HÖGSBY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45946</v>
      </c>
      <c r="E271" s="1" t="n">
        <v>46296</v>
      </c>
      <c r="F271" t="inlineStr">
        <is>
          <t>KALMAR LÄN</t>
        </is>
      </c>
      <c r="G271" t="inlineStr">
        <is>
          <t>HÖGSBY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50950-2025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46296</v>
      </c>
      <c r="F272" t="inlineStr">
        <is>
          <t>KALMAR LÄN</t>
        </is>
      </c>
      <c r="G272" t="inlineStr">
        <is>
          <t>HÖGSBY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46296</v>
      </c>
      <c r="F273" t="inlineStr">
        <is>
          <t>KALMAR LÄN</t>
        </is>
      </c>
      <c r="G273" t="inlineStr">
        <is>
          <t>HÖGSBY</t>
        </is>
      </c>
      <c r="I273" t="n">
        <v>12.8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46296</v>
      </c>
      <c r="F274" t="inlineStr">
        <is>
          <t>KALMAR LÄN</t>
        </is>
      </c>
      <c r="G274" t="inlineStr">
        <is>
          <t>HÖGSBY</t>
        </is>
      </c>
      <c r="H274" t="inlineStr">
        <is>
          <t>Kyrkan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45954</v>
      </c>
      <c r="E275" s="1" t="n">
        <v>46296</v>
      </c>
      <c r="F275" t="inlineStr">
        <is>
          <t>KALMAR LÄN</t>
        </is>
      </c>
      <c r="G275" t="inlineStr">
        <is>
          <t>HÖGSBY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46296</v>
      </c>
      <c r="F276" t="inlineStr">
        <is>
          <t>KALMAR LÄN</t>
        </is>
      </c>
      <c r="G276" t="inlineStr">
        <is>
          <t>HÖGSBY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46296</v>
      </c>
      <c r="F277" t="inlineStr">
        <is>
          <t>KALMAR LÄN</t>
        </is>
      </c>
      <c r="G277" t="inlineStr">
        <is>
          <t>HÖGSBY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56353-2025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45974</v>
      </c>
      <c r="E278" s="1" t="n">
        <v>46296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46296</v>
      </c>
      <c r="F279" t="inlineStr">
        <is>
          <t>KALMAR LÄN</t>
        </is>
      </c>
      <c r="G279" t="inlineStr">
        <is>
          <t>HÖGSBY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46296</v>
      </c>
      <c r="F280" t="inlineStr">
        <is>
          <t>KALMAR LÄN</t>
        </is>
      </c>
      <c r="G280" t="inlineStr">
        <is>
          <t>HÖGSBY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46296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46296</v>
      </c>
      <c r="F282" t="inlineStr">
        <is>
          <t>KALMAR LÄN</t>
        </is>
      </c>
      <c r="G282" t="inlineStr">
        <is>
          <t>HÖGSBY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46296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46296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46296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18.4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46296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46296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46007</v>
      </c>
      <c r="E288" s="1" t="n">
        <v>46296</v>
      </c>
      <c r="F288" t="inlineStr">
        <is>
          <t>KALMAR LÄN</t>
        </is>
      </c>
      <c r="G288" t="inlineStr">
        <is>
          <t>HÖGSBY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46296</v>
      </c>
      <c r="F289" t="inlineStr">
        <is>
          <t>KALMAR LÄN</t>
        </is>
      </c>
      <c r="G289" t="inlineStr">
        <is>
          <t>HÖGSBY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62720-2025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46008</v>
      </c>
      <c r="E290" s="1" t="n">
        <v>46296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62722-2025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46008</v>
      </c>
      <c r="E291" s="1" t="n">
        <v>46296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46296</v>
      </c>
      <c r="F292" t="inlineStr">
        <is>
          <t>KALMAR LÄN</t>
        </is>
      </c>
      <c r="G292" t="inlineStr">
        <is>
          <t>HÖGSBY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46296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46296</v>
      </c>
      <c r="F294" t="inlineStr">
        <is>
          <t>KALMAR LÄN</t>
        </is>
      </c>
      <c r="G294" t="inlineStr">
        <is>
          <t>HÖGSBY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46296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7443-2026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46059</v>
      </c>
      <c r="E296" s="1" t="n">
        <v>46296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46079</v>
      </c>
      <c r="E297" s="1" t="n">
        <v>46296</v>
      </c>
      <c r="F297" t="inlineStr">
        <is>
          <t>KALMAR LÄN</t>
        </is>
      </c>
      <c r="G297" t="inlineStr">
        <is>
          <t>HÖGSBY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46093</v>
      </c>
      <c r="E298" s="1" t="n">
        <v>46296</v>
      </c>
      <c r="F298" t="inlineStr">
        <is>
          <t>KALMAR LÄN</t>
        </is>
      </c>
      <c r="G298" t="inlineStr">
        <is>
          <t>HÖGSBY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14894-2025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45743</v>
      </c>
      <c r="E299" s="1" t="n">
        <v>46296</v>
      </c>
      <c r="F299" t="inlineStr">
        <is>
          <t>KALMAR LÄN</t>
        </is>
      </c>
      <c r="G299" t="inlineStr">
        <is>
          <t>HÖGSBY</t>
        </is>
      </c>
      <c r="H299" t="inlineStr">
        <is>
          <t>Kommuner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46296</v>
      </c>
      <c r="F300" t="inlineStr">
        <is>
          <t>KALMAR LÄN</t>
        </is>
      </c>
      <c r="G300" t="inlineStr">
        <is>
          <t>HÖGSBY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46296</v>
      </c>
      <c r="F301" t="inlineStr">
        <is>
          <t>KALMAR LÄN</t>
        </is>
      </c>
      <c r="G301" t="inlineStr">
        <is>
          <t>HÖGSBY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46296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46296</v>
      </c>
      <c r="F303" t="inlineStr">
        <is>
          <t>KALMAR LÄN</t>
        </is>
      </c>
      <c r="G303" t="inlineStr">
        <is>
          <t>HÖGSBY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46296</v>
      </c>
      <c r="F304" t="inlineStr">
        <is>
          <t>KALMAR LÄN</t>
        </is>
      </c>
      <c r="G304" t="inlineStr">
        <is>
          <t>HÖGSBY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46296</v>
      </c>
      <c r="F305" t="inlineStr">
        <is>
          <t>KALMAR LÄN</t>
        </is>
      </c>
      <c r="G305" t="inlineStr">
        <is>
          <t>HÖGSBY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19484-2026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46296</v>
      </c>
      <c r="F306" t="inlineStr">
        <is>
          <t>KALMAR LÄN</t>
        </is>
      </c>
      <c r="G306" t="inlineStr">
        <is>
          <t>HÖGSBY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46296</v>
      </c>
      <c r="F307" t="inlineStr">
        <is>
          <t>KALMAR LÄN</t>
        </is>
      </c>
      <c r="G307" t="inlineStr">
        <is>
          <t>HÖGSBY</t>
        </is>
      </c>
      <c r="H307" t="inlineStr">
        <is>
          <t>Kommuner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16766-2025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45754</v>
      </c>
      <c r="E308" s="1" t="n">
        <v>46296</v>
      </c>
      <c r="F308" t="inlineStr">
        <is>
          <t>KALMAR LÄN</t>
        </is>
      </c>
      <c r="G308" t="inlineStr">
        <is>
          <t>HÖGSBY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63508-2025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46296</v>
      </c>
      <c r="F309" t="inlineStr">
        <is>
          <t>KALMAR LÄN</t>
        </is>
      </c>
      <c r="G309" t="inlineStr">
        <is>
          <t>HÖGSBY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17864-2025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45758</v>
      </c>
      <c r="E310" s="1" t="n">
        <v>46296</v>
      </c>
      <c r="F310" t="inlineStr">
        <is>
          <t>KALMAR LÄN</t>
        </is>
      </c>
      <c r="G310" t="inlineStr">
        <is>
          <t>HÖGSBY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11694-2025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45727</v>
      </c>
      <c r="E311" s="1" t="n">
        <v>46296</v>
      </c>
      <c r="F311" t="inlineStr">
        <is>
          <t>KALMAR LÄN</t>
        </is>
      </c>
      <c r="G311" t="inlineStr">
        <is>
          <t>HÖGSBY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45793</v>
      </c>
      <c r="E312" s="1" t="n">
        <v>46296</v>
      </c>
      <c r="F312" t="inlineStr">
        <is>
          <t>KALMAR LÄN</t>
        </is>
      </c>
      <c r="G312" t="inlineStr">
        <is>
          <t>HÖGSBY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45727</v>
      </c>
      <c r="E313" s="1" t="n">
        <v>46296</v>
      </c>
      <c r="F313" t="inlineStr">
        <is>
          <t>KALMAR LÄN</t>
        </is>
      </c>
      <c r="G313" t="inlineStr">
        <is>
          <t>HÖGSBY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46296</v>
      </c>
      <c r="F314" t="inlineStr">
        <is>
          <t>KALMAR LÄN</t>
        </is>
      </c>
      <c r="G314" t="inlineStr">
        <is>
          <t>HÖGSBY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45707</v>
      </c>
      <c r="E315" s="1" t="n">
        <v>46296</v>
      </c>
      <c r="F315" t="inlineStr">
        <is>
          <t>KALMAR LÄN</t>
        </is>
      </c>
      <c r="G315" t="inlineStr">
        <is>
          <t>HÖGSBY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46296</v>
      </c>
      <c r="F316" t="inlineStr">
        <is>
          <t>KALMAR LÄN</t>
        </is>
      </c>
      <c r="G316" t="inlineStr">
        <is>
          <t>HÖGSBY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37497-2022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44809</v>
      </c>
      <c r="E317" s="1" t="n">
        <v>46296</v>
      </c>
      <c r="F317" t="inlineStr">
        <is>
          <t>KALMAR LÄN</t>
        </is>
      </c>
      <c r="G317" t="inlineStr">
        <is>
          <t>HÖGSBY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45911</v>
      </c>
      <c r="E318" s="1" t="n">
        <v>46296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45901</v>
      </c>
      <c r="E319" s="1" t="n">
        <v>46296</v>
      </c>
      <c r="F319" t="inlineStr">
        <is>
          <t>KALMAR LÄN</t>
        </is>
      </c>
      <c r="G319" t="inlineStr">
        <is>
          <t>HÖGSBY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46296</v>
      </c>
      <c r="F320" t="inlineStr">
        <is>
          <t>KALMAR LÄN</t>
        </is>
      </c>
      <c r="G320" t="inlineStr">
        <is>
          <t>HÖGSBY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50414-2024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46296</v>
      </c>
      <c r="F321" t="inlineStr">
        <is>
          <t>KALMAR LÄN</t>
        </is>
      </c>
      <c r="G321" t="inlineStr">
        <is>
          <t>HÖGSBY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46296</v>
      </c>
      <c r="F322" t="inlineStr">
        <is>
          <t>KALMAR LÄN</t>
        </is>
      </c>
      <c r="G322" t="inlineStr">
        <is>
          <t>HÖGSBY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45804</v>
      </c>
      <c r="E323" s="1" t="n">
        <v>46296</v>
      </c>
      <c r="F323" t="inlineStr">
        <is>
          <t>KALMAR LÄN</t>
        </is>
      </c>
      <c r="G323" t="inlineStr">
        <is>
          <t>HÖGSBY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46296</v>
      </c>
      <c r="F324" t="inlineStr">
        <is>
          <t>KALMAR LÄN</t>
        </is>
      </c>
      <c r="G324" t="inlineStr">
        <is>
          <t>HÖGSBY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21801-2026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46296</v>
      </c>
      <c r="F325" t="inlineStr">
        <is>
          <t>KALMAR LÄN</t>
        </is>
      </c>
      <c r="G325" t="inlineStr">
        <is>
          <t>HÖGSBY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22562-2026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46155</v>
      </c>
      <c r="E326" s="1" t="n">
        <v>46296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22564-2026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46155</v>
      </c>
      <c r="E327" s="1" t="n">
        <v>46296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46296</v>
      </c>
      <c r="F328" t="inlineStr">
        <is>
          <t>KALMAR LÄN</t>
        </is>
      </c>
      <c r="G328" t="inlineStr">
        <is>
          <t>HÖGSBY</t>
        </is>
      </c>
      <c r="H328" t="inlineStr">
        <is>
          <t>Kyrkan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46157</v>
      </c>
      <c r="E329" s="1" t="n">
        <v>46296</v>
      </c>
      <c r="F329" t="inlineStr">
        <is>
          <t>KALMAR LÄN</t>
        </is>
      </c>
      <c r="G329" t="inlineStr">
        <is>
          <t>HÖGSBY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23116-2026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46296</v>
      </c>
      <c r="F330" t="inlineStr">
        <is>
          <t>KALMAR LÄN</t>
        </is>
      </c>
      <c r="G330" t="inlineStr">
        <is>
          <t>HÖGSBY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46296</v>
      </c>
      <c r="F331" t="inlineStr">
        <is>
          <t>KALMAR LÄN</t>
        </is>
      </c>
      <c r="G331" t="inlineStr">
        <is>
          <t>HÖGSBY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23937-2026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46167</v>
      </c>
      <c r="E332" s="1" t="n">
        <v>46296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46169</v>
      </c>
      <c r="E333" s="1" t="n">
        <v>46296</v>
      </c>
      <c r="F333" t="inlineStr">
        <is>
          <t>KALMAR LÄN</t>
        </is>
      </c>
      <c r="G333" t="inlineStr">
        <is>
          <t>HÖGSBY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24601-2024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45460</v>
      </c>
      <c r="E334" s="1" t="n">
        <v>46296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14.7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24893-2026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46296</v>
      </c>
      <c r="F335" t="inlineStr">
        <is>
          <t>KALMAR LÄN</t>
        </is>
      </c>
      <c r="G335" t="inlineStr">
        <is>
          <t>HÖGSBY</t>
        </is>
      </c>
      <c r="H335" t="inlineStr">
        <is>
          <t>Kommuner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46296</v>
      </c>
      <c r="F336" t="inlineStr">
        <is>
          <t>KALMAR LÄN</t>
        </is>
      </c>
      <c r="G336" t="inlineStr">
        <is>
          <t>HÖGSBY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46296</v>
      </c>
      <c r="F337" t="inlineStr">
        <is>
          <t>KALMAR LÄN</t>
        </is>
      </c>
      <c r="G337" t="inlineStr">
        <is>
          <t>HÖGSBY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46296</v>
      </c>
      <c r="F338" t="inlineStr">
        <is>
          <t>KALMAR LÄN</t>
        </is>
      </c>
      <c r="G338" t="inlineStr">
        <is>
          <t>HÖGSBY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46296</v>
      </c>
      <c r="F339" t="inlineStr">
        <is>
          <t>KALMAR LÄN</t>
        </is>
      </c>
      <c r="G339" t="inlineStr">
        <is>
          <t>HÖGSBY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46184</v>
      </c>
      <c r="E340" s="1" t="n">
        <v>46296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46184</v>
      </c>
      <c r="E341" s="1" t="n">
        <v>46296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26764-2026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46296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26760-2026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46184</v>
      </c>
      <c r="E343" s="1" t="n">
        <v>46296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46296</v>
      </c>
      <c r="F344" t="inlineStr">
        <is>
          <t>KALMAR LÄN</t>
        </is>
      </c>
      <c r="G344" t="inlineStr">
        <is>
          <t>HÖGSBY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46296</v>
      </c>
      <c r="F345" t="inlineStr">
        <is>
          <t>KALMAR LÄN</t>
        </is>
      </c>
      <c r="G345" t="inlineStr">
        <is>
          <t>HÖGSBY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26967-2026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46185</v>
      </c>
      <c r="E346" s="1" t="n">
        <v>46296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46296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46296</v>
      </c>
      <c r="F348" t="inlineStr">
        <is>
          <t>KALMAR LÄN</t>
        </is>
      </c>
      <c r="G348" t="inlineStr">
        <is>
          <t>HÖGSBY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46296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8.5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46296</v>
      </c>
      <c r="F350" t="inlineStr">
        <is>
          <t>KALMAR LÄN</t>
        </is>
      </c>
      <c r="G350" t="inlineStr">
        <is>
          <t>HÖGSBY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46296</v>
      </c>
      <c r="F351" t="inlineStr">
        <is>
          <t>KALMAR LÄN</t>
        </is>
      </c>
      <c r="G351" t="inlineStr">
        <is>
          <t>HÖGSBY</t>
        </is>
      </c>
      <c r="H351" t="inlineStr">
        <is>
          <t>Kommuner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46296</v>
      </c>
      <c r="F352" t="inlineStr">
        <is>
          <t>KALMAR LÄN</t>
        </is>
      </c>
      <c r="G352" t="inlineStr">
        <is>
          <t>HÖGSBY</t>
        </is>
      </c>
      <c r="H352" t="inlineStr">
        <is>
          <t>Kommuner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28702-2026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46198</v>
      </c>
      <c r="E353" s="1" t="n">
        <v>46296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28692-2026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46198</v>
      </c>
      <c r="E354" s="1" t="n">
        <v>46296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28691-2026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46198</v>
      </c>
      <c r="E355" s="1" t="n">
        <v>46296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28697-2026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46198</v>
      </c>
      <c r="E356" s="1" t="n">
        <v>46296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46197</v>
      </c>
      <c r="E357" s="1" t="n">
        <v>46296</v>
      </c>
      <c r="F357" t="inlineStr">
        <is>
          <t>KALMAR LÄN</t>
        </is>
      </c>
      <c r="G357" t="inlineStr">
        <is>
          <t>HÖGSBY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28574-2026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46197</v>
      </c>
      <c r="E358" s="1" t="n">
        <v>46296</v>
      </c>
      <c r="F358" t="inlineStr">
        <is>
          <t>KALMAR LÄN</t>
        </is>
      </c>
      <c r="G358" t="inlineStr">
        <is>
          <t>HÖGSBY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28713-2026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46198</v>
      </c>
      <c r="E359" s="1" t="n">
        <v>46296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46296</v>
      </c>
      <c r="F360" t="inlineStr">
        <is>
          <t>KALMAR LÄN</t>
        </is>
      </c>
      <c r="G360" t="inlineStr">
        <is>
          <t>HÖGSBY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46296</v>
      </c>
      <c r="F361" t="inlineStr">
        <is>
          <t>KALMAR LÄN</t>
        </is>
      </c>
      <c r="G361" t="inlineStr">
        <is>
          <t>HÖGSBY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46296</v>
      </c>
      <c r="F362" t="inlineStr">
        <is>
          <t>KALMAR LÄN</t>
        </is>
      </c>
      <c r="G362" t="inlineStr">
        <is>
          <t>HÖGSBY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46296</v>
      </c>
      <c r="F363" t="inlineStr">
        <is>
          <t>KALMAR LÄN</t>
        </is>
      </c>
      <c r="G363" t="inlineStr">
        <is>
          <t>HÖGSBY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46296</v>
      </c>
      <c r="F364" t="inlineStr">
        <is>
          <t>KALMAR LÄN</t>
        </is>
      </c>
      <c r="G364" t="inlineStr">
        <is>
          <t>HÖGSBY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46296</v>
      </c>
      <c r="F365" t="inlineStr">
        <is>
          <t>KALMAR LÄN</t>
        </is>
      </c>
      <c r="G365" t="inlineStr">
        <is>
          <t>HÖGSBY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46296</v>
      </c>
      <c r="F366" t="inlineStr">
        <is>
          <t>KALMAR LÄN</t>
        </is>
      </c>
      <c r="G366" t="inlineStr">
        <is>
          <t>HÖGSBY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46296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46296</v>
      </c>
      <c r="F368" t="inlineStr">
        <is>
          <t>KALMAR LÄN</t>
        </is>
      </c>
      <c r="G368" t="inlineStr">
        <is>
          <t>HÖGSBY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46296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46296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46296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12.7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46296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35873-2026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46296</v>
      </c>
      <c r="F373" t="inlineStr">
        <is>
          <t>KALMAR LÄN</t>
        </is>
      </c>
      <c r="G373" t="inlineStr">
        <is>
          <t>HÖGSBY</t>
        </is>
      </c>
      <c r="I373" t="n">
        <v>9.6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46296</v>
      </c>
      <c r="F374" t="inlineStr">
        <is>
          <t>KALMAR LÄN</t>
        </is>
      </c>
      <c r="G374" t="inlineStr">
        <is>
          <t>HÖGSBY</t>
        </is>
      </c>
      <c r="I374" t="n">
        <v>7.7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46267</v>
      </c>
      <c r="E375" s="1" t="n">
        <v>46296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46267</v>
      </c>
      <c r="E376" s="1" t="n">
        <v>46296</v>
      </c>
      <c r="F376" t="inlineStr">
        <is>
          <t>KALMAR LÄN</t>
        </is>
      </c>
      <c r="G376" t="inlineStr">
        <is>
          <t>HÖGSBY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46296</v>
      </c>
      <c r="F377" t="inlineStr">
        <is>
          <t>KALMAR LÄN</t>
        </is>
      </c>
      <c r="G377" t="inlineStr">
        <is>
          <t>HÖGSBY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46269</v>
      </c>
      <c r="E378" s="1" t="n">
        <v>46296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46296</v>
      </c>
      <c r="F379" t="inlineStr">
        <is>
          <t>KALMAR LÄN</t>
        </is>
      </c>
      <c r="G379" t="inlineStr">
        <is>
          <t>HÖGSBY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46269</v>
      </c>
      <c r="E380" s="1" t="n">
        <v>46296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24.4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46268</v>
      </c>
      <c r="E381" s="1" t="n">
        <v>46296</v>
      </c>
      <c r="F381" t="inlineStr">
        <is>
          <t>KALMAR LÄN</t>
        </is>
      </c>
      <c r="G381" t="inlineStr">
        <is>
          <t>HÖGSBY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46274</v>
      </c>
      <c r="E382" s="1" t="n">
        <v>46296</v>
      </c>
      <c r="F382" t="inlineStr">
        <is>
          <t>KALMAR LÄN</t>
        </is>
      </c>
      <c r="G382" t="inlineStr">
        <is>
          <t>HÖGSBY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46296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37335-2026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46275</v>
      </c>
      <c r="E384" s="1" t="n">
        <v>46296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11.2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37233-2026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46274</v>
      </c>
      <c r="E385" s="1" t="n">
        <v>46296</v>
      </c>
      <c r="F385" t="inlineStr">
        <is>
          <t>KALMAR LÄN</t>
        </is>
      </c>
      <c r="G385" t="inlineStr">
        <is>
          <t>HÖGSBY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46237</v>
      </c>
      <c r="E386" s="1" t="n">
        <v>46296</v>
      </c>
      <c r="F386" t="inlineStr">
        <is>
          <t>KALMAR LÄN</t>
        </is>
      </c>
      <c r="G386" t="inlineStr">
        <is>
          <t>HÖGSBY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38185-2026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46281</v>
      </c>
      <c r="E387" s="1" t="n">
        <v>46296</v>
      </c>
      <c r="F387" t="inlineStr">
        <is>
          <t>KALMAR LÄN</t>
        </is>
      </c>
      <c r="G387" t="inlineStr">
        <is>
          <t>HÖGSBY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39035-2026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46287</v>
      </c>
      <c r="E388" s="1" t="n">
        <v>46296</v>
      </c>
      <c r="F388" t="inlineStr">
        <is>
          <t>KALMAR LÄN</t>
        </is>
      </c>
      <c r="G388" t="inlineStr">
        <is>
          <t>HÖGSBY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46286</v>
      </c>
      <c r="E389" s="1" t="n">
        <v>46296</v>
      </c>
      <c r="F389" t="inlineStr">
        <is>
          <t>KALMAR LÄN</t>
        </is>
      </c>
      <c r="G389" t="inlineStr">
        <is>
          <t>HÖGSBY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46293</v>
      </c>
      <c r="E390" s="1" t="n">
        <v>46296</v>
      </c>
      <c r="F390" t="inlineStr">
        <is>
          <t>KALMAR LÄN</t>
        </is>
      </c>
      <c r="G390" t="inlineStr">
        <is>
          <t>HÖGSBY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33788-2026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46251</v>
      </c>
      <c r="E391" s="1" t="n">
        <v>46296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46296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46296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46296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46296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46296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46296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46296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46296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46296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46296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46296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46296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46296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46296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46296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46296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46296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46296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46296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46296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46296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46296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46296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46296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2026-10-01T02:01:26Z</dcterms:created>
  <dcterms:modified xmlns:dcterms="http://purl.org/dc/terms/" xmlns:xsi="http://www.w3.org/2001/XMLSchema-instance" xsi:type="dcterms:W3CDTF">2026-10-01T02:01:26Z</dcterms:modified>
</cp:coreProperties>
</file>