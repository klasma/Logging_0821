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46314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46314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46314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46314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46314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46314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46314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46314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46314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46314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46314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46314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46314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46314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46314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46314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46314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46314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46314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46314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46314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46314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46314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46314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46314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A 42286-2026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46307</v>
      </c>
      <c r="E27" s="1" t="n">
        <v>46314</v>
      </c>
      <c r="F27" t="inlineStr">
        <is>
          <t>KALMAR LÄN</t>
        </is>
      </c>
      <c r="G27" t="inlineStr">
        <is>
          <t>HÖGSBY</t>
        </is>
      </c>
      <c r="I27" t="n">
        <v>2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5</v>
      </c>
      <c r="U27" t="n">
        <v>0</v>
      </c>
      <c r="V27" s="2" t="inlineStr">
        <is>
          <t>Backsippa
Backklöver
Gullviva</t>
        </is>
      </c>
      <c r="W27">
        <f>HYPERLINK("https://klasma.github.io/Logging_0821/artfynd/A 42286-2026 artfynd.xlsx", "A 42286-2026")</f>
        <v/>
      </c>
      <c r="X27">
        <f>HYPERLINK("https://klasma.github.io/Logging_0821/kartor/A 42286-2026 karta.png", "A 42286-2026")</f>
        <v/>
      </c>
      <c r="Y27">
        <f>HYPERLINK("https://klasma.github.io/Logging_0821/kartor_geotiff/A 42286-2026 georefererad karta.tif", "A 42286-2026")</f>
        <v/>
      </c>
      <c r="AA27">
        <f>HYPERLINK("https://klasma.github.io/Logging_0821/klagomål/A 42286-2026 FSC-klagomål.docx", "A 42286-2026")</f>
        <v/>
      </c>
      <c r="AB27">
        <f>HYPERLINK("https://klasma.github.io/Logging_0821/klagomålsmail/A 42286-2026 FSC-klagomål mail.docx", "A 42286-2026")</f>
        <v/>
      </c>
      <c r="AC27">
        <f>HYPERLINK("https://klasma.github.io/Logging_0821/tillsyn/A 42286-2026 tillsynsbegäran.docx", "A 42286-2026")</f>
        <v/>
      </c>
      <c r="AD27">
        <f>HYPERLINK("https://klasma.github.io/Logging_0821/tillsynsmail/A 42286-2026 tillsynsbegäran mail.docx", "A 42286-2026")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46314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46314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46314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46314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46314</v>
      </c>
      <c r="F32" t="inlineStr">
        <is>
          <t>KALMAR LÄN</t>
        </is>
      </c>
      <c r="G32" t="inlineStr">
        <is>
          <t>HÖGSBY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Tallticka
Tjäder</t>
        </is>
      </c>
      <c r="W32">
        <f>HYPERLINK("https://klasma.github.io/Logging_0821/artfynd/A 62431-2023 artfynd.xlsx", "A 62431-2023")</f>
        <v/>
      </c>
      <c r="X32">
        <f>HYPERLINK("https://klasma.github.io/Logging_0821/kartor/A 62431-2023 karta.png", "A 62431-2023")</f>
        <v/>
      </c>
      <c r="Y32">
        <f>HYPERLINK("https://klasma.github.io/Logging_0821/kartor_geotiff/A 62431-2023 georefererad karta.tif", "A 62431-2023")</f>
        <v/>
      </c>
      <c r="AA32">
        <f>HYPERLINK("https://klasma.github.io/Logging_0821/klagomål/A 62431-2023 FSC-klagomål.docx", "A 62431-2023")</f>
        <v/>
      </c>
      <c r="AB32">
        <f>HYPERLINK("https://klasma.github.io/Logging_0821/klagomålsmail/A 62431-2023 FSC-klagomål mail.docx", "A 62431-2023")</f>
        <v/>
      </c>
      <c r="AC32">
        <f>HYPERLINK("https://klasma.github.io/Logging_0821/tillsyn/A 62431-2023 tillsynsbegäran.docx", "A 62431-2023")</f>
        <v/>
      </c>
      <c r="AD32">
        <f>HYPERLINK("https://klasma.github.io/Logging_0821/tillsynsmail/A 62431-2023 tillsynsbegäran mail.docx", "A 62431-2023")</f>
        <v/>
      </c>
      <c r="AE32">
        <f>HYPERLINK("https://klasma.github.io/Logging_0821/fåglar/A 62431-2023 prioriterade fågelarter.docx", "A 62431-2023")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46314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46314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62394-2023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45268</v>
      </c>
      <c r="E35" s="1" t="n">
        <v>46314</v>
      </c>
      <c r="F35" t="inlineStr">
        <is>
          <t>KALMAR LÄN</t>
        </is>
      </c>
      <c r="G35" t="inlineStr">
        <is>
          <t>HÖGSBY</t>
        </is>
      </c>
      <c r="I35" t="n">
        <v>4.1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Kattfotslav
Flagellkvastmossa</t>
        </is>
      </c>
      <c r="W35">
        <f>HYPERLINK("https://klasma.github.io/Logging_0821/artfynd/A 62394-2023 artfynd.xlsx", "A 62394-2023")</f>
        <v/>
      </c>
      <c r="X35">
        <f>HYPERLINK("https://klasma.github.io/Logging_0821/kartor/A 62394-2023 karta.png", "A 62394-2023")</f>
        <v/>
      </c>
      <c r="Y35">
        <f>HYPERLINK("https://klasma.github.io/Logging_0821/kartor_geotiff/A 62394-2023 georefererad karta.tif", "A 62394-2023")</f>
        <v/>
      </c>
      <c r="AA35">
        <f>HYPERLINK("https://klasma.github.io/Logging_0821/klagomål/A 62394-2023 FSC-klagomål.docx", "A 62394-2023")</f>
        <v/>
      </c>
      <c r="AB35">
        <f>HYPERLINK("https://klasma.github.io/Logging_0821/klagomålsmail/A 62394-2023 FSC-klagomål mail.docx", "A 62394-2023")</f>
        <v/>
      </c>
      <c r="AC35">
        <f>HYPERLINK("https://klasma.github.io/Logging_0821/tillsyn/A 62394-2023 tillsynsbegäran.docx", "A 62394-2023")</f>
        <v/>
      </c>
      <c r="AD35">
        <f>HYPERLINK("https://klasma.github.io/Logging_0821/tillsynsmail/A 62394-2023 tillsynsbegäran mail.docx", "A 62394-2023")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46314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46314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46314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46314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46314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46314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38596-2024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45546</v>
      </c>
      <c r="E42" s="1" t="n">
        <v>46314</v>
      </c>
      <c r="F42" t="inlineStr">
        <is>
          <t>KALMAR LÄN</t>
        </is>
      </c>
      <c r="G42" t="inlineStr">
        <is>
          <t>HÖGSBY</t>
        </is>
      </c>
      <c r="H42" t="inlineStr">
        <is>
          <t>Sveaskog</t>
        </is>
      </c>
      <c r="I42" t="n">
        <v>3.9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Brandticka</t>
        </is>
      </c>
      <c r="W42">
        <f>HYPERLINK("https://klasma.github.io/Logging_0821/artfynd/A 38596-2024 artfynd.xlsx", "A 38596-2024")</f>
        <v/>
      </c>
      <c r="X42">
        <f>HYPERLINK("https://klasma.github.io/Logging_0821/kartor/A 38596-2024 karta.png", "A 38596-2024")</f>
        <v/>
      </c>
      <c r="Y42">
        <f>HYPERLINK("https://klasma.github.io/Logging_0821/kartor_geotiff/A 38596-2024 georefererad karta.tif", "A 38596-2024")</f>
        <v/>
      </c>
      <c r="AA42">
        <f>HYPERLINK("https://klasma.github.io/Logging_0821/klagomål/A 38596-2024 FSC-klagomål.docx", "A 38596-2024")</f>
        <v/>
      </c>
      <c r="AB42">
        <f>HYPERLINK("https://klasma.github.io/Logging_0821/klagomålsmail/A 38596-2024 FSC-klagomål mail.docx", "A 38596-2024")</f>
        <v/>
      </c>
      <c r="AC42">
        <f>HYPERLINK("https://klasma.github.io/Logging_0821/tillsyn/A 38596-2024 tillsynsbegäran.docx", "A 38596-2024")</f>
        <v/>
      </c>
      <c r="AD42">
        <f>HYPERLINK("https://klasma.github.io/Logging_0821/tillsynsmail/A 38596-2024 tillsynsbegäran mail.docx", "A 38596-2024")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46314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35075-2023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46314</v>
      </c>
      <c r="F44" t="inlineStr">
        <is>
          <t>KALMAR LÄN</t>
        </is>
      </c>
      <c r="G44" t="inlineStr">
        <is>
          <t>HÖGSBY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HYPERLINK("https://klasma.github.io/Logging_0821/artfynd/A 35075-2023 artfynd.xlsx", "A 35075-2023")</f>
        <v/>
      </c>
      <c r="X44">
        <f>HYPERLINK("https://klasma.github.io/Logging_0821/kartor/A 35075-2023 karta.png", "A 35075-2023")</f>
        <v/>
      </c>
      <c r="Y44">
        <f>HYPERLINK("https://klasma.github.io/Logging_0821/kartor_geotiff/A 35075-2023 georefererad karta.tif", "A 35075-2023")</f>
        <v/>
      </c>
      <c r="AA44">
        <f>HYPERLINK("https://klasma.github.io/Logging_0821/klagomål/A 35075-2023 FSC-klagomål.docx", "A 35075-2023")</f>
        <v/>
      </c>
      <c r="AB44">
        <f>HYPERLINK("https://klasma.github.io/Logging_0821/klagomålsmail/A 35075-2023 FSC-klagomål mail.docx", "A 35075-2023")</f>
        <v/>
      </c>
      <c r="AC44">
        <f>HYPERLINK("https://klasma.github.io/Logging_0821/tillsyn/A 35075-2023 tillsynsbegäran.docx", "A 35075-2023")</f>
        <v/>
      </c>
      <c r="AD44">
        <f>HYPERLINK("https://klasma.github.io/Logging_0821/tillsynsmail/A 35075-2023 tillsynsbegäran mail.docx", "A 35075-2023")</f>
        <v/>
      </c>
    </row>
    <row r="45" ht="15" customHeight="1">
      <c r="A45" t="inlineStr">
        <is>
          <t>A 22757-2026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46157</v>
      </c>
      <c r="E45" s="1" t="n">
        <v>46314</v>
      </c>
      <c r="F45" t="inlineStr">
        <is>
          <t>KALMAR LÄN</t>
        </is>
      </c>
      <c r="G45" t="inlineStr">
        <is>
          <t>HÖGSBY</t>
        </is>
      </c>
      <c r="I45" t="n">
        <v>1.1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Blåsippa</t>
        </is>
      </c>
      <c r="W45">
        <f>HYPERLINK("https://klasma.github.io/Logging_0821/artfynd/A 22757-2026 artfynd.xlsx", "A 22757-2026")</f>
        <v/>
      </c>
      <c r="X45">
        <f>HYPERLINK("https://klasma.github.io/Logging_0821/kartor/A 22757-2026 karta.png", "A 22757-2026")</f>
        <v/>
      </c>
      <c r="Y45">
        <f>HYPERLINK("https://klasma.github.io/Logging_0821/kartor_geotiff/A 22757-2026 georefererad karta.tif", "A 22757-2026")</f>
        <v/>
      </c>
      <c r="AA45">
        <f>HYPERLINK("https://klasma.github.io/Logging_0821/klagomål/A 22757-2026 FSC-klagomål.docx", "A 22757-2026")</f>
        <v/>
      </c>
      <c r="AB45">
        <f>HYPERLINK("https://klasma.github.io/Logging_0821/klagomålsmail/A 22757-2026 FSC-klagomål mail.docx", "A 22757-2026")</f>
        <v/>
      </c>
      <c r="AC45">
        <f>HYPERLINK("https://klasma.github.io/Logging_0821/tillsyn/A 22757-2026 tillsynsbegäran.docx", "A 22757-2026")</f>
        <v/>
      </c>
      <c r="AD45">
        <f>HYPERLINK("https://klasma.github.io/Logging_0821/tillsynsmail/A 22757-2026 tillsynsbegäran mail.docx", "A 22757-2026")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46314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26145-2026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46314</v>
      </c>
      <c r="F47" t="inlineStr">
        <is>
          <t>KALMAR LÄN</t>
        </is>
      </c>
      <c r="G47" t="inlineStr">
        <is>
          <t>HÖGSBY</t>
        </is>
      </c>
      <c r="I47" t="n">
        <v>1.6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3</v>
      </c>
      <c r="U47" t="n">
        <v>0</v>
      </c>
      <c r="V47" s="2" t="inlineStr">
        <is>
          <t>Gullviva</t>
        </is>
      </c>
      <c r="W47">
        <f>HYPERLINK("https://klasma.github.io/Logging_0821/artfynd/A 26145-2026 artfynd.xlsx", "A 26145-2026")</f>
        <v/>
      </c>
      <c r="X47">
        <f>HYPERLINK("https://klasma.github.io/Logging_0821/kartor/A 26145-2026 karta.png", "A 26145-2026")</f>
        <v/>
      </c>
      <c r="Y47">
        <f>HYPERLINK("https://klasma.github.io/Logging_0821/kartor_geotiff/A 26145-2026 georefererad karta.tif", "A 26145-2026")</f>
        <v/>
      </c>
      <c r="AA47">
        <f>HYPERLINK("https://klasma.github.io/Logging_0821/klagomål/A 26145-2026 FSC-klagomål.docx", "A 26145-2026")</f>
        <v/>
      </c>
      <c r="AB47">
        <f>HYPERLINK("https://klasma.github.io/Logging_0821/klagomålsmail/A 26145-2026 FSC-klagomål mail.docx", "A 26145-2026")</f>
        <v/>
      </c>
      <c r="AC47">
        <f>HYPERLINK("https://klasma.github.io/Logging_0821/tillsyn/A 26145-2026 tillsynsbegäran.docx", "A 26145-2026")</f>
        <v/>
      </c>
      <c r="AD47">
        <f>HYPERLINK("https://klasma.github.io/Logging_0821/tillsynsmail/A 26145-2026 tillsynsbegäran mail.docx", "A 26145-2026")</f>
        <v/>
      </c>
    </row>
    <row r="48" ht="15" customHeight="1">
      <c r="A48" t="inlineStr">
        <is>
          <t>A 27366-2026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46314</v>
      </c>
      <c r="F48" t="inlineStr">
        <is>
          <t>KALMAR LÄN</t>
        </is>
      </c>
      <c r="G48" t="inlineStr">
        <is>
          <t>HÖGSBY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27366-2026 artfynd.xlsx", "A 27366-2026")</f>
        <v/>
      </c>
      <c r="X48">
        <f>HYPERLINK("https://klasma.github.io/Logging_0821/kartor/A 27366-2026 karta.png", "A 27366-2026")</f>
        <v/>
      </c>
      <c r="Y48">
        <f>HYPERLINK("https://klasma.github.io/Logging_0821/kartor_geotiff/A 27366-2026 georefererad karta.tif", "A 27366-2026")</f>
        <v/>
      </c>
      <c r="AA48">
        <f>HYPERLINK("https://klasma.github.io/Logging_0821/klagomål/A 27366-2026 FSC-klagomål.docx", "A 27366-2026")</f>
        <v/>
      </c>
      <c r="AB48">
        <f>HYPERLINK("https://klasma.github.io/Logging_0821/klagomålsmail/A 27366-2026 FSC-klagomål mail.docx", "A 27366-2026")</f>
        <v/>
      </c>
      <c r="AC48">
        <f>HYPERLINK("https://klasma.github.io/Logging_0821/tillsyn/A 27366-2026 tillsynsbegäran.docx", "A 27366-2026")</f>
        <v/>
      </c>
      <c r="AD48">
        <f>HYPERLINK("https://klasma.github.io/Logging_0821/tillsynsmail/A 27366-2026 tillsynsbegäran mail.docx", "A 27366-2026")</f>
        <v/>
      </c>
    </row>
    <row r="49" ht="15" customHeight="1">
      <c r="A49" t="inlineStr">
        <is>
          <t>A 24911-2023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46314</v>
      </c>
      <c r="F49" t="inlineStr">
        <is>
          <t>KALMAR LÄN</t>
        </is>
      </c>
      <c r="G49" t="inlineStr">
        <is>
          <t>HÖGSBY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Sotlav</t>
        </is>
      </c>
      <c r="W49">
        <f>HYPERLINK("https://klasma.github.io/Logging_0821/artfynd/A 24911-2023 artfynd.xlsx", "A 24911-2023")</f>
        <v/>
      </c>
      <c r="X49">
        <f>HYPERLINK("https://klasma.github.io/Logging_0821/kartor/A 24911-2023 karta.png", "A 24911-2023")</f>
        <v/>
      </c>
      <c r="Y49">
        <f>HYPERLINK("https://klasma.github.io/Logging_0821/kartor_geotiff/A 24911-2023 georefererad karta.tif", "A 24911-2023")</f>
        <v/>
      </c>
      <c r="AA49">
        <f>HYPERLINK("https://klasma.github.io/Logging_0821/klagomål/A 24911-2023 FSC-klagomål.docx", "A 24911-2023")</f>
        <v/>
      </c>
      <c r="AB49">
        <f>HYPERLINK("https://klasma.github.io/Logging_0821/klagomålsmail/A 24911-2023 FSC-klagomål mail.docx", "A 24911-2023")</f>
        <v/>
      </c>
      <c r="AC49">
        <f>HYPERLINK("https://klasma.github.io/Logging_0821/tillsyn/A 24911-2023 tillsynsbegäran.docx", "A 24911-2023")</f>
        <v/>
      </c>
      <c r="AD49">
        <f>HYPERLINK("https://klasma.github.io/Logging_0821/tillsynsmail/A 24911-2023 tillsynsbegäran mail.docx", "A 24911-2023")</f>
        <v/>
      </c>
    </row>
    <row r="50" ht="15" customHeight="1">
      <c r="A50" t="inlineStr">
        <is>
          <t>A 28894-2026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46199</v>
      </c>
      <c r="E50" s="1" t="n">
        <v>46314</v>
      </c>
      <c r="F50" t="inlineStr">
        <is>
          <t>KALMAR LÄN</t>
        </is>
      </c>
      <c r="G50" t="inlineStr">
        <is>
          <t>HÖGSBY</t>
        </is>
      </c>
      <c r="I50" t="n">
        <v>6.3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HYPERLINK("https://klasma.github.io/Logging_0821/artfynd/A 28894-2026 artfynd.xlsx", "A 28894-2026")</f>
        <v/>
      </c>
      <c r="X50">
        <f>HYPERLINK("https://klasma.github.io/Logging_0821/kartor/A 28894-2026 karta.png", "A 28894-2026")</f>
        <v/>
      </c>
      <c r="Y50">
        <f>HYPERLINK("https://klasma.github.io/Logging_0821/kartor_geotiff/A 28894-2026 georefererad karta.tif", "A 28894-2026")</f>
        <v/>
      </c>
      <c r="AA50">
        <f>HYPERLINK("https://klasma.github.io/Logging_0821/klagomål/A 28894-2026 FSC-klagomål.docx", "A 28894-2026")</f>
        <v/>
      </c>
      <c r="AB50">
        <f>HYPERLINK("https://klasma.github.io/Logging_0821/klagomålsmail/A 28894-2026 FSC-klagomål mail.docx", "A 28894-2026")</f>
        <v/>
      </c>
      <c r="AC50">
        <f>HYPERLINK("https://klasma.github.io/Logging_0821/tillsyn/A 28894-2026 tillsynsbegäran.docx", "A 28894-2026")</f>
        <v/>
      </c>
      <c r="AD50">
        <f>HYPERLINK("https://klasma.github.io/Logging_0821/tillsynsmail/A 28894-2026 tillsynsbegäran mail.docx", "A 28894-2026")</f>
        <v/>
      </c>
      <c r="AE50">
        <f>HYPERLINK("https://klasma.github.io/Logging_0821/fåglar/A 28894-2026 prioriterade fågelarter.docx", "A 28894-2026")</f>
        <v/>
      </c>
    </row>
    <row r="51" ht="15" customHeight="1">
      <c r="A51" t="inlineStr">
        <is>
          <t>A 59700-2023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45256</v>
      </c>
      <c r="E51" s="1" t="n">
        <v>46314</v>
      </c>
      <c r="F51" t="inlineStr">
        <is>
          <t>KALMAR LÄN</t>
        </is>
      </c>
      <c r="G51" t="inlineStr">
        <is>
          <t>HÖGSBY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59700-2023 artfynd.xlsx", "A 59700-2023")</f>
        <v/>
      </c>
      <c r="X51">
        <f>HYPERLINK("https://klasma.github.io/Logging_0821/kartor/A 59700-2023 karta.png", "A 59700-2023")</f>
        <v/>
      </c>
      <c r="Y51">
        <f>HYPERLINK("https://klasma.github.io/Logging_0821/kartor_geotiff/A 59700-2023 georefererad karta.tif", "A 59700-2023")</f>
        <v/>
      </c>
      <c r="AA51">
        <f>HYPERLINK("https://klasma.github.io/Logging_0821/klagomål/A 59700-2023 FSC-klagomål.docx", "A 59700-2023")</f>
        <v/>
      </c>
      <c r="AB51">
        <f>HYPERLINK("https://klasma.github.io/Logging_0821/klagomålsmail/A 59700-2023 FSC-klagomål mail.docx", "A 59700-2023")</f>
        <v/>
      </c>
      <c r="AC51">
        <f>HYPERLINK("https://klasma.github.io/Logging_0821/tillsyn/A 59700-2023 tillsynsbegäran.docx", "A 59700-2023")</f>
        <v/>
      </c>
      <c r="AD51">
        <f>HYPERLINK("https://klasma.github.io/Logging_0821/tillsynsmail/A 59700-2023 tillsynsbegäran mail.docx", "A 59700-2023")</f>
        <v/>
      </c>
      <c r="AE51">
        <f>HYPERLINK("https://klasma.github.io/Logging_0821/fåglar/A 59700-2023 prioriterade fågelarter.docx", "A 59700-2023")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46314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35072-2023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45145</v>
      </c>
      <c r="E53" s="1" t="n">
        <v>46314</v>
      </c>
      <c r="F53" t="inlineStr">
        <is>
          <t>KALMAR LÄN</t>
        </is>
      </c>
      <c r="G53" t="inlineStr">
        <is>
          <t>HÖGSBY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HYPERLINK("https://klasma.github.io/Logging_0821/artfynd/A 35072-2023 artfynd.xlsx", "A 35072-2023")</f>
        <v/>
      </c>
      <c r="X53">
        <f>HYPERLINK("https://klasma.github.io/Logging_0821/kartor/A 35072-2023 karta.png", "A 35072-2023")</f>
        <v/>
      </c>
      <c r="Y53">
        <f>HYPERLINK("https://klasma.github.io/Logging_0821/kartor_geotiff/A 35072-2023 georefererad karta.tif", "A 35072-2023")</f>
        <v/>
      </c>
      <c r="AA53">
        <f>HYPERLINK("https://klasma.github.io/Logging_0821/klagomål/A 35072-2023 FSC-klagomål.docx", "A 35072-2023")</f>
        <v/>
      </c>
      <c r="AB53">
        <f>HYPERLINK("https://klasma.github.io/Logging_0821/klagomålsmail/A 35072-2023 FSC-klagomål mail.docx", "A 35072-2023")</f>
        <v/>
      </c>
      <c r="AC53">
        <f>HYPERLINK("https://klasma.github.io/Logging_0821/tillsyn/A 35072-2023 tillsynsbegäran.docx", "A 35072-2023")</f>
        <v/>
      </c>
      <c r="AD53">
        <f>HYPERLINK("https://klasma.github.io/Logging_0821/tillsynsmail/A 35072-2023 tillsynsbegäran mail.docx", "A 35072-2023")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46314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38802-2024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45547</v>
      </c>
      <c r="E55" s="1" t="n">
        <v>46314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3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Brandticka</t>
        </is>
      </c>
      <c r="W55">
        <f>HYPERLINK("https://klasma.github.io/Logging_0821/artfynd/A 38802-2024 artfynd.xlsx", "A 38802-2024")</f>
        <v/>
      </c>
      <c r="X55">
        <f>HYPERLINK("https://klasma.github.io/Logging_0821/kartor/A 38802-2024 karta.png", "A 38802-2024")</f>
        <v/>
      </c>
      <c r="Y55">
        <f>HYPERLINK("https://klasma.github.io/Logging_0821/kartor_geotiff/A 38802-2024 georefererad karta.tif", "A 38802-2024")</f>
        <v/>
      </c>
      <c r="AA55">
        <f>HYPERLINK("https://klasma.github.io/Logging_0821/klagomål/A 38802-2024 FSC-klagomål.docx", "A 38802-2024")</f>
        <v/>
      </c>
      <c r="AB55">
        <f>HYPERLINK("https://klasma.github.io/Logging_0821/klagomålsmail/A 38802-2024 FSC-klagomål mail.docx", "A 38802-2024")</f>
        <v/>
      </c>
      <c r="AC55">
        <f>HYPERLINK("https://klasma.github.io/Logging_0821/tillsyn/A 38802-2024 tillsynsbegäran.docx", "A 38802-2024")</f>
        <v/>
      </c>
      <c r="AD55">
        <f>HYPERLINK("https://klasma.github.io/Logging_0821/tillsynsmail/A 38802-2024 tillsynsbegäran mail.docx", "A 38802-2024")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46314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30800-2026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46212</v>
      </c>
      <c r="E57" s="1" t="n">
        <v>46314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3.8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HYPERLINK("https://klasma.github.io/Logging_0821/artfynd/A 30800-2026 artfynd.xlsx", "A 30800-2026")</f>
        <v/>
      </c>
      <c r="X57">
        <f>HYPERLINK("https://klasma.github.io/Logging_0821/kartor/A 30800-2026 karta.png", "A 30800-2026")</f>
        <v/>
      </c>
      <c r="Y57">
        <f>HYPERLINK("https://klasma.github.io/Logging_0821/kartor_geotiff/A 30800-2026 georefererad karta.tif", "A 30800-2026")</f>
        <v/>
      </c>
      <c r="AA57">
        <f>HYPERLINK("https://klasma.github.io/Logging_0821/klagomål/A 30800-2026 FSC-klagomål.docx", "A 30800-2026")</f>
        <v/>
      </c>
      <c r="AB57">
        <f>HYPERLINK("https://klasma.github.io/Logging_0821/klagomålsmail/A 30800-2026 FSC-klagomål mail.docx", "A 30800-2026")</f>
        <v/>
      </c>
      <c r="AC57">
        <f>HYPERLINK("https://klasma.github.io/Logging_0821/tillsyn/A 30800-2026 tillsynsbegäran.docx", "A 30800-2026")</f>
        <v/>
      </c>
      <c r="AD57">
        <f>HYPERLINK("https://klasma.github.io/Logging_0821/tillsynsmail/A 30800-2026 tillsynsbegäran mail.docx", "A 30800-2026")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46314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52177-2022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46314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Nordfladdermus</t>
        </is>
      </c>
      <c r="W59">
        <f>HYPERLINK("https://klasma.github.io/Logging_0821/artfynd/A 52177-2022 artfynd.xlsx", "A 52177-2022")</f>
        <v/>
      </c>
      <c r="X59">
        <f>HYPERLINK("https://klasma.github.io/Logging_0821/kartor/A 52177-2022 karta.png", "A 52177-2022")</f>
        <v/>
      </c>
      <c r="Y59">
        <f>HYPERLINK("https://klasma.github.io/Logging_0821/kartor_geotiff/A 52177-2022 georefererad karta.tif", "A 52177-2022")</f>
        <v/>
      </c>
      <c r="AA59">
        <f>HYPERLINK("https://klasma.github.io/Logging_0821/klagomål/A 52177-2022 FSC-klagomål.docx", "A 52177-2022")</f>
        <v/>
      </c>
      <c r="AB59">
        <f>HYPERLINK("https://klasma.github.io/Logging_0821/klagomålsmail/A 52177-2022 FSC-klagomål mail.docx", "A 52177-2022")</f>
        <v/>
      </c>
      <c r="AC59">
        <f>HYPERLINK("https://klasma.github.io/Logging_0821/tillsyn/A 52177-2022 tillsynsbegäran.docx", "A 52177-2022")</f>
        <v/>
      </c>
      <c r="AD59">
        <f>HYPERLINK("https://klasma.github.io/Logging_0821/tillsynsmail/A 52177-2022 tillsynsbegäran mail.docx", "A 52177-2022")</f>
        <v/>
      </c>
    </row>
    <row r="60" ht="15" customHeight="1">
      <c r="A60" t="inlineStr">
        <is>
          <t>A 39491-2026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46289</v>
      </c>
      <c r="E60" s="1" t="n">
        <v>46314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Tallticka</t>
        </is>
      </c>
      <c r="W60">
        <f>HYPERLINK("https://klasma.github.io/Logging_0821/artfynd/A 39491-2026 artfynd.xlsx", "A 39491-2026")</f>
        <v/>
      </c>
      <c r="X60">
        <f>HYPERLINK("https://klasma.github.io/Logging_0821/kartor/A 39491-2026 karta.png", "A 39491-2026")</f>
        <v/>
      </c>
      <c r="Y60">
        <f>HYPERLINK("https://klasma.github.io/Logging_0821/kartor_geotiff/A 39491-2026 georefererad karta.tif", "A 39491-2026")</f>
        <v/>
      </c>
      <c r="AA60">
        <f>HYPERLINK("https://klasma.github.io/Logging_0821/klagomål/A 39491-2026 FSC-klagomål.docx", "A 39491-2026")</f>
        <v/>
      </c>
      <c r="AB60">
        <f>HYPERLINK("https://klasma.github.io/Logging_0821/klagomålsmail/A 39491-2026 FSC-klagomål mail.docx", "A 39491-2026")</f>
        <v/>
      </c>
      <c r="AC60">
        <f>HYPERLINK("https://klasma.github.io/Logging_0821/tillsyn/A 39491-2026 tillsynsbegäran.docx", "A 39491-2026")</f>
        <v/>
      </c>
      <c r="AD60">
        <f>HYPERLINK("https://klasma.github.io/Logging_0821/tillsynsmail/A 39491-2026 tillsynsbegäran mail.docx", "A 39491-2026")</f>
        <v/>
      </c>
    </row>
    <row r="61" ht="15" customHeight="1">
      <c r="A61" t="inlineStr">
        <is>
          <t>A 59407-2022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44907</v>
      </c>
      <c r="E61" s="1" t="n">
        <v>46314</v>
      </c>
      <c r="F61" t="inlineStr">
        <is>
          <t>KALMAR LÄN</t>
        </is>
      </c>
      <c r="G61" t="inlineStr">
        <is>
          <t>HÖGSBY</t>
        </is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Blåsippa</t>
        </is>
      </c>
      <c r="W61">
        <f>HYPERLINK("https://klasma.github.io/Logging_0821/artfynd/A 59407-2022 artfynd.xlsx", "A 59407-2022")</f>
        <v/>
      </c>
      <c r="X61">
        <f>HYPERLINK("https://klasma.github.io/Logging_0821/kartor/A 59407-2022 karta.png", "A 59407-2022")</f>
        <v/>
      </c>
      <c r="Y61">
        <f>HYPERLINK("https://klasma.github.io/Logging_0821/kartor_geotiff/A 59407-2022 georefererad karta.tif", "A 59407-2022")</f>
        <v/>
      </c>
      <c r="AA61">
        <f>HYPERLINK("https://klasma.github.io/Logging_0821/klagomål/A 59407-2022 FSC-klagomål.docx", "A 59407-2022")</f>
        <v/>
      </c>
      <c r="AB61">
        <f>HYPERLINK("https://klasma.github.io/Logging_0821/klagomålsmail/A 59407-2022 FSC-klagomål mail.docx", "A 59407-2022")</f>
        <v/>
      </c>
      <c r="AC61">
        <f>HYPERLINK("https://klasma.github.io/Logging_0821/tillsyn/A 59407-2022 tillsynsbegäran.docx", "A 59407-2022")</f>
        <v/>
      </c>
      <c r="AD61">
        <f>HYPERLINK("https://klasma.github.io/Logging_0821/tillsynsmail/A 59407-2022 tillsynsbegäran mail.docx", "A 59407-2022")</f>
        <v/>
      </c>
    </row>
    <row r="62" ht="15" customHeight="1">
      <c r="A62" t="inlineStr">
        <is>
          <t>A 33784-2026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46251</v>
      </c>
      <c r="E62" s="1" t="n">
        <v>46314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8.699999999999999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HYPERLINK("https://klasma.github.io/Logging_0821/artfynd/A 33784-2026 artfynd.xlsx", "A 33784-2026")</f>
        <v/>
      </c>
      <c r="X62">
        <f>HYPERLINK("https://klasma.github.io/Logging_0821/kartor/A 33784-2026 karta.png", "A 33784-2026")</f>
        <v/>
      </c>
      <c r="Y62">
        <f>HYPERLINK("https://klasma.github.io/Logging_0821/kartor_geotiff/A 33784-2026 georefererad karta.tif", "A 33784-2026")</f>
        <v/>
      </c>
      <c r="AA62">
        <f>HYPERLINK("https://klasma.github.io/Logging_0821/klagomål/A 33784-2026 FSC-klagomål.docx", "A 33784-2026")</f>
        <v/>
      </c>
      <c r="AB62">
        <f>HYPERLINK("https://klasma.github.io/Logging_0821/klagomålsmail/A 33784-2026 FSC-klagomål mail.docx", "A 33784-2026")</f>
        <v/>
      </c>
      <c r="AC62">
        <f>HYPERLINK("https://klasma.github.io/Logging_0821/tillsyn/A 33784-2026 tillsynsbegäran.docx", "A 33784-2026")</f>
        <v/>
      </c>
      <c r="AD62">
        <f>HYPERLINK("https://klasma.github.io/Logging_0821/tillsynsmail/A 33784-2026 tillsynsbegäran mail.docx", "A 33784-2026")</f>
        <v/>
      </c>
      <c r="AE62">
        <f>HYPERLINK("https://klasma.github.io/Logging_0821/fåglar/A 33784-2026 prioriterade fågelarter.docx", "A 33784-2026")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46314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352-2023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46314</v>
      </c>
      <c r="F64" t="inlineStr">
        <is>
          <t>KALMAR LÄN</t>
        </is>
      </c>
      <c r="G64" t="inlineStr">
        <is>
          <t>HÖGSBY</t>
        </is>
      </c>
      <c r="I64" t="n">
        <v>20.9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Tjäder</t>
        </is>
      </c>
      <c r="W64">
        <f>HYPERLINK("https://klasma.github.io/Logging_0821/artfynd/S 352-2023 artfynd.xlsx", "S 352-2023")</f>
        <v/>
      </c>
      <c r="X64">
        <f>HYPERLINK("https://klasma.github.io/Logging_0821/kartor/S 352-2023 karta.png", "S 352-2023")</f>
        <v/>
      </c>
      <c r="Y64">
        <f>HYPERLINK("https://klasma.github.io/Logging_0821/kartor_geotiff/S 352-2023 georefererad karta.tif", "S 352-2023")</f>
        <v/>
      </c>
      <c r="Z64">
        <f>HYPERLINK("https://klasma.github.io/Logging_0821/knärot/S 352-2023 karta knärot.png", "S 352-2023")</f>
        <v/>
      </c>
      <c r="AA64">
        <f>HYPERLINK("https://klasma.github.io/Logging_0821/klagomål/S 352-2023 FSC-klagomål.docx", "S 352-2023")</f>
        <v/>
      </c>
      <c r="AB64">
        <f>HYPERLINK("https://klasma.github.io/Logging_0821/klagomålsmail/S 352-2023 FSC-klagomål mail.docx", "S 352-2023")</f>
        <v/>
      </c>
      <c r="AC64">
        <f>HYPERLINK("https://klasma.github.io/Logging_0821/tillsyn/S 352-2023 tillsynsbegäran.docx", "S 352-2023")</f>
        <v/>
      </c>
      <c r="AD64">
        <f>HYPERLINK("https://klasma.github.io/Logging_0821/tillsynsmail/S 352-2023 tillsynsbegäran mail.docx", "S 352-2023")</f>
        <v/>
      </c>
      <c r="AE64">
        <f>HYPERLINK("https://klasma.github.io/Logging_0821/fåglar/S 352-2023 prioriterade fågelarter.docx", "S 352-2023")</f>
        <v/>
      </c>
    </row>
    <row r="65" ht="15" customHeight="1">
      <c r="A65" t="inlineStr">
        <is>
          <t>S 1694-2022</t>
        </is>
      </c>
      <c r="B65" t="inlineStr">
        <is>
          <t>samrådsanmälan</t>
        </is>
      </c>
      <c r="C65" t="inlineStr">
        <is>
          <t>Åtgärd i nyckelbiotop</t>
        </is>
      </c>
      <c r="D65" s="1" t="n">
        <v>44650</v>
      </c>
      <c r="E65" s="1" t="n">
        <v>46314</v>
      </c>
      <c r="F65" t="inlineStr">
        <is>
          <t>KALMAR LÄN</t>
        </is>
      </c>
      <c r="G65" t="inlineStr">
        <is>
          <t>HÖGSBY</t>
        </is>
      </c>
      <c r="I65" t="n">
        <v>2.2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Mistel</t>
        </is>
      </c>
      <c r="W65">
        <f>HYPERLINK("https://klasma.github.io/Logging_0821/artfynd/S 1694-2022 artfynd.xlsx", "S 1694-2022")</f>
        <v/>
      </c>
      <c r="X65">
        <f>HYPERLINK("https://klasma.github.io/Logging_0821/kartor/S 1694-2022 karta.png", "S 1694-2022")</f>
        <v/>
      </c>
      <c r="Y65">
        <f>HYPERLINK("https://klasma.github.io/Logging_0821/kartor_geotiff/S 1694-2022 georefererad karta.tif", "S 1694-2022")</f>
        <v/>
      </c>
      <c r="AA65">
        <f>HYPERLINK("https://klasma.github.io/Logging_0821/klagomål/S 1694-2022 FSC-klagomål.docx", "S 1694-2022")</f>
        <v/>
      </c>
      <c r="AB65">
        <f>HYPERLINK("https://klasma.github.io/Logging_0821/klagomålsmail/S 1694-2022 FSC-klagomål mail.docx", "S 1694-2022")</f>
        <v/>
      </c>
      <c r="AC65">
        <f>HYPERLINK("https://klasma.github.io/Logging_0821/tillsyn/S 1694-2022 tillsynsbegäran.docx", "S 1694-2022")</f>
        <v/>
      </c>
      <c r="AD65">
        <f>HYPERLINK("https://klasma.github.io/Logging_0821/tillsynsmail/S 1694-2022 tillsynsbegäran mail.docx", "S 1694-2022")</f>
        <v/>
      </c>
    </row>
    <row r="66" ht="15" customHeight="1">
      <c r="A66" t="inlineStr">
        <is>
          <t>S 771-2022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44602</v>
      </c>
      <c r="E66" s="1" t="n">
        <v>46314</v>
      </c>
      <c r="F66" t="inlineStr">
        <is>
          <t>KALMAR LÄN</t>
        </is>
      </c>
      <c r="G66" t="inlineStr">
        <is>
          <t>HÖGSBY</t>
        </is>
      </c>
      <c r="I66" t="n">
        <v>129.1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Ögonpyrola</t>
        </is>
      </c>
      <c r="W66">
        <f>HYPERLINK("https://klasma.github.io/Logging_0821/artfynd/S 771-2022 artfynd.xlsx", "S 771-2022")</f>
        <v/>
      </c>
      <c r="X66">
        <f>HYPERLINK("https://klasma.github.io/Logging_0821/kartor/S 771-2022 karta.png", "S 771-2022")</f>
        <v/>
      </c>
      <c r="Y66">
        <f>HYPERLINK("https://klasma.github.io/Logging_0821/kartor_geotiff/S 771-2022 georefererad karta.tif", "S 771-2022")</f>
        <v/>
      </c>
      <c r="AA66">
        <f>HYPERLINK("https://klasma.github.io/Logging_0821/klagomål/S 771-2022 FSC-klagomål.docx", "S 771-2022")</f>
        <v/>
      </c>
      <c r="AB66">
        <f>HYPERLINK("https://klasma.github.io/Logging_0821/klagomålsmail/S 771-2022 FSC-klagomål mail.docx", "S 771-2022")</f>
        <v/>
      </c>
      <c r="AC66">
        <f>HYPERLINK("https://klasma.github.io/Logging_0821/tillsyn/S 771-2022 tillsynsbegäran.docx", "S 771-2022")</f>
        <v/>
      </c>
      <c r="AD66">
        <f>HYPERLINK("https://klasma.github.io/Logging_0821/tillsynsmail/S 771-2022 tillsynsbegäran mail.docx", "S 771-2022")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46314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46314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46314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46314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46314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46314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46314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46314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46314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46314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46314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46314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46314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74471-2021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46314</v>
      </c>
      <c r="F80" t="inlineStr">
        <is>
          <t>KALMAR LÄN</t>
        </is>
      </c>
      <c r="G80" t="inlineStr">
        <is>
          <t>HÖGSBY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44609</v>
      </c>
      <c r="E81" s="1" t="n">
        <v>46314</v>
      </c>
      <c r="F81" t="inlineStr">
        <is>
          <t>KALMAR LÄN</t>
        </is>
      </c>
      <c r="G81" t="inlineStr">
        <is>
          <t>HÖGSBY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46314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46314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46314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46314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46314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46314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46314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46314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46314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46314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46314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46314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46314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46314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46314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46314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53242-2022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44876</v>
      </c>
      <c r="E98" s="1" t="n">
        <v>46314</v>
      </c>
      <c r="F98" t="inlineStr">
        <is>
          <t>KALMAR LÄN</t>
        </is>
      </c>
      <c r="G98" t="inlineStr">
        <is>
          <t>HÖGSBY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46314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46314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45244</v>
      </c>
      <c r="E101" s="1" t="n">
        <v>46314</v>
      </c>
      <c r="F101" t="inlineStr">
        <is>
          <t>KALMAR LÄN</t>
        </is>
      </c>
      <c r="G101" t="inlineStr">
        <is>
          <t>HÖGSBY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44895</v>
      </c>
      <c r="E102" s="1" t="n">
        <v>46314</v>
      </c>
      <c r="F102" t="inlineStr">
        <is>
          <t>KALMAR LÄN</t>
        </is>
      </c>
      <c r="G102" t="inlineStr">
        <is>
          <t>HÖGSBY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45012</v>
      </c>
      <c r="E103" s="1" t="n">
        <v>46314</v>
      </c>
      <c r="F103" t="inlineStr">
        <is>
          <t>KALMAR LÄN</t>
        </is>
      </c>
      <c r="G103" t="inlineStr">
        <is>
          <t>HÖGSBY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74478-2021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46314</v>
      </c>
      <c r="F104" t="inlineStr">
        <is>
          <t>KALMAR LÄN</t>
        </is>
      </c>
      <c r="G104" t="inlineStr">
        <is>
          <t>HÖGSBY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30490-2023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45111</v>
      </c>
      <c r="E105" s="1" t="n">
        <v>46314</v>
      </c>
      <c r="F105" t="inlineStr">
        <is>
          <t>KALMAR LÄN</t>
        </is>
      </c>
      <c r="G105" t="inlineStr">
        <is>
          <t>HÖGSBY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38797-2024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45547</v>
      </c>
      <c r="E106" s="1" t="n">
        <v>46314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45266</v>
      </c>
      <c r="E107" s="1" t="n">
        <v>46314</v>
      </c>
      <c r="F107" t="inlineStr">
        <is>
          <t>KALMAR LÄN</t>
        </is>
      </c>
      <c r="G107" t="inlineStr">
        <is>
          <t>HÖGSBY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46314</v>
      </c>
      <c r="F108" t="inlineStr">
        <is>
          <t>KALMAR LÄN</t>
        </is>
      </c>
      <c r="G108" t="inlineStr">
        <is>
          <t>HÖGSBY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46314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45306</v>
      </c>
      <c r="E110" s="1" t="n">
        <v>46314</v>
      </c>
      <c r="F110" t="inlineStr">
        <is>
          <t>KALMAR LÄN</t>
        </is>
      </c>
      <c r="G110" t="inlineStr">
        <is>
          <t>HÖGSBY</t>
        </is>
      </c>
      <c r="H110" t="inlineStr">
        <is>
          <t>Övriga Aktiebolag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15034-2023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45015</v>
      </c>
      <c r="E111" s="1" t="n">
        <v>46314</v>
      </c>
      <c r="F111" t="inlineStr">
        <is>
          <t>KALMAR LÄN</t>
        </is>
      </c>
      <c r="G111" t="inlineStr">
        <is>
          <t>HÖGSBY</t>
        </is>
      </c>
      <c r="H111" t="inlineStr">
        <is>
          <t>Sveaskog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46314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59281-2022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46314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46314</v>
      </c>
      <c r="F114" t="inlineStr">
        <is>
          <t>KALMAR LÄN</t>
        </is>
      </c>
      <c r="G114" t="inlineStr">
        <is>
          <t>HÖGSBY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46314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46314</v>
      </c>
      <c r="F116" t="inlineStr">
        <is>
          <t>KALMAR LÄN</t>
        </is>
      </c>
      <c r="G116" t="inlineStr">
        <is>
          <t>HÖGSBY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44981</v>
      </c>
      <c r="E117" s="1" t="n">
        <v>46314</v>
      </c>
      <c r="F117" t="inlineStr">
        <is>
          <t>KALMAR LÄN</t>
        </is>
      </c>
      <c r="G117" t="inlineStr">
        <is>
          <t>HÖGSBY</t>
        </is>
      </c>
      <c r="H117" t="inlineStr">
        <is>
          <t>Övriga Aktiebolag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44950</v>
      </c>
      <c r="E118" s="1" t="n">
        <v>46314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44987</v>
      </c>
      <c r="E119" s="1" t="n">
        <v>46314</v>
      </c>
      <c r="F119" t="inlineStr">
        <is>
          <t>KALMAR LÄN</t>
        </is>
      </c>
      <c r="G119" t="inlineStr">
        <is>
          <t>HÖGSBY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57000-2024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45626</v>
      </c>
      <c r="E120" s="1" t="n">
        <v>46314</v>
      </c>
      <c r="F120" t="inlineStr">
        <is>
          <t>KALMAR LÄN</t>
        </is>
      </c>
      <c r="G120" t="inlineStr">
        <is>
          <t>HÖGSBY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49338-2022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44861</v>
      </c>
      <c r="E121" s="1" t="n">
        <v>46314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46314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40155-2023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45168</v>
      </c>
      <c r="E123" s="1" t="n">
        <v>46314</v>
      </c>
      <c r="F123" t="inlineStr">
        <is>
          <t>KALMAR LÄN</t>
        </is>
      </c>
      <c r="G123" t="inlineStr">
        <is>
          <t>HÖGSBY</t>
        </is>
      </c>
      <c r="H123" t="inlineStr">
        <is>
          <t>Kommuner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46314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44623</v>
      </c>
      <c r="E125" s="1" t="n">
        <v>46314</v>
      </c>
      <c r="F125" t="inlineStr">
        <is>
          <t>KALMAR LÄN</t>
        </is>
      </c>
      <c r="G125" t="inlineStr">
        <is>
          <t>HÖGSBY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44677</v>
      </c>
      <c r="E126" s="1" t="n">
        <v>46314</v>
      </c>
      <c r="F126" t="inlineStr">
        <is>
          <t>KALMAR LÄN</t>
        </is>
      </c>
      <c r="G126" t="inlineStr">
        <is>
          <t>HÖGSBY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55703-2023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45239</v>
      </c>
      <c r="E127" s="1" t="n">
        <v>46314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58753-2022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46314</v>
      </c>
      <c r="F128" t="inlineStr">
        <is>
          <t>KALMAR LÄN</t>
        </is>
      </c>
      <c r="G128" t="inlineStr">
        <is>
          <t>HÖGSBY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16014-2025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46314</v>
      </c>
      <c r="F129" t="inlineStr">
        <is>
          <t>KALMAR LÄN</t>
        </is>
      </c>
      <c r="G129" t="inlineStr">
        <is>
          <t>HÖGSBY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44437-2023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46314</v>
      </c>
      <c r="F130" t="inlineStr">
        <is>
          <t>KALMAR LÄN</t>
        </is>
      </c>
      <c r="G130" t="inlineStr">
        <is>
          <t>HÖGSBY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25861-2023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46314</v>
      </c>
      <c r="F131" t="inlineStr">
        <is>
          <t>KALMAR LÄN</t>
        </is>
      </c>
      <c r="G131" t="inlineStr">
        <is>
          <t>HÖGSBY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45090</v>
      </c>
      <c r="E132" s="1" t="n">
        <v>46314</v>
      </c>
      <c r="F132" t="inlineStr">
        <is>
          <t>KALMAR LÄN</t>
        </is>
      </c>
      <c r="G132" t="inlineStr">
        <is>
          <t>HÖGSBY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35723-2024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45532</v>
      </c>
      <c r="E133" s="1" t="n">
        <v>46314</v>
      </c>
      <c r="F133" t="inlineStr">
        <is>
          <t>KALMAR LÄN</t>
        </is>
      </c>
      <c r="G133" t="inlineStr">
        <is>
          <t>HÖGSBY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44984</v>
      </c>
      <c r="E134" s="1" t="n">
        <v>46314</v>
      </c>
      <c r="F134" t="inlineStr">
        <is>
          <t>KALMAR LÄN</t>
        </is>
      </c>
      <c r="G134" t="inlineStr">
        <is>
          <t>HÖGSBY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45189</v>
      </c>
      <c r="E135" s="1" t="n">
        <v>46314</v>
      </c>
      <c r="F135" t="inlineStr">
        <is>
          <t>KALMAR LÄN</t>
        </is>
      </c>
      <c r="G135" t="inlineStr">
        <is>
          <t>HÖGSBY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46314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46314</v>
      </c>
      <c r="F137" t="inlineStr">
        <is>
          <t>KALMAR LÄN</t>
        </is>
      </c>
      <c r="G137" t="inlineStr">
        <is>
          <t>HÖGSBY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45001</v>
      </c>
      <c r="E138" s="1" t="n">
        <v>46314</v>
      </c>
      <c r="F138" t="inlineStr">
        <is>
          <t>KALMAR LÄN</t>
        </is>
      </c>
      <c r="G138" t="inlineStr">
        <is>
          <t>HÖGSBY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45348</v>
      </c>
      <c r="E139" s="1" t="n">
        <v>46314</v>
      </c>
      <c r="F139" t="inlineStr">
        <is>
          <t>KALMAR LÄN</t>
        </is>
      </c>
      <c r="G139" t="inlineStr">
        <is>
          <t>HÖGSBY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32049-2023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45119</v>
      </c>
      <c r="E140" s="1" t="n">
        <v>46314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45707</v>
      </c>
      <c r="E141" s="1" t="n">
        <v>46314</v>
      </c>
      <c r="F141" t="inlineStr">
        <is>
          <t>KALMAR LÄN</t>
        </is>
      </c>
      <c r="G141" t="inlineStr">
        <is>
          <t>HÖGSBY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45546</v>
      </c>
      <c r="E142" s="1" t="n">
        <v>46314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45329</v>
      </c>
      <c r="E143" s="1" t="n">
        <v>46314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45758</v>
      </c>
      <c r="E144" s="1" t="n">
        <v>46314</v>
      </c>
      <c r="F144" t="inlineStr">
        <is>
          <t>KALMAR LÄN</t>
        </is>
      </c>
      <c r="G144" t="inlineStr">
        <is>
          <t>HÖGSBY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11694-2025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46314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38824-2024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45547</v>
      </c>
      <c r="E146" s="1" t="n">
        <v>46314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41706-2023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45176</v>
      </c>
      <c r="E147" s="1" t="n">
        <v>46314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45793</v>
      </c>
      <c r="E148" s="1" t="n">
        <v>46314</v>
      </c>
      <c r="F148" t="inlineStr">
        <is>
          <t>KALMAR LÄN</t>
        </is>
      </c>
      <c r="G148" t="inlineStr">
        <is>
          <t>HÖGSBY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45727</v>
      </c>
      <c r="E149" s="1" t="n">
        <v>46314</v>
      </c>
      <c r="F149" t="inlineStr">
        <is>
          <t>KALMAR LÄN</t>
        </is>
      </c>
      <c r="G149" t="inlineStr">
        <is>
          <t>HÖGSBY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28648-2023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45103</v>
      </c>
      <c r="E150" s="1" t="n">
        <v>46314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46314</v>
      </c>
      <c r="F151" t="inlineStr">
        <is>
          <t>KALMAR LÄN</t>
        </is>
      </c>
      <c r="G151" t="inlineStr">
        <is>
          <t>HÖGSBY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8116-2025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46314</v>
      </c>
      <c r="F152" t="inlineStr">
        <is>
          <t>KALMAR LÄN</t>
        </is>
      </c>
      <c r="G152" t="inlineStr">
        <is>
          <t>HÖGSBY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46314</v>
      </c>
      <c r="F153" t="inlineStr">
        <is>
          <t>KALMAR LÄN</t>
        </is>
      </c>
      <c r="G153" t="inlineStr">
        <is>
          <t>HÖGSBY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46314</v>
      </c>
      <c r="F154" t="inlineStr">
        <is>
          <t>KALMAR LÄN</t>
        </is>
      </c>
      <c r="G154" t="inlineStr">
        <is>
          <t>HÖGSBY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46314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46314</v>
      </c>
      <c r="F156" t="inlineStr">
        <is>
          <t>KALMAR LÄN</t>
        </is>
      </c>
      <c r="G156" t="inlineStr">
        <is>
          <t>HÖGSBY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32632-2025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46314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41619-2025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45901</v>
      </c>
      <c r="E158" s="1" t="n">
        <v>46314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29646-2025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45825</v>
      </c>
      <c r="E159" s="1" t="n">
        <v>46314</v>
      </c>
      <c r="F159" t="inlineStr">
        <is>
          <t>KALMAR LÄN</t>
        </is>
      </c>
      <c r="G159" t="inlineStr">
        <is>
          <t>HÖGSBY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50414-2024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46314</v>
      </c>
      <c r="F160" t="inlineStr">
        <is>
          <t>KALMAR LÄN</t>
        </is>
      </c>
      <c r="G160" t="inlineStr">
        <is>
          <t>HÖGSBY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73709-2021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44552</v>
      </c>
      <c r="E161" s="1" t="n">
        <v>46314</v>
      </c>
      <c r="F161" t="inlineStr">
        <is>
          <t>KALMAR LÄN</t>
        </is>
      </c>
      <c r="G161" t="inlineStr">
        <is>
          <t>HÖGSBY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63508-2025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46314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45804</v>
      </c>
      <c r="E163" s="1" t="n">
        <v>46314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44729</v>
      </c>
      <c r="E164" s="1" t="n">
        <v>46314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58679-2022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44902</v>
      </c>
      <c r="E165" s="1" t="n">
        <v>46314</v>
      </c>
      <c r="F165" t="inlineStr">
        <is>
          <t>KALMAR LÄN</t>
        </is>
      </c>
      <c r="G165" t="inlineStr">
        <is>
          <t>HÖGSBY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46314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39892-2024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45553</v>
      </c>
      <c r="E167" s="1" t="n">
        <v>46314</v>
      </c>
      <c r="F167" t="inlineStr">
        <is>
          <t>KALMAR LÄN</t>
        </is>
      </c>
      <c r="G167" t="inlineStr">
        <is>
          <t>HÖGSBY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46314</v>
      </c>
      <c r="F168" t="inlineStr">
        <is>
          <t>KALMAR LÄN</t>
        </is>
      </c>
      <c r="G168" t="inlineStr">
        <is>
          <t>HÖGSBY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60446-2023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45259</v>
      </c>
      <c r="E169" s="1" t="n">
        <v>46314</v>
      </c>
      <c r="F169" t="inlineStr">
        <is>
          <t>KALMAR LÄN</t>
        </is>
      </c>
      <c r="G169" t="inlineStr">
        <is>
          <t>HÖGSBY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46314</v>
      </c>
      <c r="F170" t="inlineStr">
        <is>
          <t>KALMAR LÄN</t>
        </is>
      </c>
      <c r="G170" t="inlineStr">
        <is>
          <t>HÖGSBY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46314</v>
      </c>
      <c r="F171" t="inlineStr">
        <is>
          <t>KALMAR LÄN</t>
        </is>
      </c>
      <c r="G171" t="inlineStr">
        <is>
          <t>HÖGSBY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56705-2023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46314</v>
      </c>
      <c r="F172" t="inlineStr">
        <is>
          <t>KALMAR LÄN</t>
        </is>
      </c>
      <c r="G172" t="inlineStr">
        <is>
          <t>HÖGSBY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46314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46314</v>
      </c>
      <c r="F174" t="inlineStr">
        <is>
          <t>KALMAR LÄN</t>
        </is>
      </c>
      <c r="G174" t="inlineStr">
        <is>
          <t>HÖGSBY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46314</v>
      </c>
      <c r="F175" t="inlineStr">
        <is>
          <t>KALMAR LÄN</t>
        </is>
      </c>
      <c r="G175" t="inlineStr">
        <is>
          <t>HÖGSBY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20398-2025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45775</v>
      </c>
      <c r="E176" s="1" t="n">
        <v>46314</v>
      </c>
      <c r="F176" t="inlineStr">
        <is>
          <t>KALMAR LÄN</t>
        </is>
      </c>
      <c r="G176" t="inlineStr">
        <is>
          <t>HÖGSBY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45173</v>
      </c>
      <c r="E177" s="1" t="n">
        <v>46314</v>
      </c>
      <c r="F177" t="inlineStr">
        <is>
          <t>KALMAR LÄN</t>
        </is>
      </c>
      <c r="G177" t="inlineStr">
        <is>
          <t>HÖGSBY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71635-2021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46314</v>
      </c>
      <c r="F178" t="inlineStr">
        <is>
          <t>KALMAR LÄN</t>
        </is>
      </c>
      <c r="G178" t="inlineStr">
        <is>
          <t>HÖGSBY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53108-2023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45228</v>
      </c>
      <c r="E179" s="1" t="n">
        <v>46314</v>
      </c>
      <c r="F179" t="inlineStr">
        <is>
          <t>KALMAR LÄN</t>
        </is>
      </c>
      <c r="G179" t="inlineStr">
        <is>
          <t>HÖGSBY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55902-2024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46314</v>
      </c>
      <c r="F180" t="inlineStr">
        <is>
          <t>KALMAR LÄN</t>
        </is>
      </c>
      <c r="G180" t="inlineStr">
        <is>
          <t>HÖGSBY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22562-2026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46155</v>
      </c>
      <c r="E181" s="1" t="n">
        <v>46314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22564-2026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46155</v>
      </c>
      <c r="E182" s="1" t="n">
        <v>46314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50947-2025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45946</v>
      </c>
      <c r="E183" s="1" t="n">
        <v>46314</v>
      </c>
      <c r="F183" t="inlineStr">
        <is>
          <t>KALMAR LÄN</t>
        </is>
      </c>
      <c r="G183" t="inlineStr">
        <is>
          <t>HÖGSBY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50946-2025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46314</v>
      </c>
      <c r="F184" t="inlineStr">
        <is>
          <t>KALMAR LÄN</t>
        </is>
      </c>
      <c r="G184" t="inlineStr">
        <is>
          <t>HÖGSBY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50950-2025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46314</v>
      </c>
      <c r="F185" t="inlineStr">
        <is>
          <t>KALMAR LÄN</t>
        </is>
      </c>
      <c r="G185" t="inlineStr">
        <is>
          <t>HÖGSBY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51720-2025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46314</v>
      </c>
      <c r="F186" t="inlineStr">
        <is>
          <t>KALMAR LÄN</t>
        </is>
      </c>
      <c r="G186" t="inlineStr">
        <is>
          <t>HÖGSBY</t>
        </is>
      </c>
      <c r="I186" t="n">
        <v>12.8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45930</v>
      </c>
      <c r="E187" s="1" t="n">
        <v>46314</v>
      </c>
      <c r="F187" t="inlineStr">
        <is>
          <t>KALMAR LÄN</t>
        </is>
      </c>
      <c r="G187" t="inlineStr">
        <is>
          <t>HÖGSBY</t>
        </is>
      </c>
      <c r="H187" t="inlineStr">
        <is>
          <t>Kyrkan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45953</v>
      </c>
      <c r="E188" s="1" t="n">
        <v>46314</v>
      </c>
      <c r="F188" t="inlineStr">
        <is>
          <t>KALMAR LÄN</t>
        </is>
      </c>
      <c r="G188" t="inlineStr">
        <is>
          <t>HÖGSBY</t>
        </is>
      </c>
      <c r="H188" t="inlineStr">
        <is>
          <t>Kyrkan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52533-2025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46314</v>
      </c>
      <c r="F189" t="inlineStr">
        <is>
          <t>KALMAR LÄN</t>
        </is>
      </c>
      <c r="G189" t="inlineStr">
        <is>
          <t>HÖGSBY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44993</v>
      </c>
      <c r="E190" s="1" t="n">
        <v>46314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46314</v>
      </c>
      <c r="F191" t="inlineStr">
        <is>
          <t>KALMAR LÄN</t>
        </is>
      </c>
      <c r="G191" t="inlineStr">
        <is>
          <t>HÖGSBY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7325-2025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45702</v>
      </c>
      <c r="E192" s="1" t="n">
        <v>46314</v>
      </c>
      <c r="F192" t="inlineStr">
        <is>
          <t>KALMAR LÄN</t>
        </is>
      </c>
      <c r="G192" t="inlineStr">
        <is>
          <t>HÖGSBY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46314</v>
      </c>
      <c r="F193" t="inlineStr">
        <is>
          <t>KALMAR LÄN</t>
        </is>
      </c>
      <c r="G193" t="inlineStr">
        <is>
          <t>HÖGSBY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44725</v>
      </c>
      <c r="E194" s="1" t="n">
        <v>46314</v>
      </c>
      <c r="F194" t="inlineStr">
        <is>
          <t>KALMAR LÄN</t>
        </is>
      </c>
      <c r="G194" t="inlineStr">
        <is>
          <t>HÖGSBY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56353-2025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46314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44625</v>
      </c>
      <c r="E196" s="1" t="n">
        <v>46314</v>
      </c>
      <c r="F196" t="inlineStr">
        <is>
          <t>KALMAR LÄN</t>
        </is>
      </c>
      <c r="G196" t="inlineStr">
        <is>
          <t>HÖGSBY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10706-2022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44625</v>
      </c>
      <c r="E197" s="1" t="n">
        <v>46314</v>
      </c>
      <c r="F197" t="inlineStr">
        <is>
          <t>KALMAR LÄN</t>
        </is>
      </c>
      <c r="G197" t="inlineStr">
        <is>
          <t>HÖGSBY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46314</v>
      </c>
      <c r="F198" t="inlineStr">
        <is>
          <t>KALMAR LÄN</t>
        </is>
      </c>
      <c r="G198" t="inlineStr">
        <is>
          <t>HÖGSBY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46314</v>
      </c>
      <c r="F199" t="inlineStr">
        <is>
          <t>KALMAR LÄN</t>
        </is>
      </c>
      <c r="G199" t="inlineStr">
        <is>
          <t>HÖGSBY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46314</v>
      </c>
      <c r="F200" t="inlineStr">
        <is>
          <t>KALMAR LÄN</t>
        </is>
      </c>
      <c r="G200" t="inlineStr">
        <is>
          <t>HÖGSBY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23209-2026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46162</v>
      </c>
      <c r="E201" s="1" t="n">
        <v>46314</v>
      </c>
      <c r="F201" t="inlineStr">
        <is>
          <t>KALMAR LÄN</t>
        </is>
      </c>
      <c r="G201" t="inlineStr">
        <is>
          <t>HÖGSBY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50727-2023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45217</v>
      </c>
      <c r="E202" s="1" t="n">
        <v>46314</v>
      </c>
      <c r="F202" t="inlineStr">
        <is>
          <t>KALMAR LÄN</t>
        </is>
      </c>
      <c r="G202" t="inlineStr">
        <is>
          <t>HÖGSBY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23937-2026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46167</v>
      </c>
      <c r="E203" s="1" t="n">
        <v>46314</v>
      </c>
      <c r="F203" t="inlineStr">
        <is>
          <t>KALMAR LÄN</t>
        </is>
      </c>
      <c r="G203" t="inlineStr">
        <is>
          <t>HÖGSBY</t>
        </is>
      </c>
      <c r="H203" t="inlineStr">
        <is>
          <t>Sveaskog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14273-2024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46314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37320-2022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46314</v>
      </c>
      <c r="F205" t="inlineStr">
        <is>
          <t>KALMAR LÄN</t>
        </is>
      </c>
      <c r="G205" t="inlineStr">
        <is>
          <t>HÖGSBY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44981</v>
      </c>
      <c r="E206" s="1" t="n">
        <v>46314</v>
      </c>
      <c r="F206" t="inlineStr">
        <is>
          <t>KALMAR LÄN</t>
        </is>
      </c>
      <c r="G206" t="inlineStr">
        <is>
          <t>HÖGSBY</t>
        </is>
      </c>
      <c r="H206" t="inlineStr">
        <is>
          <t>Övriga Aktiebolag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45034</v>
      </c>
      <c r="E207" s="1" t="n">
        <v>46314</v>
      </c>
      <c r="F207" t="inlineStr">
        <is>
          <t>KALMAR LÄN</t>
        </is>
      </c>
      <c r="G207" t="inlineStr">
        <is>
          <t>HÖGSBY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46314</v>
      </c>
      <c r="F208" t="inlineStr">
        <is>
          <t>KALMAR LÄN</t>
        </is>
      </c>
      <c r="G208" t="inlineStr">
        <is>
          <t>HÖGSBY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45988</v>
      </c>
      <c r="E209" s="1" t="n">
        <v>46314</v>
      </c>
      <c r="F209" t="inlineStr">
        <is>
          <t>KALMAR LÄN</t>
        </is>
      </c>
      <c r="G209" t="inlineStr">
        <is>
          <t>HÖGSBY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45247</v>
      </c>
      <c r="E210" s="1" t="n">
        <v>46314</v>
      </c>
      <c r="F210" t="inlineStr">
        <is>
          <t>KALMAR LÄN</t>
        </is>
      </c>
      <c r="G210" t="inlineStr">
        <is>
          <t>HÖGSBY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49485-2022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46314</v>
      </c>
      <c r="F211" t="inlineStr">
        <is>
          <t>KALMAR LÄN</t>
        </is>
      </c>
      <c r="G211" t="inlineStr">
        <is>
          <t>HÖGSBY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46314</v>
      </c>
      <c r="F212" t="inlineStr">
        <is>
          <t>KALMAR LÄN</t>
        </is>
      </c>
      <c r="G212" t="inlineStr">
        <is>
          <t>HÖGSBY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17250-2024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45414</v>
      </c>
      <c r="E213" s="1" t="n">
        <v>46314</v>
      </c>
      <c r="F213" t="inlineStr">
        <is>
          <t>KALMAR LÄN</t>
        </is>
      </c>
      <c r="G213" t="inlineStr">
        <is>
          <t>HÖGSBY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46314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46314</v>
      </c>
      <c r="F215" t="inlineStr">
        <is>
          <t>KALMAR LÄN</t>
        </is>
      </c>
      <c r="G215" t="inlineStr">
        <is>
          <t>HÖGSBY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46314</v>
      </c>
      <c r="F216" t="inlineStr">
        <is>
          <t>KALMAR LÄN</t>
        </is>
      </c>
      <c r="G216" t="inlineStr">
        <is>
          <t>HÖGSBY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45999</v>
      </c>
      <c r="E217" s="1" t="n">
        <v>46314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46314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61031-2025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46314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46314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46314</v>
      </c>
      <c r="F221" t="inlineStr">
        <is>
          <t>KALMAR LÄN</t>
        </is>
      </c>
      <c r="G221" t="inlineStr">
        <is>
          <t>HÖGSBY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45093</v>
      </c>
      <c r="E222" s="1" t="n">
        <v>46314</v>
      </c>
      <c r="F222" t="inlineStr">
        <is>
          <t>KALMAR LÄN</t>
        </is>
      </c>
      <c r="G222" t="inlineStr">
        <is>
          <t>HÖGSBY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46314</v>
      </c>
      <c r="F223" t="inlineStr">
        <is>
          <t>KALMAR LÄN</t>
        </is>
      </c>
      <c r="G223" t="inlineStr">
        <is>
          <t>HÖGSBY</t>
        </is>
      </c>
      <c r="H223" t="inlineStr">
        <is>
          <t>Sveaskog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7438-2023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46314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46314</v>
      </c>
      <c r="F225" t="inlineStr">
        <is>
          <t>KALMAR LÄN</t>
        </is>
      </c>
      <c r="G225" t="inlineStr">
        <is>
          <t>HÖGSBY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53413-2024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45614</v>
      </c>
      <c r="E226" s="1" t="n">
        <v>46314</v>
      </c>
      <c r="F226" t="inlineStr">
        <is>
          <t>KALMAR LÄN</t>
        </is>
      </c>
      <c r="G226" t="inlineStr">
        <is>
          <t>HÖGSBY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45460</v>
      </c>
      <c r="E227" s="1" t="n">
        <v>46314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45320</v>
      </c>
      <c r="E228" s="1" t="n">
        <v>46314</v>
      </c>
      <c r="F228" t="inlineStr">
        <is>
          <t>KALMAR LÄN</t>
        </is>
      </c>
      <c r="G228" t="inlineStr">
        <is>
          <t>HÖGSBY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62918-2025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46314</v>
      </c>
      <c r="F229" t="inlineStr">
        <is>
          <t>KALMAR LÄN</t>
        </is>
      </c>
      <c r="G229" t="inlineStr">
        <is>
          <t>HÖGSBY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62720-2025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46008</v>
      </c>
      <c r="E230" s="1" t="n">
        <v>46314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62722-2025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46008</v>
      </c>
      <c r="E231" s="1" t="n">
        <v>46314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31707-2023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45105</v>
      </c>
      <c r="E232" s="1" t="n">
        <v>46314</v>
      </c>
      <c r="F232" t="inlineStr">
        <is>
          <t>KALMAR LÄN</t>
        </is>
      </c>
      <c r="G232" t="inlineStr">
        <is>
          <t>HÖGSBY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57006-2024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45626</v>
      </c>
      <c r="E233" s="1" t="n">
        <v>46314</v>
      </c>
      <c r="F233" t="inlineStr">
        <is>
          <t>KALMAR LÄN</t>
        </is>
      </c>
      <c r="G233" t="inlineStr">
        <is>
          <t>HÖGSBY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52117-2024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46314</v>
      </c>
      <c r="F234" t="inlineStr">
        <is>
          <t>KALMAR LÄN</t>
        </is>
      </c>
      <c r="G234" t="inlineStr">
        <is>
          <t>HÖGSBY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60853-2021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44496</v>
      </c>
      <c r="E235" s="1" t="n">
        <v>46314</v>
      </c>
      <c r="F235" t="inlineStr">
        <is>
          <t>KALMAR LÄN</t>
        </is>
      </c>
      <c r="G235" t="inlineStr">
        <is>
          <t>HÖGSBY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44876</v>
      </c>
      <c r="E236" s="1" t="n">
        <v>46314</v>
      </c>
      <c r="F236" t="inlineStr">
        <is>
          <t>KALMAR LÄN</t>
        </is>
      </c>
      <c r="G236" t="inlineStr">
        <is>
          <t>HÖGSBY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63379-2023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46314</v>
      </c>
      <c r="F237" t="inlineStr">
        <is>
          <t>KALMAR LÄN</t>
        </is>
      </c>
      <c r="G237" t="inlineStr">
        <is>
          <t>HÖGSBY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46037</v>
      </c>
      <c r="E238" s="1" t="n">
        <v>46314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46314</v>
      </c>
      <c r="F239" t="inlineStr">
        <is>
          <t>KALMAR LÄN</t>
        </is>
      </c>
      <c r="G239" t="inlineStr">
        <is>
          <t>HÖGSBY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44865-2023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45190</v>
      </c>
      <c r="E240" s="1" t="n">
        <v>46314</v>
      </c>
      <c r="F240" t="inlineStr">
        <is>
          <t>KALMAR LÄN</t>
        </is>
      </c>
      <c r="G240" t="inlineStr">
        <is>
          <t>HÖGSBY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26151-2026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46181</v>
      </c>
      <c r="E241" s="1" t="n">
        <v>46314</v>
      </c>
      <c r="F241" t="inlineStr">
        <is>
          <t>KALMAR LÄN</t>
        </is>
      </c>
      <c r="G241" t="inlineStr">
        <is>
          <t>HÖGSBY</t>
        </is>
      </c>
      <c r="I241" t="n">
        <v>7.3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46314</v>
      </c>
      <c r="F242" t="inlineStr">
        <is>
          <t>KALMAR LÄN</t>
        </is>
      </c>
      <c r="G242" t="inlineStr">
        <is>
          <t>HÖGSBY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46314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46314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46314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26764-2026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46314</v>
      </c>
      <c r="F246" t="inlineStr">
        <is>
          <t>KALMAR LÄN</t>
        </is>
      </c>
      <c r="G246" t="inlineStr">
        <is>
          <t>HÖGSBY</t>
        </is>
      </c>
      <c r="H246" t="inlineStr">
        <is>
          <t>Sveaskog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7443-2026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46059</v>
      </c>
      <c r="E247" s="1" t="n">
        <v>46314</v>
      </c>
      <c r="F247" t="inlineStr">
        <is>
          <t>KALMAR LÄN</t>
        </is>
      </c>
      <c r="G247" t="inlineStr">
        <is>
          <t>HÖGSBY</t>
        </is>
      </c>
      <c r="H247" t="inlineStr">
        <is>
          <t>Sveaskog</t>
        </is>
      </c>
      <c r="I247" t="n">
        <v>7.7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26760-2026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46314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7.7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13808-2024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45391</v>
      </c>
      <c r="E249" s="1" t="n">
        <v>46314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27365-2026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46314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27367-2026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46314</v>
      </c>
      <c r="F251" t="inlineStr">
        <is>
          <t>KALMAR LÄN</t>
        </is>
      </c>
      <c r="G251" t="inlineStr">
        <is>
          <t>HÖGSBY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46314</v>
      </c>
      <c r="F252" t="inlineStr">
        <is>
          <t>KALMAR LÄN</t>
        </is>
      </c>
      <c r="G252" t="inlineStr">
        <is>
          <t>HÖGSBY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11029-2026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46079</v>
      </c>
      <c r="E253" s="1" t="n">
        <v>46314</v>
      </c>
      <c r="F253" t="inlineStr">
        <is>
          <t>KALMAR LÄN</t>
        </is>
      </c>
      <c r="G253" t="inlineStr">
        <is>
          <t>HÖGSBY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20770-2023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45058</v>
      </c>
      <c r="E254" s="1" t="n">
        <v>46314</v>
      </c>
      <c r="F254" t="inlineStr">
        <is>
          <t>KALMAR LÄN</t>
        </is>
      </c>
      <c r="G254" t="inlineStr">
        <is>
          <t>HÖGSBY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45365</v>
      </c>
      <c r="E255" s="1" t="n">
        <v>46314</v>
      </c>
      <c r="F255" t="inlineStr">
        <is>
          <t>KALMAR LÄN</t>
        </is>
      </c>
      <c r="G255" t="inlineStr">
        <is>
          <t>HÖGSBY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44613</v>
      </c>
      <c r="E256" s="1" t="n">
        <v>46314</v>
      </c>
      <c r="F256" t="inlineStr">
        <is>
          <t>KALMAR LÄN</t>
        </is>
      </c>
      <c r="G256" t="inlineStr">
        <is>
          <t>HÖGSBY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26545-2024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45469</v>
      </c>
      <c r="E257" s="1" t="n">
        <v>46314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27812-2026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46191</v>
      </c>
      <c r="E258" s="1" t="n">
        <v>46314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8.5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45348</v>
      </c>
      <c r="E259" s="1" t="n">
        <v>46314</v>
      </c>
      <c r="F259" t="inlineStr">
        <is>
          <t>KALMAR LÄN</t>
        </is>
      </c>
      <c r="G259" t="inlineStr">
        <is>
          <t>HÖGSBY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54735-2025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45966</v>
      </c>
      <c r="E260" s="1" t="n">
        <v>46314</v>
      </c>
      <c r="F260" t="inlineStr">
        <is>
          <t>KALMAR LÄN</t>
        </is>
      </c>
      <c r="G260" t="inlineStr">
        <is>
          <t>HÖGSBY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13098-2026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46093</v>
      </c>
      <c r="E261" s="1" t="n">
        <v>46314</v>
      </c>
      <c r="F261" t="inlineStr">
        <is>
          <t>KALMAR LÄN</t>
        </is>
      </c>
      <c r="G261" t="inlineStr">
        <is>
          <t>HÖGSBY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46314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7599-2024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45348</v>
      </c>
      <c r="E263" s="1" t="n">
        <v>46314</v>
      </c>
      <c r="F263" t="inlineStr">
        <is>
          <t>KALMAR LÄN</t>
        </is>
      </c>
      <c r="G263" t="inlineStr">
        <is>
          <t>HÖGSBY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44972</v>
      </c>
      <c r="E264" s="1" t="n">
        <v>46314</v>
      </c>
      <c r="F264" t="inlineStr">
        <is>
          <t>KALMAR LÄN</t>
        </is>
      </c>
      <c r="G264" t="inlineStr">
        <is>
          <t>HÖGSBY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45113</v>
      </c>
      <c r="E265" s="1" t="n">
        <v>46314</v>
      </c>
      <c r="F265" t="inlineStr">
        <is>
          <t>KALMAR LÄN</t>
        </is>
      </c>
      <c r="G265" t="inlineStr">
        <is>
          <t>HÖGSBY</t>
        </is>
      </c>
      <c r="I265" t="n">
        <v>11.6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44879</v>
      </c>
      <c r="E266" s="1" t="n">
        <v>46314</v>
      </c>
      <c r="F266" t="inlineStr">
        <is>
          <t>KALMAR LÄN</t>
        </is>
      </c>
      <c r="G266" t="inlineStr">
        <is>
          <t>HÖGSBY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9592-2024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45360</v>
      </c>
      <c r="E267" s="1" t="n">
        <v>46314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44907</v>
      </c>
      <c r="E268" s="1" t="n">
        <v>46314</v>
      </c>
      <c r="F268" t="inlineStr">
        <is>
          <t>KALMAR LÄN</t>
        </is>
      </c>
      <c r="G268" t="inlineStr">
        <is>
          <t>HÖGSBY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45588</v>
      </c>
      <c r="E269" s="1" t="n">
        <v>46314</v>
      </c>
      <c r="F269" t="inlineStr">
        <is>
          <t>KALMAR LÄN</t>
        </is>
      </c>
      <c r="G269" t="inlineStr">
        <is>
          <t>HÖGSBY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14894-2025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45743</v>
      </c>
      <c r="E270" s="1" t="n">
        <v>46314</v>
      </c>
      <c r="F270" t="inlineStr">
        <is>
          <t>KALMAR LÄN</t>
        </is>
      </c>
      <c r="G270" t="inlineStr">
        <is>
          <t>HÖGSBY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22524-2024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45447</v>
      </c>
      <c r="E271" s="1" t="n">
        <v>46314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28265-2026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46196</v>
      </c>
      <c r="E272" s="1" t="n">
        <v>46314</v>
      </c>
      <c r="F272" t="inlineStr">
        <is>
          <t>KALMAR LÄN</t>
        </is>
      </c>
      <c r="G272" t="inlineStr">
        <is>
          <t>HÖGSBY</t>
        </is>
      </c>
      <c r="H272" t="inlineStr">
        <is>
          <t>Kommuner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46314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28702-2026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46198</v>
      </c>
      <c r="E274" s="1" t="n">
        <v>46314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28692-2026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46198</v>
      </c>
      <c r="E275" s="1" t="n">
        <v>46314</v>
      </c>
      <c r="F275" t="inlineStr">
        <is>
          <t>KALMAR LÄN</t>
        </is>
      </c>
      <c r="G275" t="inlineStr">
        <is>
          <t>HÖGSBY</t>
        </is>
      </c>
      <c r="H275" t="inlineStr">
        <is>
          <t>Sveaskog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33112-2023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46314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28691-2026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46198</v>
      </c>
      <c r="E277" s="1" t="n">
        <v>46314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28697-2026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46198</v>
      </c>
      <c r="E278" s="1" t="n">
        <v>46314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16207-2026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46111</v>
      </c>
      <c r="E279" s="1" t="n">
        <v>46314</v>
      </c>
      <c r="F279" t="inlineStr">
        <is>
          <t>KALMAR LÄN</t>
        </is>
      </c>
      <c r="G279" t="inlineStr">
        <is>
          <t>HÖGSBY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46111</v>
      </c>
      <c r="E280" s="1" t="n">
        <v>46314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28573-2026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46197</v>
      </c>
      <c r="E281" s="1" t="n">
        <v>46314</v>
      </c>
      <c r="F281" t="inlineStr">
        <is>
          <t>KALMAR LÄN</t>
        </is>
      </c>
      <c r="G281" t="inlineStr">
        <is>
          <t>HÖGSBY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28574-2026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46197</v>
      </c>
      <c r="E282" s="1" t="n">
        <v>46314</v>
      </c>
      <c r="F282" t="inlineStr">
        <is>
          <t>KALMAR LÄN</t>
        </is>
      </c>
      <c r="G282" t="inlineStr">
        <is>
          <t>HÖGSBY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28713-2026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46198</v>
      </c>
      <c r="E283" s="1" t="n">
        <v>46314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46314</v>
      </c>
      <c r="F284" t="inlineStr">
        <is>
          <t>KALMAR LÄN</t>
        </is>
      </c>
      <c r="G284" t="inlineStr">
        <is>
          <t>HÖGSBY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28808-2026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46314</v>
      </c>
      <c r="F285" t="inlineStr">
        <is>
          <t>KALMAR LÄN</t>
        </is>
      </c>
      <c r="G285" t="inlineStr">
        <is>
          <t>HÖGSBY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28634-2026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46198</v>
      </c>
      <c r="E286" s="1" t="n">
        <v>46314</v>
      </c>
      <c r="F286" t="inlineStr">
        <is>
          <t>KALMAR LÄN</t>
        </is>
      </c>
      <c r="G286" t="inlineStr">
        <is>
          <t>HÖGSBY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17090-2026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46114</v>
      </c>
      <c r="E287" s="1" t="n">
        <v>46314</v>
      </c>
      <c r="F287" t="inlineStr">
        <is>
          <t>KALMAR LÄN</t>
        </is>
      </c>
      <c r="G287" t="inlineStr">
        <is>
          <t>HÖGSBY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29038-2026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46199</v>
      </c>
      <c r="E288" s="1" t="n">
        <v>46314</v>
      </c>
      <c r="F288" t="inlineStr">
        <is>
          <t>KALMAR LÄN</t>
        </is>
      </c>
      <c r="G288" t="inlineStr">
        <is>
          <t>HÖGSBY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17953-2026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46122</v>
      </c>
      <c r="E289" s="1" t="n">
        <v>46314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46314</v>
      </c>
      <c r="F290" t="inlineStr">
        <is>
          <t>KALMAR LÄN</t>
        </is>
      </c>
      <c r="G290" t="inlineStr">
        <is>
          <t>HÖGSBY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28901-2026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46199</v>
      </c>
      <c r="E291" s="1" t="n">
        <v>46314</v>
      </c>
      <c r="F291" t="inlineStr">
        <is>
          <t>KALMAR LÄN</t>
        </is>
      </c>
      <c r="G291" t="inlineStr">
        <is>
          <t>HÖGSBY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56332-2024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45624</v>
      </c>
      <c r="E292" s="1" t="n">
        <v>46314</v>
      </c>
      <c r="F292" t="inlineStr">
        <is>
          <t>KALMAR LÄN</t>
        </is>
      </c>
      <c r="G292" t="inlineStr">
        <is>
          <t>HÖGSBY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6478-2022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46314</v>
      </c>
      <c r="F293" t="inlineStr">
        <is>
          <t>KALMAR LÄN</t>
        </is>
      </c>
      <c r="G293" t="inlineStr">
        <is>
          <t>HÖGSBY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46314</v>
      </c>
      <c r="F294" t="inlineStr">
        <is>
          <t>KALMAR LÄN</t>
        </is>
      </c>
      <c r="G294" t="inlineStr">
        <is>
          <t>HÖGSBY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29206-2026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46202</v>
      </c>
      <c r="E295" s="1" t="n">
        <v>46314</v>
      </c>
      <c r="F295" t="inlineStr">
        <is>
          <t>KALMAR LÄN</t>
        </is>
      </c>
      <c r="G295" t="inlineStr">
        <is>
          <t>HÖGSBY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47503-2023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45203</v>
      </c>
      <c r="E296" s="1" t="n">
        <v>46314</v>
      </c>
      <c r="F296" t="inlineStr">
        <is>
          <t>KALMAR LÄN</t>
        </is>
      </c>
      <c r="G296" t="inlineStr">
        <is>
          <t>HÖGSBY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19484-2026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46134</v>
      </c>
      <c r="E297" s="1" t="n">
        <v>46314</v>
      </c>
      <c r="F297" t="inlineStr">
        <is>
          <t>KALMAR LÄN</t>
        </is>
      </c>
      <c r="G297" t="inlineStr">
        <is>
          <t>HÖGSBY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41479-2023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45175</v>
      </c>
      <c r="E298" s="1" t="n">
        <v>46314</v>
      </c>
      <c r="F298" t="inlineStr">
        <is>
          <t>KALMAR LÄN</t>
        </is>
      </c>
      <c r="G298" t="inlineStr">
        <is>
          <t>HÖGSBY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45911</v>
      </c>
      <c r="E299" s="1" t="n">
        <v>46314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45754</v>
      </c>
      <c r="E300" s="1" t="n">
        <v>46314</v>
      </c>
      <c r="F300" t="inlineStr">
        <is>
          <t>KALMAR LÄN</t>
        </is>
      </c>
      <c r="G300" t="inlineStr">
        <is>
          <t>HÖGSBY</t>
        </is>
      </c>
      <c r="I300" t="n">
        <v>4.7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46206</v>
      </c>
      <c r="E301" s="1" t="n">
        <v>46314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63508-2025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46013</v>
      </c>
      <c r="E302" s="1" t="n">
        <v>46314</v>
      </c>
      <c r="F302" t="inlineStr">
        <is>
          <t>KALMAR LÄN</t>
        </is>
      </c>
      <c r="G302" t="inlineStr">
        <is>
          <t>HÖGSBY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50458-2022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44866</v>
      </c>
      <c r="E303" s="1" t="n">
        <v>46314</v>
      </c>
      <c r="F303" t="inlineStr">
        <is>
          <t>KALMAR LÄN</t>
        </is>
      </c>
      <c r="G303" t="inlineStr">
        <is>
          <t>HÖGSBY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46314</v>
      </c>
      <c r="F304" t="inlineStr">
        <is>
          <t>KALMAR LÄN</t>
        </is>
      </c>
      <c r="G304" t="inlineStr">
        <is>
          <t>HÖGSBY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46314</v>
      </c>
      <c r="F305" t="inlineStr">
        <is>
          <t>KALMAR LÄN</t>
        </is>
      </c>
      <c r="G305" t="inlineStr">
        <is>
          <t>HÖGSBY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46314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46314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46314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30157-2026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46206</v>
      </c>
      <c r="E309" s="1" t="n">
        <v>46314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60555-2021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46314</v>
      </c>
      <c r="F310" t="inlineStr">
        <is>
          <t>KALMAR LÄN</t>
        </is>
      </c>
      <c r="G310" t="inlineStr">
        <is>
          <t>HÖGSBY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44760</v>
      </c>
      <c r="E311" s="1" t="n">
        <v>46314</v>
      </c>
      <c r="F311" t="inlineStr">
        <is>
          <t>KALMAR LÄN</t>
        </is>
      </c>
      <c r="G311" t="inlineStr">
        <is>
          <t>HÖGSBY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44879</v>
      </c>
      <c r="E312" s="1" t="n">
        <v>46314</v>
      </c>
      <c r="F312" t="inlineStr">
        <is>
          <t>KALMAR LÄN</t>
        </is>
      </c>
      <c r="G312" t="inlineStr">
        <is>
          <t>HÖGSBY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10409-2023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44987</v>
      </c>
      <c r="E313" s="1" t="n">
        <v>46314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14193-2024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45393</v>
      </c>
      <c r="E314" s="1" t="n">
        <v>46314</v>
      </c>
      <c r="F314" t="inlineStr">
        <is>
          <t>KALMAR LÄN</t>
        </is>
      </c>
      <c r="G314" t="inlineStr">
        <is>
          <t>HÖGSBY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44924</v>
      </c>
      <c r="E315" s="1" t="n">
        <v>46314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46314</v>
      </c>
      <c r="F316" t="inlineStr">
        <is>
          <t>KALMAR LÄN</t>
        </is>
      </c>
      <c r="G316" t="inlineStr">
        <is>
          <t>HÖGSBY</t>
        </is>
      </c>
      <c r="I316" t="n">
        <v>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37338-2026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46275</v>
      </c>
      <c r="E317" s="1" t="n">
        <v>46314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46275</v>
      </c>
      <c r="E318" s="1" t="n">
        <v>46314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37233-2026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46274</v>
      </c>
      <c r="E319" s="1" t="n">
        <v>46314</v>
      </c>
      <c r="F319" t="inlineStr">
        <is>
          <t>KALMAR LÄN</t>
        </is>
      </c>
      <c r="G319" t="inlineStr">
        <is>
          <t>HÖGSBY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45254</v>
      </c>
      <c r="E320" s="1" t="n">
        <v>46314</v>
      </c>
      <c r="F320" t="inlineStr">
        <is>
          <t>KALMAR LÄN</t>
        </is>
      </c>
      <c r="G320" t="inlineStr">
        <is>
          <t>HÖGSBY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46314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12396-2023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44999</v>
      </c>
      <c r="E322" s="1" t="n">
        <v>46314</v>
      </c>
      <c r="F322" t="inlineStr">
        <is>
          <t>KALMAR LÄN</t>
        </is>
      </c>
      <c r="G322" t="inlineStr">
        <is>
          <t>HÖGSBY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32228-2026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46237</v>
      </c>
      <c r="E323" s="1" t="n">
        <v>46314</v>
      </c>
      <c r="F323" t="inlineStr">
        <is>
          <t>KALMAR LÄN</t>
        </is>
      </c>
      <c r="G323" t="inlineStr">
        <is>
          <t>HÖGSBY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44981</v>
      </c>
      <c r="E324" s="1" t="n">
        <v>46314</v>
      </c>
      <c r="F324" t="inlineStr">
        <is>
          <t>KALMAR LÄN</t>
        </is>
      </c>
      <c r="G324" t="inlineStr">
        <is>
          <t>HÖGSBY</t>
        </is>
      </c>
      <c r="H324" t="inlineStr">
        <is>
          <t>Övriga Aktiebolag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38185-2026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46281</v>
      </c>
      <c r="E325" s="1" t="n">
        <v>46314</v>
      </c>
      <c r="F325" t="inlineStr">
        <is>
          <t>KALMAR LÄN</t>
        </is>
      </c>
      <c r="G325" t="inlineStr">
        <is>
          <t>HÖGSBY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38600-2024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46314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58050-2023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45247</v>
      </c>
      <c r="E327" s="1" t="n">
        <v>46314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65130-2023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45288</v>
      </c>
      <c r="E328" s="1" t="n">
        <v>46314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45341</v>
      </c>
      <c r="E329" s="1" t="n">
        <v>46314</v>
      </c>
      <c r="F329" t="inlineStr">
        <is>
          <t>KALMAR LÄN</t>
        </is>
      </c>
      <c r="G329" t="inlineStr">
        <is>
          <t>HÖGSBY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49486-2022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44861</v>
      </c>
      <c r="E330" s="1" t="n">
        <v>46314</v>
      </c>
      <c r="F330" t="inlineStr">
        <is>
          <t>KALMAR LÄN</t>
        </is>
      </c>
      <c r="G330" t="inlineStr">
        <is>
          <t>HÖGSBY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27830-2023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45093</v>
      </c>
      <c r="E331" s="1" t="n">
        <v>46314</v>
      </c>
      <c r="F331" t="inlineStr">
        <is>
          <t>KALMAR LÄN</t>
        </is>
      </c>
      <c r="G331" t="inlineStr">
        <is>
          <t>HÖGSBY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26927-2023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46314</v>
      </c>
      <c r="F332" t="inlineStr">
        <is>
          <t>KALMAR LÄN</t>
        </is>
      </c>
      <c r="G332" t="inlineStr">
        <is>
          <t>HÖGSBY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39035-2026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46287</v>
      </c>
      <c r="E333" s="1" t="n">
        <v>46314</v>
      </c>
      <c r="F333" t="inlineStr">
        <is>
          <t>KALMAR LÄN</t>
        </is>
      </c>
      <c r="G333" t="inlineStr">
        <is>
          <t>HÖGSBY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45183</v>
      </c>
      <c r="E334" s="1" t="n">
        <v>46314</v>
      </c>
      <c r="F334" t="inlineStr">
        <is>
          <t>KALMAR LÄN</t>
        </is>
      </c>
      <c r="G334" t="inlineStr">
        <is>
          <t>HÖGSBY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46286</v>
      </c>
      <c r="E335" s="1" t="n">
        <v>46314</v>
      </c>
      <c r="F335" t="inlineStr">
        <is>
          <t>KALMAR LÄN</t>
        </is>
      </c>
      <c r="G335" t="inlineStr">
        <is>
          <t>HÖGSBY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45239</v>
      </c>
      <c r="E336" s="1" t="n">
        <v>46314</v>
      </c>
      <c r="F336" t="inlineStr">
        <is>
          <t>KALMAR LÄN</t>
        </is>
      </c>
      <c r="G336" t="inlineStr">
        <is>
          <t>HÖGSBY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59408-2022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44907</v>
      </c>
      <c r="E337" s="1" t="n">
        <v>46314</v>
      </c>
      <c r="F337" t="inlineStr">
        <is>
          <t>KALMAR LÄN</t>
        </is>
      </c>
      <c r="G337" t="inlineStr">
        <is>
          <t>HÖGSBY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46314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46314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45624</v>
      </c>
      <c r="E340" s="1" t="n">
        <v>46314</v>
      </c>
      <c r="F340" t="inlineStr">
        <is>
          <t>KALMAR LÄN</t>
        </is>
      </c>
      <c r="G340" t="inlineStr">
        <is>
          <t>HÖGSBY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37954-2024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45544</v>
      </c>
      <c r="E341" s="1" t="n">
        <v>46314</v>
      </c>
      <c r="F341" t="inlineStr">
        <is>
          <t>KALMAR LÄN</t>
        </is>
      </c>
      <c r="G341" t="inlineStr">
        <is>
          <t>HÖGSBY</t>
        </is>
      </c>
      <c r="I341" t="n">
        <v>5.4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44953</v>
      </c>
      <c r="E342" s="1" t="n">
        <v>46314</v>
      </c>
      <c r="F342" t="inlineStr">
        <is>
          <t>KALMAR LÄN</t>
        </is>
      </c>
      <c r="G342" t="inlineStr">
        <is>
          <t>HÖGSBY</t>
        </is>
      </c>
      <c r="H342" t="inlineStr">
        <is>
          <t>Övriga Aktiebolag</t>
        </is>
      </c>
      <c r="I342" t="n">
        <v>15.2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47502-2023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45203</v>
      </c>
      <c r="E343" s="1" t="n">
        <v>46314</v>
      </c>
      <c r="F343" t="inlineStr">
        <is>
          <t>KALMAR LÄN</t>
        </is>
      </c>
      <c r="G343" t="inlineStr">
        <is>
          <t>HÖGSBY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45203</v>
      </c>
      <c r="E344" s="1" t="n">
        <v>46314</v>
      </c>
      <c r="F344" t="inlineStr">
        <is>
          <t>KALMAR LÄN</t>
        </is>
      </c>
      <c r="G344" t="inlineStr">
        <is>
          <t>HÖGSBY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2079-2023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44939</v>
      </c>
      <c r="E345" s="1" t="n">
        <v>46314</v>
      </c>
      <c r="F345" t="inlineStr">
        <is>
          <t>KALMAR LÄN</t>
        </is>
      </c>
      <c r="G345" t="inlineStr">
        <is>
          <t>HÖGSBY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46314</v>
      </c>
      <c r="F346" t="inlineStr">
        <is>
          <t>KALMAR LÄN</t>
        </is>
      </c>
      <c r="G346" t="inlineStr">
        <is>
          <t>HÖGSBY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46329-2024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46314</v>
      </c>
      <c r="F347" t="inlineStr">
        <is>
          <t>KALMAR LÄN</t>
        </is>
      </c>
      <c r="G347" t="inlineStr">
        <is>
          <t>HÖGSBY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46314</v>
      </c>
      <c r="F348" t="inlineStr">
        <is>
          <t>KALMAR LÄN</t>
        </is>
      </c>
      <c r="G348" t="inlineStr">
        <is>
          <t>HÖGSBY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33788-2026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46251</v>
      </c>
      <c r="E349" s="1" t="n">
        <v>46314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44866</v>
      </c>
      <c r="E350" s="1" t="n">
        <v>46314</v>
      </c>
      <c r="F350" t="inlineStr">
        <is>
          <t>KALMAR LÄN</t>
        </is>
      </c>
      <c r="G350" t="inlineStr">
        <is>
          <t>HÖGSBY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46297</v>
      </c>
      <c r="E351" s="1" t="n">
        <v>46314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46176</v>
      </c>
      <c r="E352" s="1" t="n">
        <v>46314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41021-2026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46297</v>
      </c>
      <c r="E353" s="1" t="n">
        <v>46314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41019-2026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46297</v>
      </c>
      <c r="E354" s="1" t="n">
        <v>46314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45638</v>
      </c>
      <c r="E355" s="1" t="n">
        <v>46314</v>
      </c>
      <c r="F355" t="inlineStr">
        <is>
          <t>KALMAR LÄN</t>
        </is>
      </c>
      <c r="G355" t="inlineStr">
        <is>
          <t>HÖGSBY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45600</v>
      </c>
      <c r="E356" s="1" t="n">
        <v>46314</v>
      </c>
      <c r="F356" t="inlineStr">
        <is>
          <t>KALMAR LÄN</t>
        </is>
      </c>
      <c r="G356" t="inlineStr">
        <is>
          <t>HÖGSBY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45307</v>
      </c>
      <c r="E357" s="1" t="n">
        <v>46314</v>
      </c>
      <c r="F357" t="inlineStr">
        <is>
          <t>KALMAR LÄN</t>
        </is>
      </c>
      <c r="G357" t="inlineStr">
        <is>
          <t>HÖGSBY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24893-2026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46174</v>
      </c>
      <c r="E358" s="1" t="n">
        <v>46314</v>
      </c>
      <c r="F358" t="inlineStr">
        <is>
          <t>KALMAR LÄN</t>
        </is>
      </c>
      <c r="G358" t="inlineStr">
        <is>
          <t>HÖGSBY</t>
        </is>
      </c>
      <c r="H358" t="inlineStr">
        <is>
          <t>Kommuner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40024-2026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46314</v>
      </c>
      <c r="F359" t="inlineStr">
        <is>
          <t>KALMAR LÄN</t>
        </is>
      </c>
      <c r="G359" t="inlineStr">
        <is>
          <t>HÖGSBY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34078-2024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45523</v>
      </c>
      <c r="E360" s="1" t="n">
        <v>46314</v>
      </c>
      <c r="F360" t="inlineStr">
        <is>
          <t>KALMAR LÄN</t>
        </is>
      </c>
      <c r="G360" t="inlineStr">
        <is>
          <t>HÖGSBY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21569-2025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45782</v>
      </c>
      <c r="E361" s="1" t="n">
        <v>46314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46195</v>
      </c>
      <c r="E362" s="1" t="n">
        <v>46314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46314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8.699999999999999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40464-2023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45170</v>
      </c>
      <c r="E364" s="1" t="n">
        <v>46314</v>
      </c>
      <c r="F364" t="inlineStr">
        <is>
          <t>KALMAR LÄN</t>
        </is>
      </c>
      <c r="G364" t="inlineStr">
        <is>
          <t>HÖGSBY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46176</v>
      </c>
      <c r="E365" s="1" t="n">
        <v>46314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21801-2026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46150</v>
      </c>
      <c r="E366" s="1" t="n">
        <v>46314</v>
      </c>
      <c r="F366" t="inlineStr">
        <is>
          <t>KALMAR LÄN</t>
        </is>
      </c>
      <c r="G366" t="inlineStr">
        <is>
          <t>HÖGSBY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45554</v>
      </c>
      <c r="E367" s="1" t="n">
        <v>46314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  <c r="Z367">
        <f>HYPERLINK("https://klasma.github.io/Logging_0821/knärot/A 40137-2024 karta knärot.png", "A 40137-2024")</f>
        <v/>
      </c>
      <c r="AA367">
        <f>HYPERLINK("https://klasma.github.io/Logging_0821/klagomål/A 40137-2024 FSC-klagomål.docx", "A 40137-2024")</f>
        <v/>
      </c>
      <c r="AB367">
        <f>HYPERLINK("https://klasma.github.io/Logging_0821/klagomålsmail/A 40137-2024 FSC-klagomål mail.docx", "A 40137-2024")</f>
        <v/>
      </c>
      <c r="AC367">
        <f>HYPERLINK("https://klasma.github.io/Logging_0821/tillsyn/A 40137-2024 tillsynsbegäran.docx", "A 40137-2024")</f>
        <v/>
      </c>
      <c r="AD367">
        <f>HYPERLINK("https://klasma.github.io/Logging_0821/tillsynsmail/A 40137-2024 tillsynsbegäran mail.docx", "A 40137-2024")</f>
        <v/>
      </c>
    </row>
    <row r="368" ht="15" customHeight="1">
      <c r="A368" t="inlineStr">
        <is>
          <t>A 28830-2026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46314</v>
      </c>
      <c r="F368" t="inlineStr">
        <is>
          <t>KALMAR LÄN</t>
        </is>
      </c>
      <c r="G368" t="inlineStr">
        <is>
          <t>HÖGSBY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63483-2025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46013</v>
      </c>
      <c r="E369" s="1" t="n">
        <v>46314</v>
      </c>
      <c r="F369" t="inlineStr">
        <is>
          <t>KALMAR LÄN</t>
        </is>
      </c>
      <c r="G369" t="inlineStr">
        <is>
          <t>HÖGSBY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24378-2025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45797</v>
      </c>
      <c r="E370" s="1" t="n">
        <v>46314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46300</v>
      </c>
      <c r="E371" s="1" t="n">
        <v>46314</v>
      </c>
      <c r="F371" t="inlineStr">
        <is>
          <t>KALMAR LÄN</t>
        </is>
      </c>
      <c r="G371" t="inlineStr">
        <is>
          <t>HÖGSBY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42705-2026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46309</v>
      </c>
      <c r="E372" s="1" t="n">
        <v>46314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46266</v>
      </c>
      <c r="E373" s="1" t="n">
        <v>46314</v>
      </c>
      <c r="F373" t="inlineStr">
        <is>
          <t>KALMAR LÄN</t>
        </is>
      </c>
      <c r="G373" t="inlineStr">
        <is>
          <t>HÖGSBY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42718-2026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46309</v>
      </c>
      <c r="E374" s="1" t="n">
        <v>46314</v>
      </c>
      <c r="F374" t="inlineStr">
        <is>
          <t>KALMAR LÄN</t>
        </is>
      </c>
      <c r="G374" t="inlineStr">
        <is>
          <t>HÖGSBY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35873-2026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46266</v>
      </c>
      <c r="E375" s="1" t="n">
        <v>46314</v>
      </c>
      <c r="F375" t="inlineStr">
        <is>
          <t>KALMAR LÄN</t>
        </is>
      </c>
      <c r="G375" t="inlineStr">
        <is>
          <t>HÖGSBY</t>
        </is>
      </c>
      <c r="I375" t="n">
        <v>9.6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35910-2026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46314</v>
      </c>
      <c r="F376" t="inlineStr">
        <is>
          <t>KALMAR LÄN</t>
        </is>
      </c>
      <c r="G376" t="inlineStr">
        <is>
          <t>HÖGSBY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42710-2026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46309</v>
      </c>
      <c r="E377" s="1" t="n">
        <v>46314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42823-2026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46309</v>
      </c>
      <c r="E378" s="1" t="n">
        <v>46314</v>
      </c>
      <c r="F378" t="inlineStr">
        <is>
          <t>KALMAR LÄN</t>
        </is>
      </c>
      <c r="G378" t="inlineStr">
        <is>
          <t>HÖGSBY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42708-2026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46309</v>
      </c>
      <c r="E379" s="1" t="n">
        <v>46314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46310</v>
      </c>
      <c r="E380" s="1" t="n">
        <v>46314</v>
      </c>
      <c r="F380" t="inlineStr">
        <is>
          <t>KALMAR LÄN</t>
        </is>
      </c>
      <c r="G380" t="inlineStr">
        <is>
          <t>HÖGSBY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36258-2026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46268</v>
      </c>
      <c r="E381" s="1" t="n">
        <v>46314</v>
      </c>
      <c r="F381" t="inlineStr">
        <is>
          <t>KALMAR LÄN</t>
        </is>
      </c>
      <c r="G381" t="inlineStr">
        <is>
          <t>HÖGSBY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36200-2026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46267</v>
      </c>
      <c r="E382" s="1" t="n">
        <v>46314</v>
      </c>
      <c r="F382" t="inlineStr">
        <is>
          <t>KALMAR LÄN</t>
        </is>
      </c>
      <c r="G382" t="inlineStr">
        <is>
          <t>HÖGSBY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36442-2026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46269</v>
      </c>
      <c r="E383" s="1" t="n">
        <v>46314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43057-2026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46311</v>
      </c>
      <c r="E384" s="1" t="n">
        <v>46314</v>
      </c>
      <c r="F384" t="inlineStr">
        <is>
          <t>KALMAR LÄN</t>
        </is>
      </c>
      <c r="G384" t="inlineStr">
        <is>
          <t>HÖGSBY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36189-2026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46267</v>
      </c>
      <c r="E385" s="1" t="n">
        <v>46314</v>
      </c>
      <c r="F385" t="inlineStr">
        <is>
          <t>KALMAR LÄN</t>
        </is>
      </c>
      <c r="G385" t="inlineStr">
        <is>
          <t>HÖGSBY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46314</v>
      </c>
      <c r="F386" t="inlineStr">
        <is>
          <t>KALMAR LÄN</t>
        </is>
      </c>
      <c r="G386" t="inlineStr">
        <is>
          <t>HÖGSBY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36445-2026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46269</v>
      </c>
      <c r="E387" s="1" t="n">
        <v>46314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46311</v>
      </c>
      <c r="E388" s="1" t="n">
        <v>46314</v>
      </c>
      <c r="F388" t="inlineStr">
        <is>
          <t>KALMAR LÄN</t>
        </is>
      </c>
      <c r="G388" t="inlineStr">
        <is>
          <t>HÖGSBY</t>
        </is>
      </c>
      <c r="I388" t="n">
        <v>5.1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43054-2026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46311</v>
      </c>
      <c r="E389" s="1" t="n">
        <v>46314</v>
      </c>
      <c r="F389" t="inlineStr">
        <is>
          <t>KALMAR LÄN</t>
        </is>
      </c>
      <c r="G389" t="inlineStr">
        <is>
          <t>HÖGSBY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46311</v>
      </c>
      <c r="E390" s="1" t="n">
        <v>46314</v>
      </c>
      <c r="F390" t="inlineStr">
        <is>
          <t>KALMAR LÄN</t>
        </is>
      </c>
      <c r="G390" t="inlineStr">
        <is>
          <t>HÖGSBY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46310</v>
      </c>
      <c r="E391" s="1" t="n">
        <v>46314</v>
      </c>
      <c r="F391" t="inlineStr">
        <is>
          <t>KALMAR LÄN</t>
        </is>
      </c>
      <c r="G391" t="inlineStr">
        <is>
          <t>HÖGSBY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45847</v>
      </c>
      <c r="E392" s="1" t="n">
        <v>46314</v>
      </c>
      <c r="F392" t="inlineStr">
        <is>
          <t>KALMAR LÄN</t>
        </is>
      </c>
      <c r="G392" t="inlineStr">
        <is>
          <t>HÖGSBY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45847</v>
      </c>
      <c r="E393" s="1" t="n">
        <v>46314</v>
      </c>
      <c r="F393" t="inlineStr">
        <is>
          <t>KALMAR LÄN</t>
        </is>
      </c>
      <c r="G393" t="inlineStr">
        <is>
          <t>HÖGSBY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40135-2024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45554</v>
      </c>
      <c r="E394" s="1" t="n">
        <v>46314</v>
      </c>
      <c r="F394" t="inlineStr">
        <is>
          <t>KALMAR LÄN</t>
        </is>
      </c>
      <c r="G394" t="inlineStr">
        <is>
          <t>HÖGSBY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38068-2025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45882</v>
      </c>
      <c r="E395" s="1" t="n">
        <v>46314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513-2023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46314</v>
      </c>
      <c r="F396" t="inlineStr">
        <is>
          <t>KALMAR LÄN</t>
        </is>
      </c>
      <c r="G396" t="inlineStr">
        <is>
          <t>HÖGSBY</t>
        </is>
      </c>
      <c r="I396" t="n">
        <v>12.4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4463-2022</t>
        </is>
      </c>
      <c r="B397" t="inlineStr">
        <is>
          <t>samrådsanmälan</t>
        </is>
      </c>
      <c r="C397" t="inlineStr">
        <is>
          <t>Åtgärd i nyckelbiotop</t>
        </is>
      </c>
      <c r="D397" s="1" t="n">
        <v>44788</v>
      </c>
      <c r="E397" s="1" t="n">
        <v>46314</v>
      </c>
      <c r="F397" t="inlineStr">
        <is>
          <t>KALMAR LÄN</t>
        </is>
      </c>
      <c r="G397" t="inlineStr">
        <is>
          <t>HÖGSBY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3208-2024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45524</v>
      </c>
      <c r="E398" s="1" t="n">
        <v>46314</v>
      </c>
      <c r="F398" t="inlineStr">
        <is>
          <t>KALMAR LÄN</t>
        </is>
      </c>
      <c r="G398" t="inlineStr">
        <is>
          <t>HÖGSBY</t>
        </is>
      </c>
      <c r="I398" t="n">
        <v>23.3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7006-2022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44903</v>
      </c>
      <c r="E399" s="1" t="n">
        <v>46314</v>
      </c>
      <c r="F399" t="inlineStr">
        <is>
          <t>KALMAR LÄN</t>
        </is>
      </c>
      <c r="G399" t="inlineStr">
        <is>
          <t>HÖGSBY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514-2023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44966</v>
      </c>
      <c r="E400" s="1" t="n">
        <v>46314</v>
      </c>
      <c r="F400" t="inlineStr">
        <is>
          <t>KALMAR LÄN</t>
        </is>
      </c>
      <c r="G400" t="inlineStr">
        <is>
          <t>HÖGSBY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512-2023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46314</v>
      </c>
      <c r="F401" t="inlineStr">
        <is>
          <t>KALMAR LÄN</t>
        </is>
      </c>
      <c r="G401" t="inlineStr">
        <is>
          <t>HÖGSBY</t>
        </is>
      </c>
      <c r="I401" t="n">
        <v>8.5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2564-2023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45140</v>
      </c>
      <c r="E402" s="1" t="n">
        <v>46314</v>
      </c>
      <c r="F402" t="inlineStr">
        <is>
          <t>KALMAR LÄN</t>
        </is>
      </c>
      <c r="G402" t="inlineStr">
        <is>
          <t>HÖGSBY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2563-2023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45140</v>
      </c>
      <c r="E403" s="1" t="n">
        <v>46314</v>
      </c>
      <c r="F403" t="inlineStr">
        <is>
          <t>KALMAR LÄN</t>
        </is>
      </c>
      <c r="G403" t="inlineStr">
        <is>
          <t>HÖGSBY</t>
        </is>
      </c>
      <c r="I403" t="n">
        <v>28.7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566-2022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44592</v>
      </c>
      <c r="E404" s="1" t="n">
        <v>46314</v>
      </c>
      <c r="F404" t="inlineStr">
        <is>
          <t>KALMAR LÄN</t>
        </is>
      </c>
      <c r="G404" t="inlineStr">
        <is>
          <t>HÖGSBY</t>
        </is>
      </c>
      <c r="I404" t="n">
        <v>15.1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5035-2024</t>
        </is>
      </c>
      <c r="B405" t="inlineStr">
        <is>
          <t>samrådsanmälan</t>
        </is>
      </c>
      <c r="C405" t="inlineStr">
        <is>
          <t>Stubbskörd</t>
        </is>
      </c>
      <c r="D405" s="1" t="n">
        <v>45636</v>
      </c>
      <c r="E405" s="1" t="n">
        <v>46314</v>
      </c>
      <c r="F405" t="inlineStr">
        <is>
          <t>KALMAR LÄN</t>
        </is>
      </c>
      <c r="G405" t="inlineStr">
        <is>
          <t>HÖGSBY</t>
        </is>
      </c>
      <c r="I405" t="n">
        <v>14.2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561-2022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44592</v>
      </c>
      <c r="E406" s="1" t="n">
        <v>46314</v>
      </c>
      <c r="F406" t="inlineStr">
        <is>
          <t>KALMAR LÄN</t>
        </is>
      </c>
      <c r="G406" t="inlineStr">
        <is>
          <t>HÖGSBY</t>
        </is>
      </c>
      <c r="I406" t="n">
        <v>30.3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2021-2025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45835</v>
      </c>
      <c r="E407" s="1" t="n">
        <v>46314</v>
      </c>
      <c r="F407" t="inlineStr">
        <is>
          <t>KALMAR LÄN</t>
        </is>
      </c>
      <c r="G407" t="inlineStr">
        <is>
          <t>HÖGSBY</t>
        </is>
      </c>
      <c r="I407" t="n">
        <v>8.5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379-2023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44958</v>
      </c>
      <c r="E408" s="1" t="n">
        <v>46314</v>
      </c>
      <c r="F408" t="inlineStr">
        <is>
          <t>KALMAR LÄN</t>
        </is>
      </c>
      <c r="G408" t="inlineStr">
        <is>
          <t>HÖGSBY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351-2023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44958</v>
      </c>
      <c r="E409" s="1" t="n">
        <v>46314</v>
      </c>
      <c r="F409" t="inlineStr">
        <is>
          <t>KALMAR LÄN</t>
        </is>
      </c>
      <c r="G409" t="inlineStr">
        <is>
          <t>HÖGSBY</t>
        </is>
      </c>
      <c r="I409" t="n">
        <v>21.3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2809-2025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45938</v>
      </c>
      <c r="E410" s="1" t="n">
        <v>46314</v>
      </c>
      <c r="F410" t="inlineStr">
        <is>
          <t>KALMAR LÄN</t>
        </is>
      </c>
      <c r="G410" t="inlineStr">
        <is>
          <t>HÖGSBY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1031-2026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46125</v>
      </c>
      <c r="E411" s="1" t="n">
        <v>46314</v>
      </c>
      <c r="F411" t="inlineStr">
        <is>
          <t>KALMAR LÄN</t>
        </is>
      </c>
      <c r="G411" t="inlineStr">
        <is>
          <t>HÖGSBY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1417-2026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46155</v>
      </c>
      <c r="E412" s="1" t="n">
        <v>46314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1418-2026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46155</v>
      </c>
      <c r="E413" s="1" t="n">
        <v>46314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1846-2026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46198</v>
      </c>
      <c r="E414" s="1" t="n">
        <v>46314</v>
      </c>
      <c r="F414" t="inlineStr">
        <is>
          <t>KALMAR LÄN</t>
        </is>
      </c>
      <c r="G414" t="inlineStr">
        <is>
          <t>HÖGSBY</t>
        </is>
      </c>
      <c r="H414" t="inlineStr">
        <is>
          <t>Sveaskog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1848-2026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46198</v>
      </c>
      <c r="E415" s="1" t="n">
        <v>46314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1847-2026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46198</v>
      </c>
      <c r="E416" s="1" t="n">
        <v>46314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1866-2026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46199</v>
      </c>
      <c r="E417" s="1" t="n">
        <v>46314</v>
      </c>
      <c r="F417" t="inlineStr">
        <is>
          <t>KALMAR LÄN</t>
        </is>
      </c>
      <c r="G417" t="inlineStr">
        <is>
          <t>HÖGSBY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1938-2026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46203</v>
      </c>
      <c r="E418" s="1" t="n">
        <v>46314</v>
      </c>
      <c r="F418" t="inlineStr">
        <is>
          <t>KALMAR LÄN</t>
        </is>
      </c>
      <c r="G418" t="inlineStr">
        <is>
          <t>HÖGSBY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2165-2026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46251</v>
      </c>
      <c r="E419" s="1" t="n">
        <v>46314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>
      <c r="A420" t="inlineStr">
        <is>
          <t>S 2589-2026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46297</v>
      </c>
      <c r="E420" s="1" t="n">
        <v>46314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2026-10-19T02:05:02Z</dcterms:created>
  <dcterms:modified xmlns:dcterms="http://purl.org/dc/terms/" xmlns:xsi="http://www.w3.org/2001/XMLSchema-instance" xsi:type="dcterms:W3CDTF">2026-10-19T02:05:02Z</dcterms:modified>
</cp:coreProperties>
</file>