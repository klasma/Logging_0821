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46318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46318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46318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46318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46318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46318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46318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46318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46318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46318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46318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46318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46318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46318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46318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46318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46318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46318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46318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46318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42286-2026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46318</v>
      </c>
      <c r="F26" t="inlineStr">
        <is>
          <t>KALMAR LÄN</t>
        </is>
      </c>
      <c r="G26" t="inlineStr">
        <is>
          <t>HÖGSBY</t>
        </is>
      </c>
      <c r="I26" t="n">
        <v>2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Backsippa
Backklöver
Gullviva</t>
        </is>
      </c>
      <c r="W26">
        <f>HYPERLINK("https://klasma.github.io/Logging_0821/artfynd/A 42286-2026 artfynd.xlsx", "A 42286-2026")</f>
        <v/>
      </c>
      <c r="X26">
        <f>HYPERLINK("https://klasma.github.io/Logging_0821/kartor/A 42286-2026 karta.png", "A 42286-2026")</f>
        <v/>
      </c>
      <c r="Y26">
        <f>HYPERLINK("https://klasma.github.io/Logging_0821/kartor_geotiff/A 42286-2026 georefererad karta.tif", "A 42286-2026")</f>
        <v/>
      </c>
      <c r="AA26">
        <f>HYPERLINK("https://klasma.github.io/Logging_0821/klagomål/A 42286-2026 FSC-klagomål.docx", "A 42286-2026")</f>
        <v/>
      </c>
      <c r="AB26">
        <f>HYPERLINK("https://klasma.github.io/Logging_0821/klagomålsmail/A 42286-2026 FSC-klagomål mail.docx", "A 42286-2026")</f>
        <v/>
      </c>
      <c r="AC26">
        <f>HYPERLINK("https://klasma.github.io/Logging_0821/tillsyn/A 42286-2026 tillsynsbegäran.docx", "A 42286-2026")</f>
        <v/>
      </c>
      <c r="AD26">
        <f>HYPERLINK("https://klasma.github.io/Logging_0821/tillsynsmail/A 42286-2026 tillsynsbegäran mail.docx", "A 42286-2026")</f>
        <v/>
      </c>
    </row>
    <row r="27" ht="15" customHeight="1">
      <c r="A27" t="inlineStr">
        <is>
          <t>A 9384-2024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46318</v>
      </c>
      <c r="F27" t="inlineStr">
        <is>
          <t>KALMAR LÄN</t>
        </is>
      </c>
      <c r="G27" t="inlineStr">
        <is>
          <t>HÖGSBY</t>
        </is>
      </c>
      <c r="I27" t="n">
        <v>0.7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Fjällig taggsvamp s.str.
Gultoppig fingersvamp
Skarp dropptaggsvamp</t>
        </is>
      </c>
      <c r="W27">
        <f>HYPERLINK("https://klasma.github.io/Logging_0821/artfynd/A 9384-2024 artfynd.xlsx", "A 9384-2024")</f>
        <v/>
      </c>
      <c r="X27">
        <f>HYPERLINK("https://klasma.github.io/Logging_0821/kartor/A 9384-2024 karta.png", "A 9384-2024")</f>
        <v/>
      </c>
      <c r="Y27">
        <f>HYPERLINK("https://klasma.github.io/Logging_0821/kartor_geotiff/A 9384-2024 georefererad karta.tif", "A 9384-2024")</f>
        <v/>
      </c>
      <c r="AA27">
        <f>HYPERLINK("https://klasma.github.io/Logging_0821/klagomål/A 9384-2024 FSC-klagomål.docx", "A 9384-2024")</f>
        <v/>
      </c>
      <c r="AB27">
        <f>HYPERLINK("https://klasma.github.io/Logging_0821/klagomålsmail/A 9384-2024 FSC-klagomål mail.docx", "A 9384-2024")</f>
        <v/>
      </c>
      <c r="AC27">
        <f>HYPERLINK("https://klasma.github.io/Logging_0821/tillsyn/A 9384-2024 tillsynsbegäran.docx", "A 9384-2024")</f>
        <v/>
      </c>
      <c r="AD27">
        <f>HYPERLINK("https://klasma.github.io/Logging_0821/tillsynsmail/A 9384-2024 tillsynsbegäran mail.docx", "A 9384-2024")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46318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46318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46318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46318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46318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46318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62371-2023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46318</v>
      </c>
      <c r="F34" t="inlineStr">
        <is>
          <t>KALMAR LÄN</t>
        </is>
      </c>
      <c r="G34" t="inlineStr">
        <is>
          <t>HÖGSBY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Spillkråka</t>
        </is>
      </c>
      <c r="W34">
        <f>HYPERLINK("https://klasma.github.io/Logging_0821/artfynd/A 62371-2023 artfynd.xlsx", "A 62371-2023")</f>
        <v/>
      </c>
      <c r="X34">
        <f>HYPERLINK("https://klasma.github.io/Logging_0821/kartor/A 62371-2023 karta.png", "A 62371-2023")</f>
        <v/>
      </c>
      <c r="Y34">
        <f>HYPERLINK("https://klasma.github.io/Logging_0821/kartor_geotiff/A 62371-2023 georefererad karta.tif", "A 62371-2023")</f>
        <v/>
      </c>
      <c r="Z34">
        <f>HYPERLINK("https://klasma.github.io/Logging_0821/knärot/A 62371-2023 karta knärot.png", "A 62371-2023")</f>
        <v/>
      </c>
      <c r="AA34">
        <f>HYPERLINK("https://klasma.github.io/Logging_0821/klagomål/A 62371-2023 FSC-klagomål.docx", "A 62371-2023")</f>
        <v/>
      </c>
      <c r="AB34">
        <f>HYPERLINK("https://klasma.github.io/Logging_0821/klagomålsmail/A 62371-2023 FSC-klagomål mail.docx", "A 62371-2023")</f>
        <v/>
      </c>
      <c r="AC34">
        <f>HYPERLINK("https://klasma.github.io/Logging_0821/tillsyn/A 62371-2023 tillsynsbegäran.docx", "A 62371-2023")</f>
        <v/>
      </c>
      <c r="AD34">
        <f>HYPERLINK("https://klasma.github.io/Logging_0821/tillsynsmail/A 62371-2023 tillsynsbegäran mail.docx", "A 62371-2023")</f>
        <v/>
      </c>
      <c r="AE34">
        <f>HYPERLINK("https://klasma.github.io/Logging_0821/fåglar/A 62371-2023 prioriterade fågelarter.docx", "A 62371-2023")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46318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46318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30203-2023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45110</v>
      </c>
      <c r="E37" s="1" t="n">
        <v>46318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3.4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6</v>
      </c>
      <c r="U37" t="n">
        <v>1</v>
      </c>
      <c r="V37" s="2" t="inlineStr">
        <is>
          <t>Mistel
Gullviva</t>
        </is>
      </c>
      <c r="W37">
        <f>HYPERLINK("https://klasma.github.io/Logging_0821/artfynd/A 30203-2023 artfynd.xlsx", "A 30203-2023")</f>
        <v/>
      </c>
      <c r="X37">
        <f>HYPERLINK("https://klasma.github.io/Logging_0821/kartor/A 30203-2023 karta.png", "A 30203-2023")</f>
        <v/>
      </c>
      <c r="Y37">
        <f>HYPERLINK("https://klasma.github.io/Logging_0821/kartor_geotiff/A 30203-2023 georefererad karta.tif", "A 30203-2023")</f>
        <v/>
      </c>
      <c r="AA37">
        <f>HYPERLINK("https://klasma.github.io/Logging_0821/klagomål/A 30203-2023 FSC-klagomål.docx", "A 30203-2023")</f>
        <v/>
      </c>
      <c r="AB37">
        <f>HYPERLINK("https://klasma.github.io/Logging_0821/klagomålsmail/A 30203-2023 FSC-klagomål mail.docx", "A 30203-2023")</f>
        <v/>
      </c>
      <c r="AC37">
        <f>HYPERLINK("https://klasma.github.io/Logging_0821/tillsyn/A 30203-2023 tillsynsbegäran.docx", "A 30203-2023")</f>
        <v/>
      </c>
      <c r="AD37">
        <f>HYPERLINK("https://klasma.github.io/Logging_0821/tillsynsmail/A 30203-2023 tillsynsbegäran mail.docx", "A 30203-2023")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46318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46318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46318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46318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59700-2023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45256</v>
      </c>
      <c r="E42" s="1" t="n">
        <v>46318</v>
      </c>
      <c r="F42" t="inlineStr">
        <is>
          <t>KALMAR LÄN</t>
        </is>
      </c>
      <c r="G42" t="inlineStr">
        <is>
          <t>HÖGSBY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59700-2023 artfynd.xlsx", "A 59700-2023")</f>
        <v/>
      </c>
      <c r="X42">
        <f>HYPERLINK("https://klasma.github.io/Logging_0821/kartor/A 59700-2023 karta.png", "A 59700-2023")</f>
        <v/>
      </c>
      <c r="Y42">
        <f>HYPERLINK("https://klasma.github.io/Logging_0821/kartor_geotiff/A 59700-2023 georefererad karta.tif", "A 59700-2023")</f>
        <v/>
      </c>
      <c r="AA42">
        <f>HYPERLINK("https://klasma.github.io/Logging_0821/klagomål/A 59700-2023 FSC-klagomål.docx", "A 59700-2023")</f>
        <v/>
      </c>
      <c r="AB42">
        <f>HYPERLINK("https://klasma.github.io/Logging_0821/klagomålsmail/A 59700-2023 FSC-klagomål mail.docx", "A 59700-2023")</f>
        <v/>
      </c>
      <c r="AC42">
        <f>HYPERLINK("https://klasma.github.io/Logging_0821/tillsyn/A 59700-2023 tillsynsbegäran.docx", "A 59700-2023")</f>
        <v/>
      </c>
      <c r="AD42">
        <f>HYPERLINK("https://klasma.github.io/Logging_0821/tillsynsmail/A 59700-2023 tillsynsbegäran mail.docx", "A 59700-2023")</f>
        <v/>
      </c>
      <c r="AE42">
        <f>HYPERLINK("https://klasma.github.io/Logging_0821/fåglar/A 59700-2023 prioriterade fågelarter.docx", "A 59700-2023")</f>
        <v/>
      </c>
    </row>
    <row r="43" ht="15" customHeight="1">
      <c r="A43" t="inlineStr">
        <is>
          <t>A 35072-2023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46318</v>
      </c>
      <c r="F43" t="inlineStr">
        <is>
          <t>KALMAR LÄN</t>
        </is>
      </c>
      <c r="G43" t="inlineStr">
        <is>
          <t>HÖGSBY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35072-2023 artfynd.xlsx", "A 35072-2023")</f>
        <v/>
      </c>
      <c r="X43">
        <f>HYPERLINK("https://klasma.github.io/Logging_0821/kartor/A 35072-2023 karta.png", "A 35072-2023")</f>
        <v/>
      </c>
      <c r="Y43">
        <f>HYPERLINK("https://klasma.github.io/Logging_0821/kartor_geotiff/A 35072-2023 georefererad karta.tif", "A 35072-2023")</f>
        <v/>
      </c>
      <c r="AA43">
        <f>HYPERLINK("https://klasma.github.io/Logging_0821/klagomål/A 35072-2023 FSC-klagomål.docx", "A 35072-2023")</f>
        <v/>
      </c>
      <c r="AB43">
        <f>HYPERLINK("https://klasma.github.io/Logging_0821/klagomålsmail/A 35072-2023 FSC-klagomål mail.docx", "A 35072-2023")</f>
        <v/>
      </c>
      <c r="AC43">
        <f>HYPERLINK("https://klasma.github.io/Logging_0821/tillsyn/A 35072-2023 tillsynsbegäran.docx", "A 35072-2023")</f>
        <v/>
      </c>
      <c r="AD43">
        <f>HYPERLINK("https://klasma.github.io/Logging_0821/tillsynsmail/A 35072-2023 tillsynsbegäran mail.docx", "A 35072-2023")</f>
        <v/>
      </c>
    </row>
    <row r="44" ht="15" customHeight="1">
      <c r="A44" t="inlineStr">
        <is>
          <t>A 38802-2024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45547</v>
      </c>
      <c r="E44" s="1" t="n">
        <v>46318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38802-2024 artfynd.xlsx", "A 38802-2024")</f>
        <v/>
      </c>
      <c r="X44">
        <f>HYPERLINK("https://klasma.github.io/Logging_0821/kartor/A 38802-2024 karta.png", "A 38802-2024")</f>
        <v/>
      </c>
      <c r="Y44">
        <f>HYPERLINK("https://klasma.github.io/Logging_0821/kartor_geotiff/A 38802-2024 georefererad karta.tif", "A 38802-2024")</f>
        <v/>
      </c>
      <c r="AA44">
        <f>HYPERLINK("https://klasma.github.io/Logging_0821/klagomål/A 38802-2024 FSC-klagomål.docx", "A 38802-2024")</f>
        <v/>
      </c>
      <c r="AB44">
        <f>HYPERLINK("https://klasma.github.io/Logging_0821/klagomålsmail/A 38802-2024 FSC-klagomål mail.docx", "A 38802-2024")</f>
        <v/>
      </c>
      <c r="AC44">
        <f>HYPERLINK("https://klasma.github.io/Logging_0821/tillsyn/A 38802-2024 tillsynsbegäran.docx", "A 38802-2024")</f>
        <v/>
      </c>
      <c r="AD44">
        <f>HYPERLINK("https://klasma.github.io/Logging_0821/tillsynsmail/A 38802-2024 tillsynsbegäran mail.docx", "A 38802-2024")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46318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46318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52177-2022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46318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Nordfladdermus</t>
        </is>
      </c>
      <c r="W47">
        <f>HYPERLINK("https://klasma.github.io/Logging_0821/artfynd/A 52177-2022 artfynd.xlsx", "A 52177-2022")</f>
        <v/>
      </c>
      <c r="X47">
        <f>HYPERLINK("https://klasma.github.io/Logging_0821/kartor/A 52177-2022 karta.png", "A 52177-2022")</f>
        <v/>
      </c>
      <c r="Y47">
        <f>HYPERLINK("https://klasma.github.io/Logging_0821/kartor_geotiff/A 52177-2022 georefererad karta.tif", "A 52177-2022")</f>
        <v/>
      </c>
      <c r="AA47">
        <f>HYPERLINK("https://klasma.github.io/Logging_0821/klagomål/A 52177-2022 FSC-klagomål.docx", "A 52177-2022")</f>
        <v/>
      </c>
      <c r="AB47">
        <f>HYPERLINK("https://klasma.github.io/Logging_0821/klagomålsmail/A 52177-2022 FSC-klagomål mail.docx", "A 52177-2022")</f>
        <v/>
      </c>
      <c r="AC47">
        <f>HYPERLINK("https://klasma.github.io/Logging_0821/tillsyn/A 52177-2022 tillsynsbegäran.docx", "A 52177-2022")</f>
        <v/>
      </c>
      <c r="AD47">
        <f>HYPERLINK("https://klasma.github.io/Logging_0821/tillsynsmail/A 52177-2022 tillsynsbegäran mail.docx", "A 52177-2022")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46318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22757-2026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46318</v>
      </c>
      <c r="F49" t="inlineStr">
        <is>
          <t>KALMAR LÄN</t>
        </is>
      </c>
      <c r="G49" t="inlineStr">
        <is>
          <t>HÖGSBY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Blåsippa</t>
        </is>
      </c>
      <c r="W49">
        <f>HYPERLINK("https://klasma.github.io/Logging_0821/artfynd/A 22757-2026 artfynd.xlsx", "A 22757-2026")</f>
        <v/>
      </c>
      <c r="X49">
        <f>HYPERLINK("https://klasma.github.io/Logging_0821/kartor/A 22757-2026 karta.png", "A 22757-2026")</f>
        <v/>
      </c>
      <c r="Y49">
        <f>HYPERLINK("https://klasma.github.io/Logging_0821/kartor_geotiff/A 22757-2026 georefererad karta.tif", "A 22757-2026")</f>
        <v/>
      </c>
      <c r="AA49">
        <f>HYPERLINK("https://klasma.github.io/Logging_0821/klagomål/A 22757-2026 FSC-klagomål.docx", "A 22757-2026")</f>
        <v/>
      </c>
      <c r="AB49">
        <f>HYPERLINK("https://klasma.github.io/Logging_0821/klagomålsmail/A 22757-2026 FSC-klagomål mail.docx", "A 22757-2026")</f>
        <v/>
      </c>
      <c r="AC49">
        <f>HYPERLINK("https://klasma.github.io/Logging_0821/tillsyn/A 22757-2026 tillsynsbegäran.docx", "A 22757-2026")</f>
        <v/>
      </c>
      <c r="AD49">
        <f>HYPERLINK("https://klasma.github.io/Logging_0821/tillsynsmail/A 22757-2026 tillsynsbegäran mail.docx", "A 22757-2026")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46318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46318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19519-2025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45770</v>
      </c>
      <c r="E52" s="1" t="n">
        <v>46318</v>
      </c>
      <c r="F52" t="inlineStr">
        <is>
          <t>KALMAR LÄN</t>
        </is>
      </c>
      <c r="G52" t="inlineStr">
        <is>
          <t>HÖGSBY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HYPERLINK("https://klasma.github.io/Logging_0821/artfynd/A 19519-2025 artfynd.xlsx", "A 19519-2025")</f>
        <v/>
      </c>
      <c r="X52">
        <f>HYPERLINK("https://klasma.github.io/Logging_0821/kartor/A 19519-2025 karta.png", "A 19519-2025")</f>
        <v/>
      </c>
      <c r="Y52">
        <f>HYPERLINK("https://klasma.github.io/Logging_0821/kartor_geotiff/A 19519-2025 georefererad karta.tif", "A 19519-2025")</f>
        <v/>
      </c>
      <c r="AA52">
        <f>HYPERLINK("https://klasma.github.io/Logging_0821/klagomål/A 19519-2025 FSC-klagomål.docx", "A 19519-2025")</f>
        <v/>
      </c>
      <c r="AB52">
        <f>HYPERLINK("https://klasma.github.io/Logging_0821/klagomålsmail/A 19519-2025 FSC-klagomål mail.docx", "A 19519-2025")</f>
        <v/>
      </c>
      <c r="AC52">
        <f>HYPERLINK("https://klasma.github.io/Logging_0821/tillsyn/A 19519-2025 tillsynsbegäran.docx", "A 19519-2025")</f>
        <v/>
      </c>
      <c r="AD52">
        <f>HYPERLINK("https://klasma.github.io/Logging_0821/tillsynsmail/A 19519-2025 tillsynsbegäran mail.docx", "A 19519-2025")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46318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38596-2024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45546</v>
      </c>
      <c r="E54" s="1" t="n">
        <v>46318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Brandticka</t>
        </is>
      </c>
      <c r="W54">
        <f>HYPERLINK("https://klasma.github.io/Logging_0821/artfynd/A 38596-2024 artfynd.xlsx", "A 38596-2024")</f>
        <v/>
      </c>
      <c r="X54">
        <f>HYPERLINK("https://klasma.github.io/Logging_0821/kartor/A 38596-2024 karta.png", "A 38596-2024")</f>
        <v/>
      </c>
      <c r="Y54">
        <f>HYPERLINK("https://klasma.github.io/Logging_0821/kartor_geotiff/A 38596-2024 georefererad karta.tif", "A 38596-2024")</f>
        <v/>
      </c>
      <c r="AA54">
        <f>HYPERLINK("https://klasma.github.io/Logging_0821/klagomål/A 38596-2024 FSC-klagomål.docx", "A 38596-2024")</f>
        <v/>
      </c>
      <c r="AB54">
        <f>HYPERLINK("https://klasma.github.io/Logging_0821/klagomålsmail/A 38596-2024 FSC-klagomål mail.docx", "A 38596-2024")</f>
        <v/>
      </c>
      <c r="AC54">
        <f>HYPERLINK("https://klasma.github.io/Logging_0821/tillsyn/A 38596-2024 tillsynsbegäran.docx", "A 38596-2024")</f>
        <v/>
      </c>
      <c r="AD54">
        <f>HYPERLINK("https://klasma.github.io/Logging_0821/tillsynsmail/A 38596-2024 tillsynsbegäran mail.docx", "A 38596-2024")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46318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46318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46318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46318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19463-2026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46129</v>
      </c>
      <c r="E59" s="1" t="n">
        <v>46318</v>
      </c>
      <c r="F59" t="inlineStr">
        <is>
          <t>KALMAR LÄN</t>
        </is>
      </c>
      <c r="G59" t="inlineStr">
        <is>
          <t>HÖGSBY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HYPERLINK("https://klasma.github.io/Logging_0821/artfynd/A 19463-2026 artfynd.xlsx", "A 19463-2026")</f>
        <v/>
      </c>
      <c r="X59">
        <f>HYPERLINK("https://klasma.github.io/Logging_0821/kartor/A 19463-2026 karta.png", "A 19463-2026")</f>
        <v/>
      </c>
      <c r="Y59">
        <f>HYPERLINK("https://klasma.github.io/Logging_0821/kartor_geotiff/A 19463-2026 georefererad karta.tif", "A 19463-2026")</f>
        <v/>
      </c>
      <c r="AA59">
        <f>HYPERLINK("https://klasma.github.io/Logging_0821/klagomål/A 19463-2026 FSC-klagomål.docx", "A 19463-2026")</f>
        <v/>
      </c>
      <c r="AB59">
        <f>HYPERLINK("https://klasma.github.io/Logging_0821/klagomålsmail/A 19463-2026 FSC-klagomål mail.docx", "A 19463-2026")</f>
        <v/>
      </c>
      <c r="AC59">
        <f>HYPERLINK("https://klasma.github.io/Logging_0821/tillsyn/A 19463-2026 tillsynsbegäran.docx", "A 19463-2026")</f>
        <v/>
      </c>
      <c r="AD59">
        <f>HYPERLINK("https://klasma.github.io/Logging_0821/tillsynsmail/A 19463-2026 tillsynsbegäran mail.docx", "A 19463-2026")</f>
        <v/>
      </c>
    </row>
    <row r="60" ht="15" customHeight="1">
      <c r="A60" t="inlineStr">
        <is>
          <t>A 19536-2026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46318</v>
      </c>
      <c r="F60" t="inlineStr">
        <is>
          <t>KALMAR LÄN</t>
        </is>
      </c>
      <c r="G60" t="inlineStr">
        <is>
          <t>HÖGSBY</t>
        </is>
      </c>
      <c r="I60" t="n">
        <v>4.7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HYPERLINK("https://klasma.github.io/Logging_0821/artfynd/A 19536-2026 artfynd.xlsx", "A 19536-2026")</f>
        <v/>
      </c>
      <c r="X60">
        <f>HYPERLINK("https://klasma.github.io/Logging_0821/kartor/A 19536-2026 karta.png", "A 19536-2026")</f>
        <v/>
      </c>
      <c r="Y60">
        <f>HYPERLINK("https://klasma.github.io/Logging_0821/kartor_geotiff/A 19536-2026 georefererad karta.tif", "A 19536-2026")</f>
        <v/>
      </c>
      <c r="AA60">
        <f>HYPERLINK("https://klasma.github.io/Logging_0821/klagomål/A 19536-2026 FSC-klagomål.docx", "A 19536-2026")</f>
        <v/>
      </c>
      <c r="AB60">
        <f>HYPERLINK("https://klasma.github.io/Logging_0821/klagomålsmail/A 19536-2026 FSC-klagomål mail.docx", "A 19536-2026")</f>
        <v/>
      </c>
      <c r="AC60">
        <f>HYPERLINK("https://klasma.github.io/Logging_0821/tillsyn/A 19536-2026 tillsynsbegäran.docx", "A 19536-2026")</f>
        <v/>
      </c>
      <c r="AD60">
        <f>HYPERLINK("https://klasma.github.io/Logging_0821/tillsynsmail/A 19536-2026 tillsynsbegäran mail.docx", "A 19536-2026")</f>
        <v/>
      </c>
      <c r="AE60">
        <f>HYPERLINK("https://klasma.github.io/Logging_0821/fåglar/A 19536-2026 prioriterade fågelarter.docx", "A 19536-2026")</f>
        <v/>
      </c>
    </row>
    <row r="61" ht="15" customHeight="1">
      <c r="A61" t="inlineStr">
        <is>
          <t>A 39491-2026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46289</v>
      </c>
      <c r="E61" s="1" t="n">
        <v>46318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HYPERLINK("https://klasma.github.io/Logging_0821/artfynd/A 39491-2026 artfynd.xlsx", "A 39491-2026")</f>
        <v/>
      </c>
      <c r="X61">
        <f>HYPERLINK("https://klasma.github.io/Logging_0821/kartor/A 39491-2026 karta.png", "A 39491-2026")</f>
        <v/>
      </c>
      <c r="Y61">
        <f>HYPERLINK("https://klasma.github.io/Logging_0821/kartor_geotiff/A 39491-2026 georefererad karta.tif", "A 39491-2026")</f>
        <v/>
      </c>
      <c r="AA61">
        <f>HYPERLINK("https://klasma.github.io/Logging_0821/klagomål/A 39491-2026 FSC-klagomål.docx", "A 39491-2026")</f>
        <v/>
      </c>
      <c r="AB61">
        <f>HYPERLINK("https://klasma.github.io/Logging_0821/klagomålsmail/A 39491-2026 FSC-klagomål mail.docx", "A 39491-2026")</f>
        <v/>
      </c>
      <c r="AC61">
        <f>HYPERLINK("https://klasma.github.io/Logging_0821/tillsyn/A 39491-2026 tillsynsbegäran.docx", "A 39491-2026")</f>
        <v/>
      </c>
      <c r="AD61">
        <f>HYPERLINK("https://klasma.github.io/Logging_0821/tillsynsmail/A 39491-2026 tillsynsbegäran mail.docx", "A 39491-2026")</f>
        <v/>
      </c>
    </row>
    <row r="62" ht="15" customHeight="1">
      <c r="A62" t="inlineStr">
        <is>
          <t>A 35075-2023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46318</v>
      </c>
      <c r="F62" t="inlineStr">
        <is>
          <t>KALMAR LÄN</t>
        </is>
      </c>
      <c r="G62" t="inlineStr">
        <is>
          <t>HÖGSBY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HYPERLINK("https://klasma.github.io/Logging_0821/artfynd/A 35075-2023 artfynd.xlsx", "A 35075-2023")</f>
        <v/>
      </c>
      <c r="X62">
        <f>HYPERLINK("https://klasma.github.io/Logging_0821/kartor/A 35075-2023 karta.png", "A 35075-2023")</f>
        <v/>
      </c>
      <c r="Y62">
        <f>HYPERLINK("https://klasma.github.io/Logging_0821/kartor_geotiff/A 35075-2023 georefererad karta.tif", "A 35075-2023")</f>
        <v/>
      </c>
      <c r="AA62">
        <f>HYPERLINK("https://klasma.github.io/Logging_0821/klagomål/A 35075-2023 FSC-klagomål.docx", "A 35075-2023")</f>
        <v/>
      </c>
      <c r="AB62">
        <f>HYPERLINK("https://klasma.github.io/Logging_0821/klagomålsmail/A 35075-2023 FSC-klagomål mail.docx", "A 35075-2023")</f>
        <v/>
      </c>
      <c r="AC62">
        <f>HYPERLINK("https://klasma.github.io/Logging_0821/tillsyn/A 35075-2023 tillsynsbegäran.docx", "A 35075-2023")</f>
        <v/>
      </c>
      <c r="AD62">
        <f>HYPERLINK("https://klasma.github.io/Logging_0821/tillsynsmail/A 35075-2023 tillsynsbegäran mail.docx", "A 35075-2023")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46318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46318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46318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46318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46318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46318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46318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46318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46318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46318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46318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46318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46318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46318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46318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46318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46318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46318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46318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46318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46318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46318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46318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46318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46318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46318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46318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46318</v>
      </c>
      <c r="F91" t="inlineStr">
        <is>
          <t>KALMAR LÄN</t>
        </is>
      </c>
      <c r="G91" t="inlineStr">
        <is>
          <t>HÖGSBY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44601</v>
      </c>
      <c r="E92" s="1" t="n">
        <v>46318</v>
      </c>
      <c r="F92" t="inlineStr">
        <is>
          <t>KALMAR LÄN</t>
        </is>
      </c>
      <c r="G92" t="inlineStr">
        <is>
          <t>HÖGSBY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46318</v>
      </c>
      <c r="F93" t="inlineStr">
        <is>
          <t>KALMAR LÄN</t>
        </is>
      </c>
      <c r="G93" t="inlineStr">
        <is>
          <t>HÖGSBY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46318</v>
      </c>
      <c r="F94" t="inlineStr">
        <is>
          <t>KALMAR LÄN</t>
        </is>
      </c>
      <c r="G94" t="inlineStr">
        <is>
          <t>HÖGSBY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44634</v>
      </c>
      <c r="E95" s="1" t="n">
        <v>46318</v>
      </c>
      <c r="F95" t="inlineStr">
        <is>
          <t>KALMAR LÄN</t>
        </is>
      </c>
      <c r="G95" t="inlineStr">
        <is>
          <t>HÖGSBY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46318</v>
      </c>
      <c r="F96" t="inlineStr">
        <is>
          <t>KALMAR LÄN</t>
        </is>
      </c>
      <c r="G96" t="inlineStr">
        <is>
          <t>HÖGSBY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44559</v>
      </c>
      <c r="E97" s="1" t="n">
        <v>46318</v>
      </c>
      <c r="F97" t="inlineStr">
        <is>
          <t>KALMAR LÄN</t>
        </is>
      </c>
      <c r="G97" t="inlineStr">
        <is>
          <t>HÖGSBY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46318</v>
      </c>
      <c r="F98" t="inlineStr">
        <is>
          <t>KALMAR LÄN</t>
        </is>
      </c>
      <c r="G98" t="inlineStr">
        <is>
          <t>HÖGSBY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38797-2024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45547</v>
      </c>
      <c r="E99" s="1" t="n">
        <v>46318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44607</v>
      </c>
      <c r="E100" s="1" t="n">
        <v>46318</v>
      </c>
      <c r="F100" t="inlineStr">
        <is>
          <t>KALMAR LÄN</t>
        </is>
      </c>
      <c r="G100" t="inlineStr">
        <is>
          <t>HÖGSBY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72059-2021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44542</v>
      </c>
      <c r="E101" s="1" t="n">
        <v>46318</v>
      </c>
      <c r="F101" t="inlineStr">
        <is>
          <t>KALMAR LÄN</t>
        </is>
      </c>
      <c r="G101" t="inlineStr">
        <is>
          <t>HÖGSBY</t>
        </is>
      </c>
      <c r="I101" t="n">
        <v>16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72066-2021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44542</v>
      </c>
      <c r="E102" s="1" t="n">
        <v>46318</v>
      </c>
      <c r="F102" t="inlineStr">
        <is>
          <t>KALMAR LÄN</t>
        </is>
      </c>
      <c r="G102" t="inlineStr">
        <is>
          <t>HÖGSBY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46318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45190</v>
      </c>
      <c r="E104" s="1" t="n">
        <v>46318</v>
      </c>
      <c r="F104" t="inlineStr">
        <is>
          <t>KALMAR LÄN</t>
        </is>
      </c>
      <c r="G104" t="inlineStr">
        <is>
          <t>HÖGSBY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46318</v>
      </c>
      <c r="F105" t="inlineStr">
        <is>
          <t>KALMAR LÄN</t>
        </is>
      </c>
      <c r="G105" t="inlineStr">
        <is>
          <t>HÖGSBY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46318</v>
      </c>
      <c r="F106" t="inlineStr">
        <is>
          <t>KALMAR LÄN</t>
        </is>
      </c>
      <c r="G106" t="inlineStr">
        <is>
          <t>HÖGSBY</t>
        </is>
      </c>
      <c r="H106" t="inlineStr">
        <is>
          <t>Kyrkan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46318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46318</v>
      </c>
      <c r="F108" t="inlineStr">
        <is>
          <t>KALMAR LÄN</t>
        </is>
      </c>
      <c r="G108" t="inlineStr">
        <is>
          <t>HÖGSBY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46318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46318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46318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46318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45058</v>
      </c>
      <c r="E113" s="1" t="n">
        <v>46318</v>
      </c>
      <c r="F113" t="inlineStr">
        <is>
          <t>KALMAR LÄN</t>
        </is>
      </c>
      <c r="G113" t="inlineStr">
        <is>
          <t>HÖGSBY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45015</v>
      </c>
      <c r="E114" s="1" t="n">
        <v>46318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25223-2022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46318</v>
      </c>
      <c r="F115" t="inlineStr">
        <is>
          <t>KALMAR LÄN</t>
        </is>
      </c>
      <c r="G115" t="inlineStr">
        <is>
          <t>HÖGSBY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46318</v>
      </c>
      <c r="F116" t="inlineStr">
        <is>
          <t>KALMAR LÄN</t>
        </is>
      </c>
      <c r="G116" t="inlineStr">
        <is>
          <t>HÖGSBY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44613</v>
      </c>
      <c r="E117" s="1" t="n">
        <v>46318</v>
      </c>
      <c r="F117" t="inlineStr">
        <is>
          <t>KALMAR LÄN</t>
        </is>
      </c>
      <c r="G117" t="inlineStr">
        <is>
          <t>HÖGSBY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45469</v>
      </c>
      <c r="E118" s="1" t="n">
        <v>46318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45688</v>
      </c>
      <c r="E119" s="1" t="n">
        <v>46318</v>
      </c>
      <c r="F119" t="inlineStr">
        <is>
          <t>KALMAR LÄN</t>
        </is>
      </c>
      <c r="G119" t="inlineStr">
        <is>
          <t>HÖGSBY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8108-2025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46318</v>
      </c>
      <c r="F120" t="inlineStr">
        <is>
          <t>KALMAR LÄN</t>
        </is>
      </c>
      <c r="G120" t="inlineStr">
        <is>
          <t>HÖGSBY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45348</v>
      </c>
      <c r="E121" s="1" t="n">
        <v>46318</v>
      </c>
      <c r="F121" t="inlineStr">
        <is>
          <t>KALMAR LÄN</t>
        </is>
      </c>
      <c r="G121" t="inlineStr">
        <is>
          <t>HÖGSBY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45194</v>
      </c>
      <c r="E122" s="1" t="n">
        <v>46318</v>
      </c>
      <c r="F122" t="inlineStr">
        <is>
          <t>KALMAR LÄN</t>
        </is>
      </c>
      <c r="G122" t="inlineStr">
        <is>
          <t>HÖGSBY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46318</v>
      </c>
      <c r="F123" t="inlineStr">
        <is>
          <t>KALMAR LÄN</t>
        </is>
      </c>
      <c r="G123" t="inlineStr">
        <is>
          <t>HÖGSBY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46318</v>
      </c>
      <c r="F124" t="inlineStr">
        <is>
          <t>KALMAR LÄN</t>
        </is>
      </c>
      <c r="G124" t="inlineStr">
        <is>
          <t>HÖGSBY</t>
        </is>
      </c>
      <c r="H124" t="inlineStr">
        <is>
          <t>Övriga Aktiebolag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44972</v>
      </c>
      <c r="E125" s="1" t="n">
        <v>46318</v>
      </c>
      <c r="F125" t="inlineStr">
        <is>
          <t>KALMAR LÄN</t>
        </is>
      </c>
      <c r="G125" t="inlineStr">
        <is>
          <t>HÖGSBY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46318</v>
      </c>
      <c r="F126" t="inlineStr">
        <is>
          <t>KALMAR LÄN</t>
        </is>
      </c>
      <c r="G126" t="inlineStr">
        <is>
          <t>HÖGSBY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46318</v>
      </c>
      <c r="F127" t="inlineStr">
        <is>
          <t>KALMAR LÄN</t>
        </is>
      </c>
      <c r="G127" t="inlineStr">
        <is>
          <t>HÖGSBY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46318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46318</v>
      </c>
      <c r="F129" t="inlineStr">
        <is>
          <t>KALMAR LÄN</t>
        </is>
      </c>
      <c r="G129" t="inlineStr">
        <is>
          <t>HÖGSBY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46318</v>
      </c>
      <c r="F130" t="inlineStr">
        <is>
          <t>KALMAR LÄN</t>
        </is>
      </c>
      <c r="G130" t="inlineStr">
        <is>
          <t>HÖGSBY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46318</v>
      </c>
      <c r="F131" t="inlineStr">
        <is>
          <t>KALMAR LÄN</t>
        </is>
      </c>
      <c r="G131" t="inlineStr">
        <is>
          <t>HÖGSBY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45126</v>
      </c>
      <c r="E132" s="1" t="n">
        <v>46318</v>
      </c>
      <c r="F132" t="inlineStr">
        <is>
          <t>KALMAR LÄN</t>
        </is>
      </c>
      <c r="G132" t="inlineStr">
        <is>
          <t>HÖGSBY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46318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46318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45114</v>
      </c>
      <c r="E135" s="1" t="n">
        <v>46318</v>
      </c>
      <c r="F135" t="inlineStr">
        <is>
          <t>KALMAR LÄN</t>
        </is>
      </c>
      <c r="G135" t="inlineStr">
        <is>
          <t>HÖGSBY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59281-2022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44904</v>
      </c>
      <c r="E136" s="1" t="n">
        <v>46318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46318</v>
      </c>
      <c r="F137" t="inlineStr">
        <is>
          <t>KALMAR LÄN</t>
        </is>
      </c>
      <c r="G137" t="inlineStr">
        <is>
          <t>HÖGSBY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46318</v>
      </c>
      <c r="F138" t="inlineStr">
        <is>
          <t>KALMAR LÄN</t>
        </is>
      </c>
      <c r="G138" t="inlineStr">
        <is>
          <t>HÖGSBY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46318</v>
      </c>
      <c r="F139" t="inlineStr">
        <is>
          <t>KALMAR LÄN</t>
        </is>
      </c>
      <c r="G139" t="inlineStr">
        <is>
          <t>HÖGSBY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46318</v>
      </c>
      <c r="F140" t="inlineStr">
        <is>
          <t>KALMAR LÄN</t>
        </is>
      </c>
      <c r="G140" t="inlineStr">
        <is>
          <t>HÖGSBY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46318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44601</v>
      </c>
      <c r="E142" s="1" t="n">
        <v>46318</v>
      </c>
      <c r="F142" t="inlineStr">
        <is>
          <t>KALMAR LÄN</t>
        </is>
      </c>
      <c r="G142" t="inlineStr">
        <is>
          <t>HÖGSBY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46318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45203</v>
      </c>
      <c r="E144" s="1" t="n">
        <v>46318</v>
      </c>
      <c r="F144" t="inlineStr">
        <is>
          <t>KALMAR LÄN</t>
        </is>
      </c>
      <c r="G144" t="inlineStr">
        <is>
          <t>HÖGSBY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45175</v>
      </c>
      <c r="E145" s="1" t="n">
        <v>46318</v>
      </c>
      <c r="F145" t="inlineStr">
        <is>
          <t>KALMAR LÄN</t>
        </is>
      </c>
      <c r="G145" t="inlineStr">
        <is>
          <t>HÖGSBY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37811-2024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45544</v>
      </c>
      <c r="E146" s="1" t="n">
        <v>46318</v>
      </c>
      <c r="F146" t="inlineStr">
        <is>
          <t>KALMAR LÄN</t>
        </is>
      </c>
      <c r="G146" t="inlineStr">
        <is>
          <t>HÖGSBY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38068-2025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45882</v>
      </c>
      <c r="E147" s="1" t="n">
        <v>46318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44866</v>
      </c>
      <c r="E148" s="1" t="n">
        <v>46318</v>
      </c>
      <c r="F148" t="inlineStr">
        <is>
          <t>KALMAR LÄN</t>
        </is>
      </c>
      <c r="G148" t="inlineStr">
        <is>
          <t>HÖGSBY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46318</v>
      </c>
      <c r="F149" t="inlineStr">
        <is>
          <t>KALMAR LÄN</t>
        </is>
      </c>
      <c r="G149" t="inlineStr">
        <is>
          <t>HÖGSBY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46318</v>
      </c>
      <c r="F150" t="inlineStr">
        <is>
          <t>KALMAR LÄN</t>
        </is>
      </c>
      <c r="G150" t="inlineStr">
        <is>
          <t>HÖGSBY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46318</v>
      </c>
      <c r="F151" t="inlineStr">
        <is>
          <t>KALMAR LÄN</t>
        </is>
      </c>
      <c r="G151" t="inlineStr">
        <is>
          <t>HÖGSBY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44496</v>
      </c>
      <c r="E152" s="1" t="n">
        <v>46318</v>
      </c>
      <c r="F152" t="inlineStr">
        <is>
          <t>KALMAR LÄN</t>
        </is>
      </c>
      <c r="G152" t="inlineStr">
        <is>
          <t>HÖGSBY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46318</v>
      </c>
      <c r="F153" t="inlineStr">
        <is>
          <t>KALMAR LÄN</t>
        </is>
      </c>
      <c r="G153" t="inlineStr">
        <is>
          <t>HÖGSBY</t>
        </is>
      </c>
      <c r="H153" t="inlineStr">
        <is>
          <t>Kommuner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46318</v>
      </c>
      <c r="F154" t="inlineStr">
        <is>
          <t>KALMAR LÄN</t>
        </is>
      </c>
      <c r="G154" t="inlineStr">
        <is>
          <t>HÖGSBY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46013</v>
      </c>
      <c r="E155" s="1" t="n">
        <v>46318</v>
      </c>
      <c r="F155" t="inlineStr">
        <is>
          <t>KALMAR LÄN</t>
        </is>
      </c>
      <c r="G155" t="inlineStr">
        <is>
          <t>HÖGSBY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45758</v>
      </c>
      <c r="E156" s="1" t="n">
        <v>46318</v>
      </c>
      <c r="F156" t="inlineStr">
        <is>
          <t>KALMAR LÄN</t>
        </is>
      </c>
      <c r="G156" t="inlineStr">
        <is>
          <t>HÖGSBY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44760</v>
      </c>
      <c r="E157" s="1" t="n">
        <v>46318</v>
      </c>
      <c r="F157" t="inlineStr">
        <is>
          <t>KALMAR LÄN</t>
        </is>
      </c>
      <c r="G157" t="inlineStr">
        <is>
          <t>HÖGSBY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46318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44879</v>
      </c>
      <c r="E159" s="1" t="n">
        <v>46318</v>
      </c>
      <c r="F159" t="inlineStr">
        <is>
          <t>KALMAR LÄN</t>
        </is>
      </c>
      <c r="G159" t="inlineStr">
        <is>
          <t>HÖGSBY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46318</v>
      </c>
      <c r="F160" t="inlineStr">
        <is>
          <t>KALMAR LÄN</t>
        </is>
      </c>
      <c r="G160" t="inlineStr">
        <is>
          <t>HÖGSBY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45727</v>
      </c>
      <c r="E161" s="1" t="n">
        <v>46318</v>
      </c>
      <c r="F161" t="inlineStr">
        <is>
          <t>KALMAR LÄN</t>
        </is>
      </c>
      <c r="G161" t="inlineStr">
        <is>
          <t>HÖGSBY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46318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46318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46318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46318</v>
      </c>
      <c r="F165" t="inlineStr">
        <is>
          <t>KALMAR LÄN</t>
        </is>
      </c>
      <c r="G165" t="inlineStr">
        <is>
          <t>HÖGSBY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44987</v>
      </c>
      <c r="E166" s="1" t="n">
        <v>46318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45707</v>
      </c>
      <c r="E167" s="1" t="n">
        <v>46318</v>
      </c>
      <c r="F167" t="inlineStr">
        <is>
          <t>KALMAR LÄN</t>
        </is>
      </c>
      <c r="G167" t="inlineStr">
        <is>
          <t>HÖGSBY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46318</v>
      </c>
      <c r="F168" t="inlineStr">
        <is>
          <t>KALMAR LÄN</t>
        </is>
      </c>
      <c r="G168" t="inlineStr">
        <is>
          <t>HÖGSBY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46318</v>
      </c>
      <c r="F169" t="inlineStr">
        <is>
          <t>KALMAR LÄN</t>
        </is>
      </c>
      <c r="G169" t="inlineStr">
        <is>
          <t>HÖGSBY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44809</v>
      </c>
      <c r="E170" s="1" t="n">
        <v>46318</v>
      </c>
      <c r="F170" t="inlineStr">
        <is>
          <t>KALMAR LÄN</t>
        </is>
      </c>
      <c r="G170" t="inlineStr">
        <is>
          <t>HÖGSBY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46318</v>
      </c>
      <c r="F171" t="inlineStr">
        <is>
          <t>KALMAR LÄN</t>
        </is>
      </c>
      <c r="G171" t="inlineStr">
        <is>
          <t>HÖGSBY</t>
        </is>
      </c>
      <c r="H171" t="inlineStr">
        <is>
          <t>Kommuner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46318</v>
      </c>
      <c r="F172" t="inlineStr">
        <is>
          <t>KALMAR LÄN</t>
        </is>
      </c>
      <c r="G172" t="inlineStr">
        <is>
          <t>HÖGSBY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46318</v>
      </c>
      <c r="F173" t="inlineStr">
        <is>
          <t>KALMAR LÄN</t>
        </is>
      </c>
      <c r="G173" t="inlineStr">
        <is>
          <t>HÖGSBY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46318</v>
      </c>
      <c r="F174" t="inlineStr">
        <is>
          <t>KALMAR LÄN</t>
        </is>
      </c>
      <c r="G174" t="inlineStr">
        <is>
          <t>HÖGSBY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46318</v>
      </c>
      <c r="F175" t="inlineStr">
        <is>
          <t>KALMAR LÄN</t>
        </is>
      </c>
      <c r="G175" t="inlineStr">
        <is>
          <t>HÖGSBY</t>
        </is>
      </c>
      <c r="H175" t="inlineStr">
        <is>
          <t>Kyrkan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46318</v>
      </c>
      <c r="F176" t="inlineStr">
        <is>
          <t>KALMAR LÄN</t>
        </is>
      </c>
      <c r="G176" t="inlineStr">
        <is>
          <t>HÖGSBY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46318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46318</v>
      </c>
      <c r="F178" t="inlineStr">
        <is>
          <t>KALMAR LÄN</t>
        </is>
      </c>
      <c r="G178" t="inlineStr">
        <is>
          <t>HÖGSBY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63508-2025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46318</v>
      </c>
      <c r="F179" t="inlineStr">
        <is>
          <t>KALMAR LÄN</t>
        </is>
      </c>
      <c r="G179" t="inlineStr">
        <is>
          <t>HÖGSBY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46318</v>
      </c>
      <c r="F180" t="inlineStr">
        <is>
          <t>KALMAR LÄN</t>
        </is>
      </c>
      <c r="G180" t="inlineStr">
        <is>
          <t>HÖGSBY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46318</v>
      </c>
      <c r="F181" t="inlineStr">
        <is>
          <t>KALMAR LÄN</t>
        </is>
      </c>
      <c r="G181" t="inlineStr">
        <is>
          <t>HÖGSBY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46318</v>
      </c>
      <c r="F182" t="inlineStr">
        <is>
          <t>KALMAR LÄN</t>
        </is>
      </c>
      <c r="G182" t="inlineStr">
        <is>
          <t>HÖGSBY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45552</v>
      </c>
      <c r="E183" s="1" t="n">
        <v>46318</v>
      </c>
      <c r="F183" t="inlineStr">
        <is>
          <t>KALMAR LÄN</t>
        </is>
      </c>
      <c r="G183" t="inlineStr">
        <is>
          <t>HÖGSBY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44999</v>
      </c>
      <c r="E184" s="1" t="n">
        <v>46318</v>
      </c>
      <c r="F184" t="inlineStr">
        <is>
          <t>KALMAR LÄN</t>
        </is>
      </c>
      <c r="G184" t="inlineStr">
        <is>
          <t>HÖGSBY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46318</v>
      </c>
      <c r="F185" t="inlineStr">
        <is>
          <t>KALMAR LÄN</t>
        </is>
      </c>
      <c r="G185" t="inlineStr">
        <is>
          <t>HÖGSBY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46318</v>
      </c>
      <c r="F186" t="inlineStr">
        <is>
          <t>KALMAR LÄN</t>
        </is>
      </c>
      <c r="G186" t="inlineStr">
        <is>
          <t>HÖGSBY</t>
        </is>
      </c>
      <c r="H186" t="inlineStr">
        <is>
          <t>Övriga Aktiebolag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46318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46318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45247</v>
      </c>
      <c r="E189" s="1" t="n">
        <v>46318</v>
      </c>
      <c r="F189" t="inlineStr">
        <is>
          <t>KALMAR LÄN</t>
        </is>
      </c>
      <c r="G189" t="inlineStr">
        <is>
          <t>HÖGSBY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46318</v>
      </c>
      <c r="F190" t="inlineStr">
        <is>
          <t>KALMAR LÄN</t>
        </is>
      </c>
      <c r="G190" t="inlineStr">
        <is>
          <t>HÖGSBY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46318</v>
      </c>
      <c r="F191" t="inlineStr">
        <is>
          <t>KALMAR LÄN</t>
        </is>
      </c>
      <c r="G191" t="inlineStr">
        <is>
          <t>HÖGSBY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65130-2023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45288</v>
      </c>
      <c r="E192" s="1" t="n">
        <v>46318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46318</v>
      </c>
      <c r="F193" t="inlineStr">
        <is>
          <t>KALMAR LÄN</t>
        </is>
      </c>
      <c r="G193" t="inlineStr">
        <is>
          <t>HÖGSBY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44861</v>
      </c>
      <c r="E194" s="1" t="n">
        <v>46318</v>
      </c>
      <c r="F194" t="inlineStr">
        <is>
          <t>KALMAR LÄN</t>
        </is>
      </c>
      <c r="G194" t="inlineStr">
        <is>
          <t>HÖGSBY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45093</v>
      </c>
      <c r="E195" s="1" t="n">
        <v>46318</v>
      </c>
      <c r="F195" t="inlineStr">
        <is>
          <t>KALMAR LÄN</t>
        </is>
      </c>
      <c r="G195" t="inlineStr">
        <is>
          <t>HÖGSBY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46318</v>
      </c>
      <c r="F196" t="inlineStr">
        <is>
          <t>KALMAR LÄN</t>
        </is>
      </c>
      <c r="G196" t="inlineStr">
        <is>
          <t>HÖGSBY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46318</v>
      </c>
      <c r="F197" t="inlineStr">
        <is>
          <t>KALMAR LÄN</t>
        </is>
      </c>
      <c r="G197" t="inlineStr">
        <is>
          <t>HÖGSBY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46318</v>
      </c>
      <c r="F198" t="inlineStr">
        <is>
          <t>KALMAR LÄN</t>
        </is>
      </c>
      <c r="G198" t="inlineStr">
        <is>
          <t>HÖGSBY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46318</v>
      </c>
      <c r="F199" t="inlineStr">
        <is>
          <t>KALMAR LÄN</t>
        </is>
      </c>
      <c r="G199" t="inlineStr">
        <is>
          <t>HÖGSBY</t>
        </is>
      </c>
      <c r="H199" t="inlineStr">
        <is>
          <t>Övriga Aktiebolag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22562-2026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46155</v>
      </c>
      <c r="E200" s="1" t="n">
        <v>46318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22564-2026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46155</v>
      </c>
      <c r="E201" s="1" t="n">
        <v>46318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46318</v>
      </c>
      <c r="F202" t="inlineStr">
        <is>
          <t>KALMAR LÄN</t>
        </is>
      </c>
      <c r="G202" t="inlineStr">
        <is>
          <t>HÖGSBY</t>
        </is>
      </c>
      <c r="H202" t="inlineStr">
        <is>
          <t>Kyrkan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46318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46318</v>
      </c>
      <c r="F204" t="inlineStr">
        <is>
          <t>KALMAR LÄN</t>
        </is>
      </c>
      <c r="G204" t="inlineStr">
        <is>
          <t>HÖGSBY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46318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46318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46318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46318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46318</v>
      </c>
      <c r="F209" t="inlineStr">
        <is>
          <t>KALMAR LÄN</t>
        </is>
      </c>
      <c r="G209" t="inlineStr">
        <is>
          <t>HÖGSBY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46318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45239</v>
      </c>
      <c r="E211" s="1" t="n">
        <v>46318</v>
      </c>
      <c r="F211" t="inlineStr">
        <is>
          <t>KALMAR LÄN</t>
        </is>
      </c>
      <c r="G211" t="inlineStr">
        <is>
          <t>HÖGSBY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46318</v>
      </c>
      <c r="F212" t="inlineStr">
        <is>
          <t>KALMAR LÄN</t>
        </is>
      </c>
      <c r="G212" t="inlineStr">
        <is>
          <t>HÖGSBY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46318</v>
      </c>
      <c r="F213" t="inlineStr">
        <is>
          <t>KALMAR LÄN</t>
        </is>
      </c>
      <c r="G213" t="inlineStr">
        <is>
          <t>HÖGSBY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46318</v>
      </c>
      <c r="F214" t="inlineStr">
        <is>
          <t>KALMAR LÄN</t>
        </is>
      </c>
      <c r="G214" t="inlineStr">
        <is>
          <t>HÖGSBY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46318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46318</v>
      </c>
      <c r="F216" t="inlineStr">
        <is>
          <t>KALMAR LÄN</t>
        </is>
      </c>
      <c r="G216" t="inlineStr">
        <is>
          <t>HÖGSBY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62720-2025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46008</v>
      </c>
      <c r="E217" s="1" t="n">
        <v>46318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62722-2025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46008</v>
      </c>
      <c r="E218" s="1" t="n">
        <v>46318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46318</v>
      </c>
      <c r="F219" t="inlineStr">
        <is>
          <t>KALMAR LÄN</t>
        </is>
      </c>
      <c r="G219" t="inlineStr">
        <is>
          <t>HÖGSBY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46318</v>
      </c>
      <c r="F220" t="inlineStr">
        <is>
          <t>KALMAR LÄN</t>
        </is>
      </c>
      <c r="G220" t="inlineStr">
        <is>
          <t>HÖGSBY</t>
        </is>
      </c>
      <c r="H220" t="inlineStr">
        <is>
          <t>Övriga Aktiebolag</t>
        </is>
      </c>
      <c r="I220" t="n">
        <v>15.2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46318</v>
      </c>
      <c r="F221" t="inlineStr">
        <is>
          <t>KALMAR LÄN</t>
        </is>
      </c>
      <c r="G221" t="inlineStr">
        <is>
          <t>HÖGSBY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23937-2026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46167</v>
      </c>
      <c r="E222" s="1" t="n">
        <v>46318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46318</v>
      </c>
      <c r="F223" t="inlineStr">
        <is>
          <t>KALMAR LÄN</t>
        </is>
      </c>
      <c r="G223" t="inlineStr">
        <is>
          <t>HÖGSBY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45203</v>
      </c>
      <c r="E224" s="1" t="n">
        <v>46318</v>
      </c>
      <c r="F224" t="inlineStr">
        <is>
          <t>KALMAR LÄN</t>
        </is>
      </c>
      <c r="G224" t="inlineStr">
        <is>
          <t>HÖGSBY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46318</v>
      </c>
      <c r="F225" t="inlineStr">
        <is>
          <t>KALMAR LÄN</t>
        </is>
      </c>
      <c r="G225" t="inlineStr">
        <is>
          <t>HÖGSBY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44939</v>
      </c>
      <c r="E226" s="1" t="n">
        <v>46318</v>
      </c>
      <c r="F226" t="inlineStr">
        <is>
          <t>KALMAR LÄN</t>
        </is>
      </c>
      <c r="G226" t="inlineStr">
        <is>
          <t>HÖGSBY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46318</v>
      </c>
      <c r="F227" t="inlineStr">
        <is>
          <t>KALMAR LÄN</t>
        </is>
      </c>
      <c r="G227" t="inlineStr">
        <is>
          <t>HÖGSBY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46318</v>
      </c>
      <c r="F228" t="inlineStr">
        <is>
          <t>KALMAR LÄN</t>
        </is>
      </c>
      <c r="G228" t="inlineStr">
        <is>
          <t>HÖGSBY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46318</v>
      </c>
      <c r="F229" t="inlineStr">
        <is>
          <t>KALMAR LÄN</t>
        </is>
      </c>
      <c r="G229" t="inlineStr">
        <is>
          <t>HÖGSBY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45692</v>
      </c>
      <c r="E230" s="1" t="n">
        <v>46318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57000-2024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45626</v>
      </c>
      <c r="E231" s="1" t="n">
        <v>46318</v>
      </c>
      <c r="F231" t="inlineStr">
        <is>
          <t>KALMAR LÄN</t>
        </is>
      </c>
      <c r="G231" t="inlineStr">
        <is>
          <t>HÖGSBY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50367-2022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44866</v>
      </c>
      <c r="E232" s="1" t="n">
        <v>46318</v>
      </c>
      <c r="F232" t="inlineStr">
        <is>
          <t>KALMAR LÄN</t>
        </is>
      </c>
      <c r="G232" t="inlineStr">
        <is>
          <t>HÖGSBY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44991</v>
      </c>
      <c r="E233" s="1" t="n">
        <v>46318</v>
      </c>
      <c r="F233" t="inlineStr">
        <is>
          <t>KALMAR LÄN</t>
        </is>
      </c>
      <c r="G233" t="inlineStr">
        <is>
          <t>HÖGSBY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24601-2024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45460</v>
      </c>
      <c r="E234" s="1" t="n">
        <v>46318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46318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46318</v>
      </c>
      <c r="F236" t="inlineStr">
        <is>
          <t>KALMAR LÄN</t>
        </is>
      </c>
      <c r="G236" t="inlineStr">
        <is>
          <t>HÖGSBY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44861</v>
      </c>
      <c r="E237" s="1" t="n">
        <v>46318</v>
      </c>
      <c r="F237" t="inlineStr">
        <is>
          <t>KALMAR LÄN</t>
        </is>
      </c>
      <c r="G237" t="inlineStr">
        <is>
          <t>HÖGSBY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46318</v>
      </c>
      <c r="F238" t="inlineStr">
        <is>
          <t>KALMAR LÄN</t>
        </is>
      </c>
      <c r="G238" t="inlineStr">
        <is>
          <t>HÖGSBY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46318</v>
      </c>
      <c r="F239" t="inlineStr">
        <is>
          <t>KALMAR LÄN</t>
        </is>
      </c>
      <c r="G239" t="inlineStr">
        <is>
          <t>HÖGSBY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45307</v>
      </c>
      <c r="E240" s="1" t="n">
        <v>46318</v>
      </c>
      <c r="F240" t="inlineStr">
        <is>
          <t>KALMAR LÄN</t>
        </is>
      </c>
      <c r="G240" t="inlineStr">
        <is>
          <t>HÖGSBY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34078-2024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45523</v>
      </c>
      <c r="E241" s="1" t="n">
        <v>46318</v>
      </c>
      <c r="F241" t="inlineStr">
        <is>
          <t>KALMAR LÄN</t>
        </is>
      </c>
      <c r="G241" t="inlineStr">
        <is>
          <t>HÖGSBY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46318</v>
      </c>
      <c r="F242" t="inlineStr">
        <is>
          <t>KALMAR LÄN</t>
        </is>
      </c>
      <c r="G242" t="inlineStr">
        <is>
          <t>HÖGSBY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46318</v>
      </c>
      <c r="F243" t="inlineStr">
        <is>
          <t>KALMAR LÄN</t>
        </is>
      </c>
      <c r="G243" t="inlineStr">
        <is>
          <t>HÖGSBY</t>
        </is>
      </c>
      <c r="H243" t="inlineStr">
        <is>
          <t>Kommuner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45782</v>
      </c>
      <c r="E244" s="1" t="n">
        <v>46318</v>
      </c>
      <c r="F244" t="inlineStr">
        <is>
          <t>KALMAR LÄN</t>
        </is>
      </c>
      <c r="G244" t="inlineStr">
        <is>
          <t>HÖGSBY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46318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46318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7443-2026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46059</v>
      </c>
      <c r="E247" s="1" t="n">
        <v>46318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46181</v>
      </c>
      <c r="E248" s="1" t="n">
        <v>46318</v>
      </c>
      <c r="F248" t="inlineStr">
        <is>
          <t>KALMAR LÄN</t>
        </is>
      </c>
      <c r="G248" t="inlineStr">
        <is>
          <t>HÖGSBY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46318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46318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46318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46318</v>
      </c>
      <c r="F252" t="inlineStr">
        <is>
          <t>KALMAR LÄN</t>
        </is>
      </c>
      <c r="G252" t="inlineStr">
        <is>
          <t>HÖGSBY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46318</v>
      </c>
      <c r="F253" t="inlineStr">
        <is>
          <t>KALMAR LÄN</t>
        </is>
      </c>
      <c r="G253" t="inlineStr">
        <is>
          <t>HÖGSBY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46318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46318</v>
      </c>
      <c r="F255" t="inlineStr">
        <is>
          <t>KALMAR LÄN</t>
        </is>
      </c>
      <c r="G255" t="inlineStr">
        <is>
          <t>HÖGSBY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46318</v>
      </c>
      <c r="F256" t="inlineStr">
        <is>
          <t>KALMAR LÄN</t>
        </is>
      </c>
      <c r="G256" t="inlineStr">
        <is>
          <t>HÖGSBY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45546</v>
      </c>
      <c r="E257" s="1" t="n">
        <v>46318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9.199999999999999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46318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  <c r="Z258">
        <f>HYPERLINK("https://klasma.github.io/Logging_0821/knärot/A 40137-2024 karta knärot.png", "A 40137-2024")</f>
        <v/>
      </c>
      <c r="AA258">
        <f>HYPERLINK("https://klasma.github.io/Logging_0821/klagomål/A 40137-2024 FSC-klagomål.docx", "A 40137-2024")</f>
        <v/>
      </c>
      <c r="AB258">
        <f>HYPERLINK("https://klasma.github.io/Logging_0821/klagomålsmail/A 40137-2024 FSC-klagomål mail.docx", "A 40137-2024")</f>
        <v/>
      </c>
      <c r="AC258">
        <f>HYPERLINK("https://klasma.github.io/Logging_0821/tillsyn/A 40137-2024 tillsynsbegäran.docx", "A 40137-2024")</f>
        <v/>
      </c>
      <c r="AD258">
        <f>HYPERLINK("https://klasma.github.io/Logging_0821/tillsynsmail/A 40137-2024 tillsynsbegäran mail.docx", "A 40137-2024")</f>
        <v/>
      </c>
    </row>
    <row r="259" ht="15" customHeight="1">
      <c r="A259" t="inlineStr">
        <is>
          <t>A 4931-2024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46318</v>
      </c>
      <c r="F259" t="inlineStr">
        <is>
          <t>KALMAR LÄN</t>
        </is>
      </c>
      <c r="G259" t="inlineStr">
        <is>
          <t>HÖGSBY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46318</v>
      </c>
      <c r="F260" t="inlineStr">
        <is>
          <t>KALMAR LÄN</t>
        </is>
      </c>
      <c r="G260" t="inlineStr">
        <is>
          <t>HÖGSBY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46318</v>
      </c>
      <c r="F261" t="inlineStr">
        <is>
          <t>KALMAR LÄN</t>
        </is>
      </c>
      <c r="G261" t="inlineStr">
        <is>
          <t>HÖGSBY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46318</v>
      </c>
      <c r="F262" t="inlineStr">
        <is>
          <t>KALMAR LÄN</t>
        </is>
      </c>
      <c r="G262" t="inlineStr">
        <is>
          <t>HÖGSBY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46318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46318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46318</v>
      </c>
      <c r="F265" t="inlineStr">
        <is>
          <t>KALMAR LÄN</t>
        </is>
      </c>
      <c r="G265" t="inlineStr">
        <is>
          <t>HÖGSBY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17185-2022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46318</v>
      </c>
      <c r="F266" t="inlineStr">
        <is>
          <t>KALMAR LÄN</t>
        </is>
      </c>
      <c r="G266" t="inlineStr">
        <is>
          <t>HÖGSBY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44903</v>
      </c>
      <c r="E267" s="1" t="n">
        <v>46318</v>
      </c>
      <c r="F267" t="inlineStr">
        <is>
          <t>KALMAR LÄN</t>
        </is>
      </c>
      <c r="G267" t="inlineStr">
        <is>
          <t>HÖGSBY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46318</v>
      </c>
      <c r="F268" t="inlineStr">
        <is>
          <t>KALMAR LÄN</t>
        </is>
      </c>
      <c r="G268" t="inlineStr">
        <is>
          <t>HÖGSBY</t>
        </is>
      </c>
      <c r="H268" t="inlineStr">
        <is>
          <t>Kommuner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28702-2026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46318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28692-2026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46198</v>
      </c>
      <c r="E270" s="1" t="n">
        <v>46318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46311</v>
      </c>
      <c r="E271" s="1" t="n">
        <v>46318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28691-2026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46198</v>
      </c>
      <c r="E272" s="1" t="n">
        <v>46318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28697-2026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46318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46318</v>
      </c>
      <c r="F274" t="inlineStr">
        <is>
          <t>KALMAR LÄN</t>
        </is>
      </c>
      <c r="G274" t="inlineStr">
        <is>
          <t>HÖGSBY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46318</v>
      </c>
      <c r="F275" t="inlineStr">
        <is>
          <t>KALMAR LÄN</t>
        </is>
      </c>
      <c r="G275" t="inlineStr">
        <is>
          <t>HÖGSBY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28713-2026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46198</v>
      </c>
      <c r="E276" s="1" t="n">
        <v>46318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46310</v>
      </c>
      <c r="E277" s="1" t="n">
        <v>46318</v>
      </c>
      <c r="F277" t="inlineStr">
        <is>
          <t>KALMAR LÄN</t>
        </is>
      </c>
      <c r="G277" t="inlineStr">
        <is>
          <t>HÖGSBY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46318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46318</v>
      </c>
      <c r="F279" t="inlineStr">
        <is>
          <t>KALMAR LÄN</t>
        </is>
      </c>
      <c r="G279" t="inlineStr">
        <is>
          <t>HÖGSBY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46318</v>
      </c>
      <c r="F280" t="inlineStr">
        <is>
          <t>KALMAR LÄN</t>
        </is>
      </c>
      <c r="G280" t="inlineStr">
        <is>
          <t>HÖGSBY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46318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46318</v>
      </c>
      <c r="F282" t="inlineStr">
        <is>
          <t>KALMAR LÄN</t>
        </is>
      </c>
      <c r="G282" t="inlineStr">
        <is>
          <t>HÖGSBY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46318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24.4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46318</v>
      </c>
      <c r="F284" t="inlineStr">
        <is>
          <t>KALMAR LÄN</t>
        </is>
      </c>
      <c r="G284" t="inlineStr">
        <is>
          <t>HÖGSBY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46202</v>
      </c>
      <c r="E285" s="1" t="n">
        <v>46318</v>
      </c>
      <c r="F285" t="inlineStr">
        <is>
          <t>KALMAR LÄN</t>
        </is>
      </c>
      <c r="G285" t="inlineStr">
        <is>
          <t>HÖGSBY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14894-2025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45743</v>
      </c>
      <c r="E286" s="1" t="n">
        <v>46318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46318</v>
      </c>
      <c r="F287" t="inlineStr">
        <is>
          <t>KALMAR LÄN</t>
        </is>
      </c>
      <c r="G287" t="inlineStr">
        <is>
          <t>HÖGSBY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46318</v>
      </c>
      <c r="F288" t="inlineStr">
        <is>
          <t>KALMAR LÄN</t>
        </is>
      </c>
      <c r="G288" t="inlineStr">
        <is>
          <t>HÖGSBY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46318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46318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46318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46317</v>
      </c>
      <c r="E292" s="1" t="n">
        <v>46318</v>
      </c>
      <c r="F292" t="inlineStr">
        <is>
          <t>KALMAR LÄN</t>
        </is>
      </c>
      <c r="G292" t="inlineStr">
        <is>
          <t>HÖGSBY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46114</v>
      </c>
      <c r="E293" s="1" t="n">
        <v>46318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46318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46318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46275</v>
      </c>
      <c r="E296" s="1" t="n">
        <v>46318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46318</v>
      </c>
      <c r="F297" t="inlineStr">
        <is>
          <t>KALMAR LÄN</t>
        </is>
      </c>
      <c r="G297" t="inlineStr">
        <is>
          <t>HÖGSBY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46317</v>
      </c>
      <c r="E298" s="1" t="n">
        <v>46318</v>
      </c>
      <c r="F298" t="inlineStr">
        <is>
          <t>KALMAR LÄN</t>
        </is>
      </c>
      <c r="G298" t="inlineStr">
        <is>
          <t>HÖGSBY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46318</v>
      </c>
      <c r="F299" t="inlineStr">
        <is>
          <t>KALMAR LÄN</t>
        </is>
      </c>
      <c r="G299" t="inlineStr">
        <is>
          <t>HÖGSBY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46318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46318</v>
      </c>
      <c r="F301" t="inlineStr">
        <is>
          <t>KALMAR LÄN</t>
        </is>
      </c>
      <c r="G301" t="inlineStr">
        <is>
          <t>HÖGSBY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46318</v>
      </c>
      <c r="F302" t="inlineStr">
        <is>
          <t>KALMAR LÄN</t>
        </is>
      </c>
      <c r="G302" t="inlineStr">
        <is>
          <t>HÖGSBY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46318</v>
      </c>
      <c r="F303" t="inlineStr">
        <is>
          <t>KALMAR LÄN</t>
        </is>
      </c>
      <c r="G303" t="inlineStr">
        <is>
          <t>HÖGSBY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46318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46318</v>
      </c>
      <c r="F305" t="inlineStr">
        <is>
          <t>KALMAR LÄN</t>
        </is>
      </c>
      <c r="G305" t="inlineStr">
        <is>
          <t>HÖGSBY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46318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46318</v>
      </c>
      <c r="F307" t="inlineStr">
        <is>
          <t>KALMAR LÄN</t>
        </is>
      </c>
      <c r="G307" t="inlineStr">
        <is>
          <t>HÖGSBY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46311</v>
      </c>
      <c r="E308" s="1" t="n">
        <v>46318</v>
      </c>
      <c r="F308" t="inlineStr">
        <is>
          <t>KALMAR LÄN</t>
        </is>
      </c>
      <c r="G308" t="inlineStr">
        <is>
          <t>HÖGSBY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45532</v>
      </c>
      <c r="E309" s="1" t="n">
        <v>46318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46134</v>
      </c>
      <c r="E310" s="1" t="n">
        <v>46318</v>
      </c>
      <c r="F310" t="inlineStr">
        <is>
          <t>KALMAR LÄN</t>
        </is>
      </c>
      <c r="G310" t="inlineStr">
        <is>
          <t>HÖGSBY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46318</v>
      </c>
      <c r="F311" t="inlineStr">
        <is>
          <t>KALMAR LÄN</t>
        </is>
      </c>
      <c r="G311" t="inlineStr">
        <is>
          <t>HÖGSBY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44436-2023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46318</v>
      </c>
      <c r="F312" t="inlineStr">
        <is>
          <t>KALMAR LÄN</t>
        </is>
      </c>
      <c r="G312" t="inlineStr">
        <is>
          <t>HÖGSBY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46318</v>
      </c>
      <c r="F313" t="inlineStr">
        <is>
          <t>KALMAR LÄN</t>
        </is>
      </c>
      <c r="G313" t="inlineStr">
        <is>
          <t>HÖGSBY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45279</v>
      </c>
      <c r="E314" s="1" t="n">
        <v>46318</v>
      </c>
      <c r="F314" t="inlineStr">
        <is>
          <t>KALMAR LÄN</t>
        </is>
      </c>
      <c r="G314" t="inlineStr">
        <is>
          <t>HÖGSBY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46237</v>
      </c>
      <c r="E315" s="1" t="n">
        <v>46318</v>
      </c>
      <c r="F315" t="inlineStr">
        <is>
          <t>KALMAR LÄN</t>
        </is>
      </c>
      <c r="G315" t="inlineStr">
        <is>
          <t>HÖGSBY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45001</v>
      </c>
      <c r="E316" s="1" t="n">
        <v>46318</v>
      </c>
      <c r="F316" t="inlineStr">
        <is>
          <t>KALMAR LÄN</t>
        </is>
      </c>
      <c r="G316" t="inlineStr">
        <is>
          <t>HÖGSBY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46281</v>
      </c>
      <c r="E317" s="1" t="n">
        <v>46318</v>
      </c>
      <c r="F317" t="inlineStr">
        <is>
          <t>KALMAR LÄN</t>
        </is>
      </c>
      <c r="G317" t="inlineStr">
        <is>
          <t>HÖGSBY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32049-2023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45119</v>
      </c>
      <c r="E318" s="1" t="n">
        <v>46318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45348</v>
      </c>
      <c r="E319" s="1" t="n">
        <v>46318</v>
      </c>
      <c r="F319" t="inlineStr">
        <is>
          <t>KALMAR LÄN</t>
        </is>
      </c>
      <c r="G319" t="inlineStr">
        <is>
          <t>HÖGSBY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38824-2024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45547</v>
      </c>
      <c r="E320" s="1" t="n">
        <v>46318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46318</v>
      </c>
      <c r="F321" t="inlineStr">
        <is>
          <t>KALMAR LÄN</t>
        </is>
      </c>
      <c r="G321" t="inlineStr">
        <is>
          <t>HÖGSBY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45176</v>
      </c>
      <c r="E322" s="1" t="n">
        <v>46318</v>
      </c>
      <c r="F322" t="inlineStr">
        <is>
          <t>KALMAR LÄN</t>
        </is>
      </c>
      <c r="G322" t="inlineStr">
        <is>
          <t>HÖGSBY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28648-2023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45103</v>
      </c>
      <c r="E323" s="1" t="n">
        <v>46318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46286</v>
      </c>
      <c r="E324" s="1" t="n">
        <v>46318</v>
      </c>
      <c r="F324" t="inlineStr">
        <is>
          <t>KALMAR LÄN</t>
        </is>
      </c>
      <c r="G324" t="inlineStr">
        <is>
          <t>HÖGSBY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73709-2021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46318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44902</v>
      </c>
      <c r="E326" s="1" t="n">
        <v>46318</v>
      </c>
      <c r="F326" t="inlineStr">
        <is>
          <t>KALMAR LÄN</t>
        </is>
      </c>
      <c r="G326" t="inlineStr">
        <is>
          <t>HÖGSBY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45320</v>
      </c>
      <c r="E327" s="1" t="n">
        <v>46318</v>
      </c>
      <c r="F327" t="inlineStr">
        <is>
          <t>KALMAR LÄN</t>
        </is>
      </c>
      <c r="G327" t="inlineStr">
        <is>
          <t>HÖGSBY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46318</v>
      </c>
      <c r="F328" t="inlineStr">
        <is>
          <t>KALMAR LÄN</t>
        </is>
      </c>
      <c r="G328" t="inlineStr">
        <is>
          <t>HÖGSBY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46318</v>
      </c>
      <c r="F329" t="inlineStr">
        <is>
          <t>KALMAR LÄN</t>
        </is>
      </c>
      <c r="G329" t="inlineStr">
        <is>
          <t>HÖGSBY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33788-2026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46251</v>
      </c>
      <c r="E330" s="1" t="n">
        <v>46318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46318</v>
      </c>
      <c r="F331" t="inlineStr">
        <is>
          <t>KALMAR LÄN</t>
        </is>
      </c>
      <c r="G331" t="inlineStr">
        <is>
          <t>HÖGSBY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45244</v>
      </c>
      <c r="E332" s="1" t="n">
        <v>46318</v>
      </c>
      <c r="F332" t="inlineStr">
        <is>
          <t>KALMAR LÄN</t>
        </is>
      </c>
      <c r="G332" t="inlineStr">
        <is>
          <t>HÖGSBY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45103</v>
      </c>
      <c r="E333" s="1" t="n">
        <v>46318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44586</v>
      </c>
      <c r="E334" s="1" t="n">
        <v>46318</v>
      </c>
      <c r="F334" t="inlineStr">
        <is>
          <t>KALMAR LÄN</t>
        </is>
      </c>
      <c r="G334" t="inlineStr">
        <is>
          <t>HÖGSBY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46297</v>
      </c>
      <c r="E335" s="1" t="n">
        <v>46318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46318</v>
      </c>
      <c r="F336" t="inlineStr">
        <is>
          <t>KALMAR LÄN</t>
        </is>
      </c>
      <c r="G336" t="inlineStr">
        <is>
          <t>HÖGSBY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10871-2023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44991</v>
      </c>
      <c r="E337" s="1" t="n">
        <v>46318</v>
      </c>
      <c r="F337" t="inlineStr">
        <is>
          <t>KALMAR LÄN</t>
        </is>
      </c>
      <c r="G337" t="inlineStr">
        <is>
          <t>HÖGSBY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41021-2026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46297</v>
      </c>
      <c r="E338" s="1" t="n">
        <v>46318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46297</v>
      </c>
      <c r="E339" s="1" t="n">
        <v>46318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46318</v>
      </c>
      <c r="F340" t="inlineStr">
        <is>
          <t>KALMAR LÄN</t>
        </is>
      </c>
      <c r="G340" t="inlineStr">
        <is>
          <t>HÖGSBY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46318</v>
      </c>
      <c r="F341" t="inlineStr">
        <is>
          <t>KALMAR LÄN</t>
        </is>
      </c>
      <c r="G341" t="inlineStr">
        <is>
          <t>HÖGSBY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46318</v>
      </c>
      <c r="F342" t="inlineStr">
        <is>
          <t>KALMAR LÄN</t>
        </is>
      </c>
      <c r="G342" t="inlineStr">
        <is>
          <t>HÖGSBY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71635-2021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46318</v>
      </c>
      <c r="F343" t="inlineStr">
        <is>
          <t>KALMAR LÄN</t>
        </is>
      </c>
      <c r="G343" t="inlineStr">
        <is>
          <t>HÖGSBY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46293</v>
      </c>
      <c r="E344" s="1" t="n">
        <v>46318</v>
      </c>
      <c r="F344" t="inlineStr">
        <is>
          <t>KALMAR LÄN</t>
        </is>
      </c>
      <c r="G344" t="inlineStr">
        <is>
          <t>HÖGSBY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45228</v>
      </c>
      <c r="E345" s="1" t="n">
        <v>46318</v>
      </c>
      <c r="F345" t="inlineStr">
        <is>
          <t>KALMAR LÄN</t>
        </is>
      </c>
      <c r="G345" t="inlineStr">
        <is>
          <t>HÖGSBY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46318</v>
      </c>
      <c r="F346" t="inlineStr">
        <is>
          <t>KALMAR LÄN</t>
        </is>
      </c>
      <c r="G346" t="inlineStr">
        <is>
          <t>HÖGSBY</t>
        </is>
      </c>
      <c r="I346" t="n">
        <v>8.9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28160-2026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46318</v>
      </c>
      <c r="F347" t="inlineStr">
        <is>
          <t>KALMAR LÄN</t>
        </is>
      </c>
      <c r="G347" t="inlineStr">
        <is>
          <t>HÖGSBY</t>
        </is>
      </c>
      <c r="H347" t="inlineStr">
        <is>
          <t>Kommuner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46318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7325-2025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45702</v>
      </c>
      <c r="E349" s="1" t="n">
        <v>46318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46318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25355-2026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46176</v>
      </c>
      <c r="E351" s="1" t="n">
        <v>46318</v>
      </c>
      <c r="F351" t="inlineStr">
        <is>
          <t>KALMAR LÄN</t>
        </is>
      </c>
      <c r="G351" t="inlineStr">
        <is>
          <t>HÖGSBY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21801-2026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46318</v>
      </c>
      <c r="F352" t="inlineStr">
        <is>
          <t>KALMAR LÄN</t>
        </is>
      </c>
      <c r="G352" t="inlineStr">
        <is>
          <t>HÖGSBY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46318</v>
      </c>
      <c r="F353" t="inlineStr">
        <is>
          <t>KALMAR LÄN</t>
        </is>
      </c>
      <c r="G353" t="inlineStr">
        <is>
          <t>HÖGSBY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46318</v>
      </c>
      <c r="F354" t="inlineStr">
        <is>
          <t>KALMAR LÄN</t>
        </is>
      </c>
      <c r="G354" t="inlineStr">
        <is>
          <t>HÖGSBY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46318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44625</v>
      </c>
      <c r="E356" s="1" t="n">
        <v>46318</v>
      </c>
      <c r="F356" t="inlineStr">
        <is>
          <t>KALMAR LÄN</t>
        </is>
      </c>
      <c r="G356" t="inlineStr">
        <is>
          <t>HÖGSBY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10706-2022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44625</v>
      </c>
      <c r="E357" s="1" t="n">
        <v>46318</v>
      </c>
      <c r="F357" t="inlineStr">
        <is>
          <t>KALMAR LÄN</t>
        </is>
      </c>
      <c r="G357" t="inlineStr">
        <is>
          <t>HÖGSBY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46318</v>
      </c>
      <c r="F358" t="inlineStr">
        <is>
          <t>KALMAR LÄN</t>
        </is>
      </c>
      <c r="G358" t="inlineStr">
        <is>
          <t>HÖGSBY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45153</v>
      </c>
      <c r="E359" s="1" t="n">
        <v>46318</v>
      </c>
      <c r="F359" t="inlineStr">
        <is>
          <t>KALMAR LÄN</t>
        </is>
      </c>
      <c r="G359" t="inlineStr">
        <is>
          <t>HÖGSBY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45217</v>
      </c>
      <c r="E360" s="1" t="n">
        <v>46318</v>
      </c>
      <c r="F360" t="inlineStr">
        <is>
          <t>KALMAR LÄN</t>
        </is>
      </c>
      <c r="G360" t="inlineStr">
        <is>
          <t>HÖGSBY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46318</v>
      </c>
      <c r="F361" t="inlineStr">
        <is>
          <t>KALMAR LÄN</t>
        </is>
      </c>
      <c r="G361" t="inlineStr">
        <is>
          <t>HÖGSBY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14273-2024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45393</v>
      </c>
      <c r="E362" s="1" t="n">
        <v>46318</v>
      </c>
      <c r="F362" t="inlineStr">
        <is>
          <t>KALMAR LÄN</t>
        </is>
      </c>
      <c r="G362" t="inlineStr">
        <is>
          <t>HÖGSBY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44809</v>
      </c>
      <c r="E363" s="1" t="n">
        <v>46318</v>
      </c>
      <c r="F363" t="inlineStr">
        <is>
          <t>KALMAR LÄN</t>
        </is>
      </c>
      <c r="G363" t="inlineStr">
        <is>
          <t>HÖGSBY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46309</v>
      </c>
      <c r="E364" s="1" t="n">
        <v>46318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46318</v>
      </c>
      <c r="F365" t="inlineStr">
        <is>
          <t>KALMAR LÄN</t>
        </is>
      </c>
      <c r="G365" t="inlineStr">
        <is>
          <t>HÖGSBY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44981</v>
      </c>
      <c r="E366" s="1" t="n">
        <v>46318</v>
      </c>
      <c r="F366" t="inlineStr">
        <is>
          <t>KALMAR LÄN</t>
        </is>
      </c>
      <c r="G366" t="inlineStr">
        <is>
          <t>HÖGSBY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46309</v>
      </c>
      <c r="E367" s="1" t="n">
        <v>46318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45034</v>
      </c>
      <c r="E368" s="1" t="n">
        <v>46318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46318</v>
      </c>
      <c r="F369" t="inlineStr">
        <is>
          <t>KALMAR LÄN</t>
        </is>
      </c>
      <c r="G369" t="inlineStr">
        <is>
          <t>HÖGSBY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46266</v>
      </c>
      <c r="E370" s="1" t="n">
        <v>46318</v>
      </c>
      <c r="F370" t="inlineStr">
        <is>
          <t>KALMAR LÄN</t>
        </is>
      </c>
      <c r="G370" t="inlineStr">
        <is>
          <t>HÖGSBY</t>
        </is>
      </c>
      <c r="I370" t="n">
        <v>9.6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46318</v>
      </c>
      <c r="F371" t="inlineStr">
        <is>
          <t>KALMAR LÄN</t>
        </is>
      </c>
      <c r="G371" t="inlineStr">
        <is>
          <t>HÖGSBY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46318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46309</v>
      </c>
      <c r="E373" s="1" t="n">
        <v>46318</v>
      </c>
      <c r="F373" t="inlineStr">
        <is>
          <t>KALMAR LÄN</t>
        </is>
      </c>
      <c r="G373" t="inlineStr">
        <is>
          <t>HÖGSBY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46318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45247</v>
      </c>
      <c r="E375" s="1" t="n">
        <v>46318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49485-2022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46318</v>
      </c>
      <c r="F376" t="inlineStr">
        <is>
          <t>KALMAR LÄN</t>
        </is>
      </c>
      <c r="G376" t="inlineStr">
        <is>
          <t>HÖGSBY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46310</v>
      </c>
      <c r="E377" s="1" t="n">
        <v>46318</v>
      </c>
      <c r="F377" t="inlineStr">
        <is>
          <t>KALMAR LÄN</t>
        </is>
      </c>
      <c r="G377" t="inlineStr">
        <is>
          <t>HÖGSBY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46318</v>
      </c>
      <c r="F378" t="inlineStr">
        <is>
          <t>KALMAR LÄN</t>
        </is>
      </c>
      <c r="G378" t="inlineStr">
        <is>
          <t>HÖGSBY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46267</v>
      </c>
      <c r="E379" s="1" t="n">
        <v>46318</v>
      </c>
      <c r="F379" t="inlineStr">
        <is>
          <t>KALMAR LÄN</t>
        </is>
      </c>
      <c r="G379" t="inlineStr">
        <is>
          <t>HÖGSBY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43057-2026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46311</v>
      </c>
      <c r="E380" s="1" t="n">
        <v>46318</v>
      </c>
      <c r="F380" t="inlineStr">
        <is>
          <t>KALMAR LÄN</t>
        </is>
      </c>
      <c r="G380" t="inlineStr">
        <is>
          <t>HÖGSBY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46318</v>
      </c>
      <c r="F381" t="inlineStr">
        <is>
          <t>KALMAR LÄN</t>
        </is>
      </c>
      <c r="G381" t="inlineStr">
        <is>
          <t>HÖGSBY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46268</v>
      </c>
      <c r="E382" s="1" t="n">
        <v>46318</v>
      </c>
      <c r="F382" t="inlineStr">
        <is>
          <t>KALMAR LÄN</t>
        </is>
      </c>
      <c r="G382" t="inlineStr">
        <is>
          <t>HÖGSBY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46311</v>
      </c>
      <c r="E383" s="1" t="n">
        <v>46318</v>
      </c>
      <c r="F383" t="inlineStr">
        <is>
          <t>KALMAR LÄN</t>
        </is>
      </c>
      <c r="G383" t="inlineStr">
        <is>
          <t>HÖGSBY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46311</v>
      </c>
      <c r="E384" s="1" t="n">
        <v>46318</v>
      </c>
      <c r="F384" t="inlineStr">
        <is>
          <t>KALMAR LÄN</t>
        </is>
      </c>
      <c r="G384" t="inlineStr">
        <is>
          <t>HÖGSBY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46318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45145</v>
      </c>
      <c r="E386" s="1" t="n">
        <v>46318</v>
      </c>
      <c r="F386" t="inlineStr">
        <is>
          <t>KALMAR LÄN</t>
        </is>
      </c>
      <c r="G386" t="inlineStr">
        <is>
          <t>HÖGSBY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46318</v>
      </c>
      <c r="F387" t="inlineStr">
        <is>
          <t>KALMAR LÄN</t>
        </is>
      </c>
      <c r="G387" t="inlineStr">
        <is>
          <t>HÖGSBY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46318</v>
      </c>
      <c r="F388" t="inlineStr">
        <is>
          <t>KALMAR LÄN</t>
        </is>
      </c>
      <c r="G388" t="inlineStr">
        <is>
          <t>HÖGSBY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46318</v>
      </c>
      <c r="F389" t="inlineStr">
        <is>
          <t>KALMAR LÄN</t>
        </is>
      </c>
      <c r="G389" t="inlineStr">
        <is>
          <t>HÖGSBY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46318</v>
      </c>
      <c r="F390" t="inlineStr">
        <is>
          <t>KALMAR LÄN</t>
        </is>
      </c>
      <c r="G390" t="inlineStr">
        <is>
          <t>HÖGSBY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46318</v>
      </c>
      <c r="F391" t="inlineStr">
        <is>
          <t>KALMAR LÄN</t>
        </is>
      </c>
      <c r="G391" t="inlineStr">
        <is>
          <t>HÖGSBY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45320</v>
      </c>
      <c r="E392" s="1" t="n">
        <v>46318</v>
      </c>
      <c r="F392" t="inlineStr">
        <is>
          <t>KALMAR LÄN</t>
        </is>
      </c>
      <c r="G392" t="inlineStr">
        <is>
          <t>HÖGSBY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45105</v>
      </c>
      <c r="E393" s="1" t="n">
        <v>46318</v>
      </c>
      <c r="F393" t="inlineStr">
        <is>
          <t>KALMAR LÄN</t>
        </is>
      </c>
      <c r="G393" t="inlineStr">
        <is>
          <t>HÖGSBY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57006-2024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45626</v>
      </c>
      <c r="E394" s="1" t="n">
        <v>46318</v>
      </c>
      <c r="F394" t="inlineStr">
        <is>
          <t>KALMAR LÄN</t>
        </is>
      </c>
      <c r="G394" t="inlineStr">
        <is>
          <t>HÖGSBY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46318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60853-2021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44496</v>
      </c>
      <c r="E396" s="1" t="n">
        <v>46318</v>
      </c>
      <c r="F396" t="inlineStr">
        <is>
          <t>KALMAR LÄN</t>
        </is>
      </c>
      <c r="G396" t="inlineStr">
        <is>
          <t>HÖGSBY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53129-2022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46318</v>
      </c>
      <c r="F397" t="inlineStr">
        <is>
          <t>KALMAR LÄN</t>
        </is>
      </c>
      <c r="G397" t="inlineStr">
        <is>
          <t>HÖGSBY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45274</v>
      </c>
      <c r="E398" s="1" t="n">
        <v>46318</v>
      </c>
      <c r="F398" t="inlineStr">
        <is>
          <t>KALMAR LÄN</t>
        </is>
      </c>
      <c r="G398" t="inlineStr">
        <is>
          <t>HÖGSBY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46318</v>
      </c>
      <c r="F399" t="inlineStr">
        <is>
          <t>KALMAR LÄN</t>
        </is>
      </c>
      <c r="G399" t="inlineStr">
        <is>
          <t>HÖGSBY</t>
        </is>
      </c>
      <c r="I399" t="n">
        <v>12.4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4463-2022</t>
        </is>
      </c>
      <c r="B400" t="inlineStr">
        <is>
          <t>samrådsanmälan</t>
        </is>
      </c>
      <c r="C400" t="inlineStr">
        <is>
          <t>Åtgärd i nyckelbiotop</t>
        </is>
      </c>
      <c r="D400" s="1" t="n">
        <v>44788</v>
      </c>
      <c r="E400" s="1" t="n">
        <v>46318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3208-2024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45524</v>
      </c>
      <c r="E401" s="1" t="n">
        <v>46318</v>
      </c>
      <c r="F401" t="inlineStr">
        <is>
          <t>KALMAR LÄN</t>
        </is>
      </c>
      <c r="G401" t="inlineStr">
        <is>
          <t>HÖGSBY</t>
        </is>
      </c>
      <c r="I401" t="n">
        <v>23.3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7006-2022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44903</v>
      </c>
      <c r="E402" s="1" t="n">
        <v>46318</v>
      </c>
      <c r="F402" t="inlineStr">
        <is>
          <t>KALMAR LÄN</t>
        </is>
      </c>
      <c r="G402" t="inlineStr">
        <is>
          <t>HÖGSBY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514-2023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44966</v>
      </c>
      <c r="E403" s="1" t="n">
        <v>46318</v>
      </c>
      <c r="F403" t="inlineStr">
        <is>
          <t>KALMAR LÄN</t>
        </is>
      </c>
      <c r="G403" t="inlineStr">
        <is>
          <t>HÖGSBY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512-2023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44966</v>
      </c>
      <c r="E404" s="1" t="n">
        <v>46318</v>
      </c>
      <c r="F404" t="inlineStr">
        <is>
          <t>KALMAR LÄN</t>
        </is>
      </c>
      <c r="G404" t="inlineStr">
        <is>
          <t>HÖGSBY</t>
        </is>
      </c>
      <c r="I404" t="n">
        <v>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2564-2023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45140</v>
      </c>
      <c r="E405" s="1" t="n">
        <v>46318</v>
      </c>
      <c r="F405" t="inlineStr">
        <is>
          <t>KALMAR LÄN</t>
        </is>
      </c>
      <c r="G405" t="inlineStr">
        <is>
          <t>HÖGSBY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2563-2023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45140</v>
      </c>
      <c r="E406" s="1" t="n">
        <v>46318</v>
      </c>
      <c r="F406" t="inlineStr">
        <is>
          <t>KALMAR LÄN</t>
        </is>
      </c>
      <c r="G406" t="inlineStr">
        <is>
          <t>HÖGSBY</t>
        </is>
      </c>
      <c r="I406" t="n">
        <v>28.7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566-2022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44592</v>
      </c>
      <c r="E407" s="1" t="n">
        <v>46318</v>
      </c>
      <c r="F407" t="inlineStr">
        <is>
          <t>KALMAR LÄN</t>
        </is>
      </c>
      <c r="G407" t="inlineStr">
        <is>
          <t>HÖGSBY</t>
        </is>
      </c>
      <c r="I407" t="n">
        <v>15.1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5035-2024</t>
        </is>
      </c>
      <c r="B408" t="inlineStr">
        <is>
          <t>samrådsanmälan</t>
        </is>
      </c>
      <c r="C408" t="inlineStr">
        <is>
          <t>Stubbskörd</t>
        </is>
      </c>
      <c r="D408" s="1" t="n">
        <v>45636</v>
      </c>
      <c r="E408" s="1" t="n">
        <v>46318</v>
      </c>
      <c r="F408" t="inlineStr">
        <is>
          <t>KALMAR LÄN</t>
        </is>
      </c>
      <c r="G408" t="inlineStr">
        <is>
          <t>HÖGSBY</t>
        </is>
      </c>
      <c r="I408" t="n">
        <v>14.2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561-2022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44592</v>
      </c>
      <c r="E409" s="1" t="n">
        <v>46318</v>
      </c>
      <c r="F409" t="inlineStr">
        <is>
          <t>KALMAR LÄN</t>
        </is>
      </c>
      <c r="G409" t="inlineStr">
        <is>
          <t>HÖGSBY</t>
        </is>
      </c>
      <c r="I409" t="n">
        <v>30.3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2021-2025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45835</v>
      </c>
      <c r="E410" s="1" t="n">
        <v>46318</v>
      </c>
      <c r="F410" t="inlineStr">
        <is>
          <t>KALMAR LÄN</t>
        </is>
      </c>
      <c r="G410" t="inlineStr">
        <is>
          <t>HÖGSBY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379-2023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44958</v>
      </c>
      <c r="E411" s="1" t="n">
        <v>46318</v>
      </c>
      <c r="F411" t="inlineStr">
        <is>
          <t>KALMAR LÄN</t>
        </is>
      </c>
      <c r="G411" t="inlineStr">
        <is>
          <t>HÖGSBY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351-2023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44958</v>
      </c>
      <c r="E412" s="1" t="n">
        <v>46318</v>
      </c>
      <c r="F412" t="inlineStr">
        <is>
          <t>KALMAR LÄN</t>
        </is>
      </c>
      <c r="G412" t="inlineStr">
        <is>
          <t>HÖGSBY</t>
        </is>
      </c>
      <c r="I412" t="n">
        <v>21.3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2809-2025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45938</v>
      </c>
      <c r="E413" s="1" t="n">
        <v>46318</v>
      </c>
      <c r="F413" t="inlineStr">
        <is>
          <t>KALMAR LÄN</t>
        </is>
      </c>
      <c r="G413" t="inlineStr">
        <is>
          <t>HÖGSBY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1031-2026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46318</v>
      </c>
      <c r="F414" t="inlineStr">
        <is>
          <t>KALMAR LÄN</t>
        </is>
      </c>
      <c r="G414" t="inlineStr">
        <is>
          <t>HÖGSBY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1417-2026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46155</v>
      </c>
      <c r="E415" s="1" t="n">
        <v>46318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1418-2026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46155</v>
      </c>
      <c r="E416" s="1" t="n">
        <v>46318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46318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1848-2026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46198</v>
      </c>
      <c r="E418" s="1" t="n">
        <v>46318</v>
      </c>
      <c r="F418" t="inlineStr">
        <is>
          <t>KALMAR LÄN</t>
        </is>
      </c>
      <c r="G418" t="inlineStr">
        <is>
          <t>HÖGSBY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1847-2026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46198</v>
      </c>
      <c r="E419" s="1" t="n">
        <v>46318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1866-2026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46318</v>
      </c>
      <c r="F420" t="inlineStr">
        <is>
          <t>KALMAR LÄN</t>
        </is>
      </c>
      <c r="G420" t="inlineStr">
        <is>
          <t>HÖGSBY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1938-2026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46203</v>
      </c>
      <c r="E421" s="1" t="n">
        <v>46318</v>
      </c>
      <c r="F421" t="inlineStr">
        <is>
          <t>KALMAR LÄN</t>
        </is>
      </c>
      <c r="G421" t="inlineStr">
        <is>
          <t>HÖGSBY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2165-2026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46251</v>
      </c>
      <c r="E422" s="1" t="n">
        <v>46318</v>
      </c>
      <c r="F422" t="inlineStr">
        <is>
          <t>KALMAR LÄN</t>
        </is>
      </c>
      <c r="G422" t="inlineStr">
        <is>
          <t>HÖGSBY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2589-2026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46297</v>
      </c>
      <c r="E423" s="1" t="n">
        <v>46318</v>
      </c>
      <c r="F423" t="inlineStr">
        <is>
          <t>KALMAR LÄN</t>
        </is>
      </c>
      <c r="G423" t="inlineStr">
        <is>
          <t>HÖGSBY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2026-10-23T02:01:52Z</dcterms:created>
  <dcterms:modified xmlns:dcterms="http://purl.org/dc/terms/" xmlns:xsi="http://www.w3.org/2001/XMLSchema-instance" xsi:type="dcterms:W3CDTF">2026-10-23T02:01:53Z</dcterms:modified>
</cp:coreProperties>
</file>