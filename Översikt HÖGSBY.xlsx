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46295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46295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46295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46295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46295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46295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A 38705-2026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46295</v>
      </c>
      <c r="F8" t="inlineStr">
        <is>
          <t>KALMAR LÄN</t>
        </is>
      </c>
      <c r="G8" t="inlineStr">
        <is>
          <t>HÖGSBY</t>
        </is>
      </c>
      <c r="I8" t="n">
        <v>2.9</v>
      </c>
      <c r="J8" t="n">
        <v>5</v>
      </c>
      <c r="K8" t="n">
        <v>2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14</v>
      </c>
      <c r="U8" t="n">
        <v>14</v>
      </c>
      <c r="V8" s="2" t="inlineStr">
        <is>
          <t>Knärot
Större flatbagge
Talltita
Ullticka
Björksplintborre
Grön sköldmossa
Blåsippa
Kransmossa
Tjäder</t>
        </is>
      </c>
      <c r="W8">
        <f>HYPERLINK("https://klasma.github.io/Logging_0821/artfynd/A 38705-2026 artfynd.xlsx", "A 38705-2026")</f>
        <v/>
      </c>
      <c r="X8">
        <f>HYPERLINK("https://klasma.github.io/Logging_0821/kartor/A 38705-2026 karta.png", "A 38705-2026")</f>
        <v/>
      </c>
      <c r="Y8">
        <f>HYPERLINK("https://klasma.github.io/Logging_0821/kartor_geotiff/A 38705-2026 georefererad karta.tif", "A 38705-2026")</f>
        <v/>
      </c>
      <c r="Z8">
        <f>HYPERLINK("https://klasma.github.io/Logging_0821/knärot/A 38705-2026 karta knärot.png", "A 38705-2026")</f>
        <v/>
      </c>
      <c r="AA8">
        <f>HYPERLINK("https://klasma.github.io/Logging_0821/klagomål/A 38705-2026 FSC-klagomål.docx", "A 38705-2026")</f>
        <v/>
      </c>
      <c r="AB8">
        <f>HYPERLINK("https://klasma.github.io/Logging_0821/klagomålsmail/A 38705-2026 FSC-klagomål mail.docx", "A 38705-2026")</f>
        <v/>
      </c>
      <c r="AC8">
        <f>HYPERLINK("https://klasma.github.io/Logging_0821/tillsyn/A 38705-2026 tillsynsbegäran.docx", "A 38705-2026")</f>
        <v/>
      </c>
      <c r="AD8">
        <f>HYPERLINK("https://klasma.github.io/Logging_0821/tillsynsmail/A 38705-2026 tillsynsbegäran mail.docx", "A 38705-2026")</f>
        <v/>
      </c>
      <c r="AE8">
        <f>HYPERLINK("https://klasma.github.io/Logging_0821/fåglar/A 38705-2026 prioriterade fågelarter.docx", "A 38705-2026")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46295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46295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46295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46295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46295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46295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46295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46295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46295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46295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46295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46295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46295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46295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46295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46295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46295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46295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46295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46295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46295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46295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46295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46295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46295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46295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46295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46295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46295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46295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46295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46295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46295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46295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38802-2024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45547</v>
      </c>
      <c r="E43" s="1" t="n">
        <v>46295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HYPERLINK("https://klasma.github.io/Logging_0821/artfynd/A 38802-2024 artfynd.xlsx", "A 38802-2024")</f>
        <v/>
      </c>
      <c r="X43">
        <f>HYPERLINK("https://klasma.github.io/Logging_0821/kartor/A 38802-2024 karta.png", "A 38802-2024")</f>
        <v/>
      </c>
      <c r="Y43">
        <f>HYPERLINK("https://klasma.github.io/Logging_0821/kartor_geotiff/A 38802-2024 georefererad karta.tif", "A 38802-2024")</f>
        <v/>
      </c>
      <c r="AA43">
        <f>HYPERLINK("https://klasma.github.io/Logging_0821/klagomål/A 38802-2024 FSC-klagomål.docx", "A 38802-2024")</f>
        <v/>
      </c>
      <c r="AB43">
        <f>HYPERLINK("https://klasma.github.io/Logging_0821/klagomålsmail/A 38802-2024 FSC-klagomål mail.docx", "A 38802-2024")</f>
        <v/>
      </c>
      <c r="AC43">
        <f>HYPERLINK("https://klasma.github.io/Logging_0821/tillsyn/A 38802-2024 tillsynsbegäran.docx", "A 38802-2024")</f>
        <v/>
      </c>
      <c r="AD43">
        <f>HYPERLINK("https://klasma.github.io/Logging_0821/tillsynsmail/A 38802-2024 tillsynsbegäran mail.docx", "A 38802-2024")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46295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Mindre bastardsvärmare</t>
        </is>
      </c>
      <c r="W44">
        <f>HYPERLINK("https://klasma.github.io/Logging_0821/artfynd/A 17994-2026 artfynd.xlsx", "A 17994-2026")</f>
        <v/>
      </c>
      <c r="X44">
        <f>HYPERLINK("https://klasma.github.io/Logging_0821/kartor/A 17994-2026 karta.png", "A 17994-2026")</f>
        <v/>
      </c>
      <c r="Y44">
        <f>HYPERLINK("https://klasma.github.io/Logging_0821/kartor_geotiff/A 17994-2026 georefererad karta.tif", "A 17994-2026")</f>
        <v/>
      </c>
      <c r="AA44">
        <f>HYPERLINK("https://klasma.github.io/Logging_0821/klagomål/A 17994-2026 FSC-klagomål.docx", "A 17994-2026")</f>
        <v/>
      </c>
      <c r="AB44">
        <f>HYPERLINK("https://klasma.github.io/Logging_0821/klagomålsmail/A 17994-2026 FSC-klagomål mail.docx", "A 17994-2026")</f>
        <v/>
      </c>
      <c r="AC44">
        <f>HYPERLINK("https://klasma.github.io/Logging_0821/tillsyn/A 17994-2026 tillsynsbegäran.docx", "A 17994-2026")</f>
        <v/>
      </c>
      <c r="AD44">
        <f>HYPERLINK("https://klasma.github.io/Logging_0821/tillsynsmail/A 17994-2026 tillsynsbegäran mail.docx", "A 17994-2026")</f>
        <v/>
      </c>
    </row>
    <row r="45" ht="15" customHeight="1">
      <c r="A45" t="inlineStr">
        <is>
          <t>A 19463-2026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46295</v>
      </c>
      <c r="F45" t="inlineStr">
        <is>
          <t>KALMAR LÄN</t>
        </is>
      </c>
      <c r="G45" t="inlineStr">
        <is>
          <t>HÖGSBY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HYPERLINK("https://klasma.github.io/Logging_0821/artfynd/A 19463-2026 artfynd.xlsx", "A 19463-2026")</f>
        <v/>
      </c>
      <c r="X45">
        <f>HYPERLINK("https://klasma.github.io/Logging_0821/kartor/A 19463-2026 karta.png", "A 19463-2026")</f>
        <v/>
      </c>
      <c r="Y45">
        <f>HYPERLINK("https://klasma.github.io/Logging_0821/kartor_geotiff/A 19463-2026 georefererad karta.tif", "A 19463-2026")</f>
        <v/>
      </c>
      <c r="AA45">
        <f>HYPERLINK("https://klasma.github.io/Logging_0821/klagomål/A 19463-2026 FSC-klagomål.docx", "A 19463-2026")</f>
        <v/>
      </c>
      <c r="AB45">
        <f>HYPERLINK("https://klasma.github.io/Logging_0821/klagomålsmail/A 19463-2026 FSC-klagomål mail.docx", "A 19463-2026")</f>
        <v/>
      </c>
      <c r="AC45">
        <f>HYPERLINK("https://klasma.github.io/Logging_0821/tillsyn/A 19463-2026 tillsynsbegäran.docx", "A 19463-2026")</f>
        <v/>
      </c>
      <c r="AD45">
        <f>HYPERLINK("https://klasma.github.io/Logging_0821/tillsynsmail/A 19463-2026 tillsynsbegäran mail.docx", "A 19463-2026")</f>
        <v/>
      </c>
    </row>
    <row r="46" ht="15" customHeight="1">
      <c r="A46" t="inlineStr">
        <is>
          <t>A 52177-2022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46295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Nordfladdermus</t>
        </is>
      </c>
      <c r="W46">
        <f>HYPERLINK("https://klasma.github.io/Logging_0821/artfynd/A 52177-2022 artfynd.xlsx", "A 52177-2022")</f>
        <v/>
      </c>
      <c r="X46">
        <f>HYPERLINK("https://klasma.github.io/Logging_0821/kartor/A 52177-2022 karta.png", "A 52177-2022")</f>
        <v/>
      </c>
      <c r="Y46">
        <f>HYPERLINK("https://klasma.github.io/Logging_0821/kartor_geotiff/A 52177-2022 georefererad karta.tif", "A 52177-2022")</f>
        <v/>
      </c>
      <c r="AA46">
        <f>HYPERLINK("https://klasma.github.io/Logging_0821/klagomål/A 52177-2022 FSC-klagomål.docx", "A 52177-2022")</f>
        <v/>
      </c>
      <c r="AB46">
        <f>HYPERLINK("https://klasma.github.io/Logging_0821/klagomålsmail/A 52177-2022 FSC-klagomål mail.docx", "A 52177-2022")</f>
        <v/>
      </c>
      <c r="AC46">
        <f>HYPERLINK("https://klasma.github.io/Logging_0821/tillsyn/A 52177-2022 tillsynsbegäran.docx", "A 52177-2022")</f>
        <v/>
      </c>
      <c r="AD46">
        <f>HYPERLINK("https://klasma.github.io/Logging_0821/tillsynsmail/A 52177-2022 tillsynsbegäran mail.docx", "A 52177-2022")</f>
        <v/>
      </c>
    </row>
    <row r="47" ht="15" customHeight="1">
      <c r="A47" t="inlineStr">
        <is>
          <t>A 58792-2022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44903</v>
      </c>
      <c r="E47" s="1" t="n">
        <v>46295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58792-2022 artfynd.xlsx", "A 58792-2022")</f>
        <v/>
      </c>
      <c r="X47">
        <f>HYPERLINK("https://klasma.github.io/Logging_0821/kartor/A 58792-2022 karta.png", "A 58792-2022")</f>
        <v/>
      </c>
      <c r="Y47">
        <f>HYPERLINK("https://klasma.github.io/Logging_0821/kartor_geotiff/A 58792-2022 georefererad karta.tif", "A 58792-2022")</f>
        <v/>
      </c>
      <c r="AA47">
        <f>HYPERLINK("https://klasma.github.io/Logging_0821/klagomål/A 58792-2022 FSC-klagomål.docx", "A 58792-2022")</f>
        <v/>
      </c>
      <c r="AB47">
        <f>HYPERLINK("https://klasma.github.io/Logging_0821/klagomålsmail/A 58792-2022 FSC-klagomål mail.docx", "A 58792-2022")</f>
        <v/>
      </c>
      <c r="AC47">
        <f>HYPERLINK("https://klasma.github.io/Logging_0821/tillsyn/A 58792-2022 tillsynsbegäran.docx", "A 58792-2022")</f>
        <v/>
      </c>
      <c r="AD47">
        <f>HYPERLINK("https://klasma.github.io/Logging_0821/tillsynsmail/A 58792-2022 tillsynsbegäran mail.docx", "A 58792-2022")</f>
        <v/>
      </c>
    </row>
    <row r="48" ht="15" customHeight="1">
      <c r="A48" t="inlineStr">
        <is>
          <t>A 19536-2026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46295</v>
      </c>
      <c r="F48" t="inlineStr">
        <is>
          <t>KALMAR LÄN</t>
        </is>
      </c>
      <c r="G48" t="inlineStr">
        <is>
          <t>HÖGSBY</t>
        </is>
      </c>
      <c r="I48" t="n">
        <v>4.7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19536-2026 artfynd.xlsx", "A 19536-2026")</f>
        <v/>
      </c>
      <c r="X48">
        <f>HYPERLINK("https://klasma.github.io/Logging_0821/kartor/A 19536-2026 karta.png", "A 19536-2026")</f>
        <v/>
      </c>
      <c r="Y48">
        <f>HYPERLINK("https://klasma.github.io/Logging_0821/kartor_geotiff/A 19536-2026 georefererad karta.tif", "A 19536-2026")</f>
        <v/>
      </c>
      <c r="AA48">
        <f>HYPERLINK("https://klasma.github.io/Logging_0821/klagomål/A 19536-2026 FSC-klagomål.docx", "A 19536-2026")</f>
        <v/>
      </c>
      <c r="AB48">
        <f>HYPERLINK("https://klasma.github.io/Logging_0821/klagomålsmail/A 19536-2026 FSC-klagomål mail.docx", "A 19536-2026")</f>
        <v/>
      </c>
      <c r="AC48">
        <f>HYPERLINK("https://klasma.github.io/Logging_0821/tillsyn/A 19536-2026 tillsynsbegäran.docx", "A 19536-2026")</f>
        <v/>
      </c>
      <c r="AD48">
        <f>HYPERLINK("https://klasma.github.io/Logging_0821/tillsynsmail/A 19536-2026 tillsynsbegäran mail.docx", "A 19536-2026")</f>
        <v/>
      </c>
      <c r="AE48">
        <f>HYPERLINK("https://klasma.github.io/Logging_0821/fåglar/A 19536-2026 prioriterade fågelarter.docx", "A 19536-2026")</f>
        <v/>
      </c>
    </row>
    <row r="49" ht="15" customHeight="1">
      <c r="A49" t="inlineStr">
        <is>
          <t>A 38267-2025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46295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Flikig tallfibbla</t>
        </is>
      </c>
      <c r="W49">
        <f>HYPERLINK("https://klasma.github.io/Logging_0821/artfynd/A 38267-2025 artfynd.xlsx", "A 38267-2025")</f>
        <v/>
      </c>
      <c r="X49">
        <f>HYPERLINK("https://klasma.github.io/Logging_0821/kartor/A 38267-2025 karta.png", "A 38267-2025")</f>
        <v/>
      </c>
      <c r="Y49">
        <f>HYPERLINK("https://klasma.github.io/Logging_0821/kartor_geotiff/A 38267-2025 georefererad karta.tif", "A 38267-2025")</f>
        <v/>
      </c>
      <c r="AA49">
        <f>HYPERLINK("https://klasma.github.io/Logging_0821/klagomål/A 38267-2025 FSC-klagomål.docx", "A 38267-2025")</f>
        <v/>
      </c>
      <c r="AB49">
        <f>HYPERLINK("https://klasma.github.io/Logging_0821/klagomålsmail/A 38267-2025 FSC-klagomål mail.docx", "A 38267-2025")</f>
        <v/>
      </c>
      <c r="AC49">
        <f>HYPERLINK("https://klasma.github.io/Logging_0821/tillsyn/A 38267-2025 tillsynsbegäran.docx", "A 38267-2025")</f>
        <v/>
      </c>
      <c r="AD49">
        <f>HYPERLINK("https://klasma.github.io/Logging_0821/tillsynsmail/A 38267-2025 tillsynsbegäran mail.docx", "A 38267-2025")</f>
        <v/>
      </c>
    </row>
    <row r="50" ht="15" customHeight="1">
      <c r="A50" t="inlineStr">
        <is>
          <t>A 59407-2022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46295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Blåsippa</t>
        </is>
      </c>
      <c r="W50">
        <f>HYPERLINK("https://klasma.github.io/Logging_0821/artfynd/A 59407-2022 artfynd.xlsx", "A 59407-2022")</f>
        <v/>
      </c>
      <c r="X50">
        <f>HYPERLINK("https://klasma.github.io/Logging_0821/kartor/A 59407-2022 karta.png", "A 59407-2022")</f>
        <v/>
      </c>
      <c r="Y50">
        <f>HYPERLINK("https://klasma.github.io/Logging_0821/kartor_geotiff/A 59407-2022 georefererad karta.tif", "A 59407-2022")</f>
        <v/>
      </c>
      <c r="AA50">
        <f>HYPERLINK("https://klasma.github.io/Logging_0821/klagomål/A 59407-2022 FSC-klagomål.docx", "A 59407-2022")</f>
        <v/>
      </c>
      <c r="AB50">
        <f>HYPERLINK("https://klasma.github.io/Logging_0821/klagomålsmail/A 59407-2022 FSC-klagomål mail.docx", "A 59407-2022")</f>
        <v/>
      </c>
      <c r="AC50">
        <f>HYPERLINK("https://klasma.github.io/Logging_0821/tillsyn/A 59407-2022 tillsynsbegäran.docx", "A 59407-2022")</f>
        <v/>
      </c>
      <c r="AD50">
        <f>HYPERLINK("https://klasma.github.io/Logging_0821/tillsynsmail/A 59407-2022 tillsynsbegäran mail.docx", "A 59407-2022")</f>
        <v/>
      </c>
    </row>
    <row r="51" ht="15" customHeight="1">
      <c r="A51" t="inlineStr">
        <is>
          <t>A 35075-2023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46295</v>
      </c>
      <c r="F51" t="inlineStr">
        <is>
          <t>KALMAR LÄN</t>
        </is>
      </c>
      <c r="G51" t="inlineStr">
        <is>
          <t>HÖGSBY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35075-2023 artfynd.xlsx", "A 35075-2023")</f>
        <v/>
      </c>
      <c r="X51">
        <f>HYPERLINK("https://klasma.github.io/Logging_0821/kartor/A 35075-2023 karta.png", "A 35075-2023")</f>
        <v/>
      </c>
      <c r="Y51">
        <f>HYPERLINK("https://klasma.github.io/Logging_0821/kartor_geotiff/A 35075-2023 georefererad karta.tif", "A 35075-2023")</f>
        <v/>
      </c>
      <c r="AA51">
        <f>HYPERLINK("https://klasma.github.io/Logging_0821/klagomål/A 35075-2023 FSC-klagomål.docx", "A 35075-2023")</f>
        <v/>
      </c>
      <c r="AB51">
        <f>HYPERLINK("https://klasma.github.io/Logging_0821/klagomålsmail/A 35075-2023 FSC-klagomål mail.docx", "A 35075-2023")</f>
        <v/>
      </c>
      <c r="AC51">
        <f>HYPERLINK("https://klasma.github.io/Logging_0821/tillsyn/A 35075-2023 tillsynsbegäran.docx", "A 35075-2023")</f>
        <v/>
      </c>
      <c r="AD51">
        <f>HYPERLINK("https://klasma.github.io/Logging_0821/tillsynsmail/A 35075-2023 tillsynsbegäran mail.docx", "A 35075-2023")</f>
        <v/>
      </c>
    </row>
    <row r="52" ht="15" customHeight="1">
      <c r="A52" t="inlineStr">
        <is>
          <t>A 1519-2022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46295</v>
      </c>
      <c r="F52" t="inlineStr">
        <is>
          <t>KALMAR LÄN</t>
        </is>
      </c>
      <c r="G52" t="inlineStr">
        <is>
          <t>HÖGSBY</t>
        </is>
      </c>
      <c r="I52" t="n">
        <v>2.6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HYPERLINK("https://klasma.github.io/Logging_0821/artfynd/A 1519-2022 artfynd.xlsx", "A 1519-2022")</f>
        <v/>
      </c>
      <c r="X52">
        <f>HYPERLINK("https://klasma.github.io/Logging_0821/kartor/A 1519-2022 karta.png", "A 1519-2022")</f>
        <v/>
      </c>
      <c r="Y52">
        <f>HYPERLINK("https://klasma.github.io/Logging_0821/kartor_geotiff/A 1519-2022 georefererad karta.tif", "A 1519-2022")</f>
        <v/>
      </c>
      <c r="AA52">
        <f>HYPERLINK("https://klasma.github.io/Logging_0821/klagomål/A 1519-2022 FSC-klagomål.docx", "A 1519-2022")</f>
        <v/>
      </c>
      <c r="AB52">
        <f>HYPERLINK("https://klasma.github.io/Logging_0821/klagomålsmail/A 1519-2022 FSC-klagomål mail.docx", "A 1519-2022")</f>
        <v/>
      </c>
      <c r="AC52">
        <f>HYPERLINK("https://klasma.github.io/Logging_0821/tillsyn/A 1519-2022 tillsynsbegäran.docx", "A 1519-2022")</f>
        <v/>
      </c>
      <c r="AD52">
        <f>HYPERLINK("https://klasma.github.io/Logging_0821/tillsynsmail/A 1519-2022 tillsynsbegäran mail.docx", "A 1519-2022")</f>
        <v/>
      </c>
    </row>
    <row r="53" ht="15" customHeight="1">
      <c r="A53" t="inlineStr">
        <is>
          <t>A 22757-2026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46157</v>
      </c>
      <c r="E53" s="1" t="n">
        <v>46295</v>
      </c>
      <c r="F53" t="inlineStr">
        <is>
          <t>KALMAR LÄN</t>
        </is>
      </c>
      <c r="G53" t="inlineStr">
        <is>
          <t>HÖGSBY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4</v>
      </c>
      <c r="V53" s="2" t="inlineStr">
        <is>
          <t>Blåsippa</t>
        </is>
      </c>
      <c r="W53">
        <f>HYPERLINK("https://klasma.github.io/Logging_0821/artfynd/A 22757-2026 artfynd.xlsx", "A 22757-2026")</f>
        <v/>
      </c>
      <c r="X53">
        <f>HYPERLINK("https://klasma.github.io/Logging_0821/kartor/A 22757-2026 karta.png", "A 22757-2026")</f>
        <v/>
      </c>
      <c r="Y53">
        <f>HYPERLINK("https://klasma.github.io/Logging_0821/kartor_geotiff/A 22757-2026 georefererad karta.tif", "A 22757-2026")</f>
        <v/>
      </c>
      <c r="AA53">
        <f>HYPERLINK("https://klasma.github.io/Logging_0821/klagomål/A 22757-2026 FSC-klagomål.docx", "A 22757-2026")</f>
        <v/>
      </c>
      <c r="AB53">
        <f>HYPERLINK("https://klasma.github.io/Logging_0821/klagomålsmail/A 22757-2026 FSC-klagomål mail.docx", "A 22757-2026")</f>
        <v/>
      </c>
      <c r="AC53">
        <f>HYPERLINK("https://klasma.github.io/Logging_0821/tillsyn/A 22757-2026 tillsynsbegäran.docx", "A 22757-2026")</f>
        <v/>
      </c>
      <c r="AD53">
        <f>HYPERLINK("https://klasma.github.io/Logging_0821/tillsynsmail/A 22757-2026 tillsynsbegäran mail.docx", "A 22757-2026")</f>
        <v/>
      </c>
    </row>
    <row r="54" ht="15" customHeight="1">
      <c r="A54" t="inlineStr">
        <is>
          <t>A 23859-2026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46295</v>
      </c>
      <c r="F54" t="inlineStr">
        <is>
          <t>KALMAR LÄN</t>
        </is>
      </c>
      <c r="G54" t="inlineStr">
        <is>
          <t>HÖGSBY</t>
        </is>
      </c>
      <c r="I54" t="n">
        <v>3.8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Rödlånke</t>
        </is>
      </c>
      <c r="W54">
        <f>HYPERLINK("https://klasma.github.io/Logging_0821/artfynd/A 23859-2026 artfynd.xlsx", "A 23859-2026")</f>
        <v/>
      </c>
      <c r="X54">
        <f>HYPERLINK("https://klasma.github.io/Logging_0821/kartor/A 23859-2026 karta.png", "A 23859-2026")</f>
        <v/>
      </c>
      <c r="Y54">
        <f>HYPERLINK("https://klasma.github.io/Logging_0821/kartor_geotiff/A 23859-2026 georefererad karta.tif", "A 23859-2026")</f>
        <v/>
      </c>
      <c r="AA54">
        <f>HYPERLINK("https://klasma.github.io/Logging_0821/klagomål/A 23859-2026 FSC-klagomål.docx", "A 23859-2026")</f>
        <v/>
      </c>
      <c r="AB54">
        <f>HYPERLINK("https://klasma.github.io/Logging_0821/klagomålsmail/A 23859-2026 FSC-klagomål mail.docx", "A 23859-2026")</f>
        <v/>
      </c>
      <c r="AC54">
        <f>HYPERLINK("https://klasma.github.io/Logging_0821/tillsyn/A 23859-2026 tillsynsbegäran.docx", "A 23859-2026")</f>
        <v/>
      </c>
      <c r="AD54">
        <f>HYPERLINK("https://klasma.github.io/Logging_0821/tillsynsmail/A 23859-2026 tillsynsbegäran mail.docx", "A 23859-2026")</f>
        <v/>
      </c>
    </row>
    <row r="55" ht="15" customHeight="1">
      <c r="A55" t="inlineStr">
        <is>
          <t>A 35072-2023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46295</v>
      </c>
      <c r="F55" t="inlineStr">
        <is>
          <t>KALMAR LÄN</t>
        </is>
      </c>
      <c r="G55" t="inlineStr">
        <is>
          <t>HÖGSBY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35072-2023 artfynd.xlsx", "A 35072-2023")</f>
        <v/>
      </c>
      <c r="X55">
        <f>HYPERLINK("https://klasma.github.io/Logging_0821/kartor/A 35072-2023 karta.png", "A 35072-2023")</f>
        <v/>
      </c>
      <c r="Y55">
        <f>HYPERLINK("https://klasma.github.io/Logging_0821/kartor_geotiff/A 35072-2023 georefererad karta.tif", "A 35072-2023")</f>
        <v/>
      </c>
      <c r="AA55">
        <f>HYPERLINK("https://klasma.github.io/Logging_0821/klagomål/A 35072-2023 FSC-klagomål.docx", "A 35072-2023")</f>
        <v/>
      </c>
      <c r="AB55">
        <f>HYPERLINK("https://klasma.github.io/Logging_0821/klagomålsmail/A 35072-2023 FSC-klagomål mail.docx", "A 35072-2023")</f>
        <v/>
      </c>
      <c r="AC55">
        <f>HYPERLINK("https://klasma.github.io/Logging_0821/tillsyn/A 35072-2023 tillsynsbegäran.docx", "A 35072-2023")</f>
        <v/>
      </c>
      <c r="AD55">
        <f>HYPERLINK("https://klasma.github.io/Logging_0821/tillsynsmail/A 35072-2023 tillsynsbegäran mail.docx", "A 35072-2023")</f>
        <v/>
      </c>
    </row>
    <row r="56" ht="15" customHeight="1">
      <c r="A56" t="inlineStr">
        <is>
          <t>A 19519-2025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46295</v>
      </c>
      <c r="F56" t="inlineStr">
        <is>
          <t>KALMAR LÄN</t>
        </is>
      </c>
      <c r="G56" t="inlineStr">
        <is>
          <t>HÖGSBY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HYPERLINK("https://klasma.github.io/Logging_0821/artfynd/A 19519-2025 artfynd.xlsx", "A 19519-2025")</f>
        <v/>
      </c>
      <c r="X56">
        <f>HYPERLINK("https://klasma.github.io/Logging_0821/kartor/A 19519-2025 karta.png", "A 19519-2025")</f>
        <v/>
      </c>
      <c r="Y56">
        <f>HYPERLINK("https://klasma.github.io/Logging_0821/kartor_geotiff/A 19519-2025 georefererad karta.tif", "A 19519-2025")</f>
        <v/>
      </c>
      <c r="AA56">
        <f>HYPERLINK("https://klasma.github.io/Logging_0821/klagomål/A 19519-2025 FSC-klagomål.docx", "A 19519-2025")</f>
        <v/>
      </c>
      <c r="AB56">
        <f>HYPERLINK("https://klasma.github.io/Logging_0821/klagomålsmail/A 19519-2025 FSC-klagomål mail.docx", "A 19519-2025")</f>
        <v/>
      </c>
      <c r="AC56">
        <f>HYPERLINK("https://klasma.github.io/Logging_0821/tillsyn/A 19519-2025 tillsynsbegäran.docx", "A 19519-2025")</f>
        <v/>
      </c>
      <c r="AD56">
        <f>HYPERLINK("https://klasma.github.io/Logging_0821/tillsynsmail/A 19519-2025 tillsynsbegäran mail.docx", "A 19519-2025")</f>
        <v/>
      </c>
    </row>
    <row r="57" ht="15" customHeight="1">
      <c r="A57" t="inlineStr">
        <is>
          <t>A 26145-2026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46295</v>
      </c>
      <c r="F57" t="inlineStr">
        <is>
          <t>KALMAR LÄN</t>
        </is>
      </c>
      <c r="G57" t="inlineStr">
        <is>
          <t>HÖGSBY</t>
        </is>
      </c>
      <c r="I57" t="n">
        <v>1.6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Gullviva</t>
        </is>
      </c>
      <c r="W57">
        <f>HYPERLINK("https://klasma.github.io/Logging_0821/artfynd/A 26145-2026 artfynd.xlsx", "A 26145-2026")</f>
        <v/>
      </c>
      <c r="X57">
        <f>HYPERLINK("https://klasma.github.io/Logging_0821/kartor/A 26145-2026 karta.png", "A 26145-2026")</f>
        <v/>
      </c>
      <c r="Y57">
        <f>HYPERLINK("https://klasma.github.io/Logging_0821/kartor_geotiff/A 26145-2026 georefererad karta.tif", "A 26145-2026")</f>
        <v/>
      </c>
      <c r="AA57">
        <f>HYPERLINK("https://klasma.github.io/Logging_0821/klagomål/A 26145-2026 FSC-klagomål.docx", "A 26145-2026")</f>
        <v/>
      </c>
      <c r="AB57">
        <f>HYPERLINK("https://klasma.github.io/Logging_0821/klagomålsmail/A 26145-2026 FSC-klagomål mail.docx", "A 26145-2026")</f>
        <v/>
      </c>
      <c r="AC57">
        <f>HYPERLINK("https://klasma.github.io/Logging_0821/tillsyn/A 26145-2026 tillsynsbegäran.docx", "A 26145-2026")</f>
        <v/>
      </c>
      <c r="AD57">
        <f>HYPERLINK("https://klasma.github.io/Logging_0821/tillsynsmail/A 26145-2026 tillsynsbegäran mail.docx", "A 26145-2026")</f>
        <v/>
      </c>
    </row>
    <row r="58" ht="15" customHeight="1">
      <c r="A58" t="inlineStr">
        <is>
          <t>A 27366-2026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46295</v>
      </c>
      <c r="F58" t="inlineStr">
        <is>
          <t>KALMAR LÄN</t>
        </is>
      </c>
      <c r="G58" t="inlineStr">
        <is>
          <t>HÖGSBY</t>
        </is>
      </c>
      <c r="I58" t="n">
        <v>4.4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27366-2026 artfynd.xlsx", "A 27366-2026")</f>
        <v/>
      </c>
      <c r="X58">
        <f>HYPERLINK("https://klasma.github.io/Logging_0821/kartor/A 27366-2026 karta.png", "A 27366-2026")</f>
        <v/>
      </c>
      <c r="Y58">
        <f>HYPERLINK("https://klasma.github.io/Logging_0821/kartor_geotiff/A 27366-2026 georefererad karta.tif", "A 27366-2026")</f>
        <v/>
      </c>
      <c r="AA58">
        <f>HYPERLINK("https://klasma.github.io/Logging_0821/klagomål/A 27366-2026 FSC-klagomål.docx", "A 27366-2026")</f>
        <v/>
      </c>
      <c r="AB58">
        <f>HYPERLINK("https://klasma.github.io/Logging_0821/klagomålsmail/A 27366-2026 FSC-klagomål mail.docx", "A 27366-2026")</f>
        <v/>
      </c>
      <c r="AC58">
        <f>HYPERLINK("https://klasma.github.io/Logging_0821/tillsyn/A 27366-2026 tillsynsbegäran.docx", "A 27366-2026")</f>
        <v/>
      </c>
      <c r="AD58">
        <f>HYPERLINK("https://klasma.github.io/Logging_0821/tillsynsmail/A 27366-2026 tillsynsbegäran mail.docx", "A 27366-2026")</f>
        <v/>
      </c>
    </row>
    <row r="59" ht="15" customHeight="1">
      <c r="A59" t="inlineStr">
        <is>
          <t>A 28894-2026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46295</v>
      </c>
      <c r="F59" t="inlineStr">
        <is>
          <t>KALMAR LÄN</t>
        </is>
      </c>
      <c r="G59" t="inlineStr">
        <is>
          <t>HÖGSBY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HYPERLINK("https://klasma.github.io/Logging_0821/artfynd/A 28894-2026 artfynd.xlsx", "A 28894-2026")</f>
        <v/>
      </c>
      <c r="X59">
        <f>HYPERLINK("https://klasma.github.io/Logging_0821/kartor/A 28894-2026 karta.png", "A 28894-2026")</f>
        <v/>
      </c>
      <c r="Y59">
        <f>HYPERLINK("https://klasma.github.io/Logging_0821/kartor_geotiff/A 28894-2026 georefererad karta.tif", "A 28894-2026")</f>
        <v/>
      </c>
      <c r="AA59">
        <f>HYPERLINK("https://klasma.github.io/Logging_0821/klagomål/A 28894-2026 FSC-klagomål.docx", "A 28894-2026")</f>
        <v/>
      </c>
      <c r="AB59">
        <f>HYPERLINK("https://klasma.github.io/Logging_0821/klagomålsmail/A 28894-2026 FSC-klagomål mail.docx", "A 28894-2026")</f>
        <v/>
      </c>
      <c r="AC59">
        <f>HYPERLINK("https://klasma.github.io/Logging_0821/tillsyn/A 28894-2026 tillsynsbegäran.docx", "A 28894-2026")</f>
        <v/>
      </c>
      <c r="AD59">
        <f>HYPERLINK("https://klasma.github.io/Logging_0821/tillsynsmail/A 28894-2026 tillsynsbegäran mail.docx", "A 28894-2026")</f>
        <v/>
      </c>
      <c r="AE59">
        <f>HYPERLINK("https://klasma.github.io/Logging_0821/fåglar/A 28894-2026 prioriterade fågelarter.docx", "A 28894-2026")</f>
        <v/>
      </c>
    </row>
    <row r="60" ht="15" customHeight="1">
      <c r="A60" t="inlineStr">
        <is>
          <t>A 30186-2026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46206</v>
      </c>
      <c r="E60" s="1" t="n">
        <v>46295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HYPERLINK("https://klasma.github.io/Logging_0821/artfynd/A 30186-2026 artfynd.xlsx", "A 30186-2026")</f>
        <v/>
      </c>
      <c r="X60">
        <f>HYPERLINK("https://klasma.github.io/Logging_0821/kartor/A 30186-2026 karta.png", "A 30186-2026")</f>
        <v/>
      </c>
      <c r="Y60">
        <f>HYPERLINK("https://klasma.github.io/Logging_0821/kartor_geotiff/A 30186-2026 georefererad karta.tif", "A 30186-2026")</f>
        <v/>
      </c>
      <c r="AA60">
        <f>HYPERLINK("https://klasma.github.io/Logging_0821/klagomål/A 30186-2026 FSC-klagomål.docx", "A 30186-2026")</f>
        <v/>
      </c>
      <c r="AB60">
        <f>HYPERLINK("https://klasma.github.io/Logging_0821/klagomålsmail/A 30186-2026 FSC-klagomål mail.docx", "A 30186-2026")</f>
        <v/>
      </c>
      <c r="AC60">
        <f>HYPERLINK("https://klasma.github.io/Logging_0821/tillsyn/A 30186-2026 tillsynsbegäran.docx", "A 30186-2026")</f>
        <v/>
      </c>
      <c r="AD60">
        <f>HYPERLINK("https://klasma.github.io/Logging_0821/tillsynsmail/A 30186-2026 tillsynsbegäran mail.docx", "A 30186-2026")</f>
        <v/>
      </c>
    </row>
    <row r="61" ht="15" customHeight="1">
      <c r="A61" t="inlineStr">
        <is>
          <t>A 59700-2023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45256</v>
      </c>
      <c r="E61" s="1" t="n">
        <v>46295</v>
      </c>
      <c r="F61" t="inlineStr">
        <is>
          <t>KALMAR LÄN</t>
        </is>
      </c>
      <c r="G61" t="inlineStr">
        <is>
          <t>HÖGSBY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HYPERLINK("https://klasma.github.io/Logging_0821/artfynd/A 59700-2023 artfynd.xlsx", "A 59700-2023")</f>
        <v/>
      </c>
      <c r="X61">
        <f>HYPERLINK("https://klasma.github.io/Logging_0821/kartor/A 59700-2023 karta.png", "A 59700-2023")</f>
        <v/>
      </c>
      <c r="Y61">
        <f>HYPERLINK("https://klasma.github.io/Logging_0821/kartor_geotiff/A 59700-2023 georefererad karta.tif", "A 59700-2023")</f>
        <v/>
      </c>
      <c r="AA61">
        <f>HYPERLINK("https://klasma.github.io/Logging_0821/klagomål/A 59700-2023 FSC-klagomål.docx", "A 59700-2023")</f>
        <v/>
      </c>
      <c r="AB61">
        <f>HYPERLINK("https://klasma.github.io/Logging_0821/klagomålsmail/A 59700-2023 FSC-klagomål mail.docx", "A 59700-2023")</f>
        <v/>
      </c>
      <c r="AC61">
        <f>HYPERLINK("https://klasma.github.io/Logging_0821/tillsyn/A 59700-2023 tillsynsbegäran.docx", "A 59700-2023")</f>
        <v/>
      </c>
      <c r="AD61">
        <f>HYPERLINK("https://klasma.github.io/Logging_0821/tillsynsmail/A 59700-2023 tillsynsbegäran mail.docx", "A 59700-2023")</f>
        <v/>
      </c>
      <c r="AE61">
        <f>HYPERLINK("https://klasma.github.io/Logging_0821/fåglar/A 59700-2023 prioriterade fågelarter.docx", "A 59700-2023")</f>
        <v/>
      </c>
    </row>
    <row r="62" ht="15" customHeight="1">
      <c r="A62" t="inlineStr">
        <is>
          <t>A 30800-2026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46212</v>
      </c>
      <c r="E62" s="1" t="n">
        <v>46295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HYPERLINK("https://klasma.github.io/Logging_0821/artfynd/A 30800-2026 artfynd.xlsx", "A 30800-2026")</f>
        <v/>
      </c>
      <c r="X62">
        <f>HYPERLINK("https://klasma.github.io/Logging_0821/kartor/A 30800-2026 karta.png", "A 30800-2026")</f>
        <v/>
      </c>
      <c r="Y62">
        <f>HYPERLINK("https://klasma.github.io/Logging_0821/kartor_geotiff/A 30800-2026 georefererad karta.tif", "A 30800-2026")</f>
        <v/>
      </c>
      <c r="AA62">
        <f>HYPERLINK("https://klasma.github.io/Logging_0821/klagomål/A 30800-2026 FSC-klagomål.docx", "A 30800-2026")</f>
        <v/>
      </c>
      <c r="AB62">
        <f>HYPERLINK("https://klasma.github.io/Logging_0821/klagomålsmail/A 30800-2026 FSC-klagomål mail.docx", "A 30800-2026")</f>
        <v/>
      </c>
      <c r="AC62">
        <f>HYPERLINK("https://klasma.github.io/Logging_0821/tillsyn/A 30800-2026 tillsynsbegäran.docx", "A 30800-2026")</f>
        <v/>
      </c>
      <c r="AD62">
        <f>HYPERLINK("https://klasma.github.io/Logging_0821/tillsynsmail/A 30800-2026 tillsynsbegäran mail.docx", "A 30800-2026")</f>
        <v/>
      </c>
    </row>
    <row r="63" ht="15" customHeight="1">
      <c r="A63" t="inlineStr">
        <is>
          <t>A 39491-2026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46289</v>
      </c>
      <c r="E63" s="1" t="n">
        <v>46295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33.4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HYPERLINK("https://klasma.github.io/Logging_0821/artfynd/A 39491-2026 artfynd.xlsx", "A 39491-2026")</f>
        <v/>
      </c>
      <c r="X63">
        <f>HYPERLINK("https://klasma.github.io/Logging_0821/kartor/A 39491-2026 karta.png", "A 39491-2026")</f>
        <v/>
      </c>
      <c r="Y63">
        <f>HYPERLINK("https://klasma.github.io/Logging_0821/kartor_geotiff/A 39491-2026 georefererad karta.tif", "A 39491-2026")</f>
        <v/>
      </c>
      <c r="AA63">
        <f>HYPERLINK("https://klasma.github.io/Logging_0821/klagomål/A 39491-2026 FSC-klagomål.docx", "A 39491-2026")</f>
        <v/>
      </c>
      <c r="AB63">
        <f>HYPERLINK("https://klasma.github.io/Logging_0821/klagomålsmail/A 39491-2026 FSC-klagomål mail.docx", "A 39491-2026")</f>
        <v/>
      </c>
      <c r="AC63">
        <f>HYPERLINK("https://klasma.github.io/Logging_0821/tillsyn/A 39491-2026 tillsynsbegäran.docx", "A 39491-2026")</f>
        <v/>
      </c>
      <c r="AD63">
        <f>HYPERLINK("https://klasma.github.io/Logging_0821/tillsynsmail/A 39491-2026 tillsynsbegäran mail.docx", "A 39491-2026")</f>
        <v/>
      </c>
    </row>
    <row r="64" ht="15" customHeight="1">
      <c r="A64" t="inlineStr">
        <is>
          <t>A 33784-2026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46251</v>
      </c>
      <c r="E64" s="1" t="n">
        <v>46295</v>
      </c>
      <c r="F64" t="inlineStr">
        <is>
          <t>KALMAR LÄN</t>
        </is>
      </c>
      <c r="G64" t="inlineStr">
        <is>
          <t>HÖGSBY</t>
        </is>
      </c>
      <c r="H64" t="inlineStr">
        <is>
          <t>Sveaskog</t>
        </is>
      </c>
      <c r="I64" t="n">
        <v>8.699999999999999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HYPERLINK("https://klasma.github.io/Logging_0821/artfynd/A 33784-2026 artfynd.xlsx", "A 33784-2026")</f>
        <v/>
      </c>
      <c r="X64">
        <f>HYPERLINK("https://klasma.github.io/Logging_0821/kartor/A 33784-2026 karta.png", "A 33784-2026")</f>
        <v/>
      </c>
      <c r="Y64">
        <f>HYPERLINK("https://klasma.github.io/Logging_0821/kartor_geotiff/A 33784-2026 georefererad karta.tif", "A 33784-2026")</f>
        <v/>
      </c>
      <c r="AA64">
        <f>HYPERLINK("https://klasma.github.io/Logging_0821/klagomål/A 33784-2026 FSC-klagomål.docx", "A 33784-2026")</f>
        <v/>
      </c>
      <c r="AB64">
        <f>HYPERLINK("https://klasma.github.io/Logging_0821/klagomålsmail/A 33784-2026 FSC-klagomål mail.docx", "A 33784-2026")</f>
        <v/>
      </c>
      <c r="AC64">
        <f>HYPERLINK("https://klasma.github.io/Logging_0821/tillsyn/A 33784-2026 tillsynsbegäran.docx", "A 33784-2026")</f>
        <v/>
      </c>
      <c r="AD64">
        <f>HYPERLINK("https://klasma.github.io/Logging_0821/tillsynsmail/A 33784-2026 tillsynsbegäran mail.docx", "A 33784-2026")</f>
        <v/>
      </c>
      <c r="AE64">
        <f>HYPERLINK("https://klasma.github.io/Logging_0821/fåglar/A 33784-2026 prioriterade fågelarter.docx", "A 33784-2026")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46295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46295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352-2023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44958</v>
      </c>
      <c r="E67" s="1" t="n">
        <v>46295</v>
      </c>
      <c r="F67" t="inlineStr">
        <is>
          <t>KALMAR LÄN</t>
        </is>
      </c>
      <c r="G67" t="inlineStr">
        <is>
          <t>HÖGSBY</t>
        </is>
      </c>
      <c r="I67" t="n">
        <v>20.9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HYPERLINK("https://klasma.github.io/Logging_0821/artfynd/S 352-2023 artfynd.xlsx", "S 352-2023")</f>
        <v/>
      </c>
      <c r="X67">
        <f>HYPERLINK("https://klasma.github.io/Logging_0821/kartor/S 352-2023 karta.png", "S 352-2023")</f>
        <v/>
      </c>
      <c r="Y67">
        <f>HYPERLINK("https://klasma.github.io/Logging_0821/kartor_geotiff/S 352-2023 georefererad karta.tif", "S 352-2023")</f>
        <v/>
      </c>
      <c r="Z67">
        <f>HYPERLINK("https://klasma.github.io/Logging_0821/knärot/S 352-2023 karta knärot.png", "S 352-2023")</f>
        <v/>
      </c>
      <c r="AA67">
        <f>HYPERLINK("https://klasma.github.io/Logging_0821/klagomål/S 352-2023 FSC-klagomål.docx", "S 352-2023")</f>
        <v/>
      </c>
      <c r="AB67">
        <f>HYPERLINK("https://klasma.github.io/Logging_0821/klagomålsmail/S 352-2023 FSC-klagomål mail.docx", "S 352-2023")</f>
        <v/>
      </c>
      <c r="AC67">
        <f>HYPERLINK("https://klasma.github.io/Logging_0821/tillsyn/S 352-2023 tillsynsbegäran.docx", "S 352-2023")</f>
        <v/>
      </c>
      <c r="AD67">
        <f>HYPERLINK("https://klasma.github.io/Logging_0821/tillsynsmail/S 352-2023 tillsynsbegäran mail.docx", "S 352-2023")</f>
        <v/>
      </c>
      <c r="AE67">
        <f>HYPERLINK("https://klasma.github.io/Logging_0821/fåglar/S 352-2023 prioriterade fågelarter.docx", "S 352-2023")</f>
        <v/>
      </c>
    </row>
    <row r="68" ht="15" customHeight="1">
      <c r="A68" t="inlineStr">
        <is>
          <t>S 1064-2025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45749</v>
      </c>
      <c r="E68" s="1" t="n">
        <v>46295</v>
      </c>
      <c r="F68" t="inlineStr">
        <is>
          <t>KALMAR LÄN</t>
        </is>
      </c>
      <c r="G68" t="inlineStr">
        <is>
          <t>HÖGSBY</t>
        </is>
      </c>
      <c r="H68" t="inlineStr">
        <is>
          <t>Sveaskog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HYPERLINK("https://klasma.github.io/Logging_0821/artfynd/S 1064-2025 artfynd.xlsx", "S 1064-2025")</f>
        <v/>
      </c>
      <c r="X68">
        <f>HYPERLINK("https://klasma.github.io/Logging_0821/kartor/S 1064-2025 karta.png", "S 1064-2025")</f>
        <v/>
      </c>
      <c r="Y68">
        <f>HYPERLINK("https://klasma.github.io/Logging_0821/kartor_geotiff/S 1064-2025 georefererad karta.tif", "S 1064-2025")</f>
        <v/>
      </c>
      <c r="AA68">
        <f>HYPERLINK("https://klasma.github.io/Logging_0821/klagomål/S 1064-2025 FSC-klagomål.docx", "S 1064-2025")</f>
        <v/>
      </c>
      <c r="AB68">
        <f>HYPERLINK("https://klasma.github.io/Logging_0821/klagomålsmail/S 1064-2025 FSC-klagomål mail.docx", "S 1064-2025")</f>
        <v/>
      </c>
      <c r="AC68">
        <f>HYPERLINK("https://klasma.github.io/Logging_0821/tillsyn/S 1064-2025 tillsynsbegäran.docx", "S 1064-2025")</f>
        <v/>
      </c>
      <c r="AD68">
        <f>HYPERLINK("https://klasma.github.io/Logging_0821/tillsynsmail/S 1064-2025 tillsynsbegäran mail.docx", "S 1064-2025")</f>
        <v/>
      </c>
    </row>
    <row r="69" ht="15" customHeight="1">
      <c r="A69" t="inlineStr">
        <is>
          <t>S 1216-2025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45761</v>
      </c>
      <c r="E69" s="1" t="n">
        <v>46295</v>
      </c>
      <c r="F69" t="inlineStr">
        <is>
          <t>KALMAR LÄN</t>
        </is>
      </c>
      <c r="G69" t="inlineStr">
        <is>
          <t>HÖGSBY</t>
        </is>
      </c>
      <c r="I69" t="n">
        <v>2.9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HYPERLINK("https://klasma.github.io/Logging_0821/artfynd/S 1216-2025 artfynd.xlsx", "S 1216-2025")</f>
        <v/>
      </c>
      <c r="X69">
        <f>HYPERLINK("https://klasma.github.io/Logging_0821/kartor/S 1216-2025 karta.png", "S 1216-2025")</f>
        <v/>
      </c>
      <c r="Y69">
        <f>HYPERLINK("https://klasma.github.io/Logging_0821/kartor_geotiff/S 1216-2025 georefererad karta.tif", "S 1216-2025")</f>
        <v/>
      </c>
      <c r="AA69">
        <f>HYPERLINK("https://klasma.github.io/Logging_0821/klagomål/S 1216-2025 FSC-klagomål.docx", "S 1216-2025")</f>
        <v/>
      </c>
      <c r="AB69">
        <f>HYPERLINK("https://klasma.github.io/Logging_0821/klagomålsmail/S 1216-2025 FSC-klagomål mail.docx", "S 1216-2025")</f>
        <v/>
      </c>
      <c r="AC69">
        <f>HYPERLINK("https://klasma.github.io/Logging_0821/tillsyn/S 1216-2025 tillsynsbegäran.docx", "S 1216-2025")</f>
        <v/>
      </c>
      <c r="AD69">
        <f>HYPERLINK("https://klasma.github.io/Logging_0821/tillsynsmail/S 1216-2025 tillsynsbegäran mail.docx", "S 1216-2025")</f>
        <v/>
      </c>
    </row>
    <row r="70" ht="15" customHeight="1">
      <c r="A70" t="inlineStr">
        <is>
          <t>S 380-2023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46295</v>
      </c>
      <c r="F70" t="inlineStr">
        <is>
          <t>KALMAR LÄN</t>
        </is>
      </c>
      <c r="G70" t="inlineStr">
        <is>
          <t>HÖGSBY</t>
        </is>
      </c>
      <c r="I70" t="n">
        <v>5.4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HYPERLINK("https://klasma.github.io/Logging_0821/artfynd/S 380-2023 artfynd.xlsx", "S 380-2023")</f>
        <v/>
      </c>
      <c r="X70">
        <f>HYPERLINK("https://klasma.github.io/Logging_0821/kartor/S 380-2023 karta.png", "S 380-2023")</f>
        <v/>
      </c>
      <c r="Y70">
        <f>HYPERLINK("https://klasma.github.io/Logging_0821/kartor_geotiff/S 380-2023 georefererad karta.tif", "S 380-2023")</f>
        <v/>
      </c>
      <c r="AA70">
        <f>HYPERLINK("https://klasma.github.io/Logging_0821/klagomål/S 380-2023 FSC-klagomål.docx", "S 380-2023")</f>
        <v/>
      </c>
      <c r="AB70">
        <f>HYPERLINK("https://klasma.github.io/Logging_0821/klagomålsmail/S 380-2023 FSC-klagomål mail.docx", "S 380-2023")</f>
        <v/>
      </c>
      <c r="AC70">
        <f>HYPERLINK("https://klasma.github.io/Logging_0821/tillsyn/S 380-2023 tillsynsbegäran.docx", "S 380-2023")</f>
        <v/>
      </c>
      <c r="AD70">
        <f>HYPERLINK("https://klasma.github.io/Logging_0821/tillsynsmail/S 380-2023 tillsynsbegäran mail.docx", "S 380-2023")</f>
        <v/>
      </c>
    </row>
    <row r="71" ht="15" customHeight="1">
      <c r="A71" t="inlineStr">
        <is>
          <t>S 377-2023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44958</v>
      </c>
      <c r="E71" s="1" t="n">
        <v>46295</v>
      </c>
      <c r="F71" t="inlineStr">
        <is>
          <t>KALMAR LÄN</t>
        </is>
      </c>
      <c r="G71" t="inlineStr">
        <is>
          <t>HÖGSBY</t>
        </is>
      </c>
      <c r="I71" t="n">
        <v>2.5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Ryl</t>
        </is>
      </c>
      <c r="W71">
        <f>HYPERLINK("https://klasma.github.io/Logging_0821/artfynd/S 377-2023 artfynd.xlsx", "S 377-2023")</f>
        <v/>
      </c>
      <c r="X71">
        <f>HYPERLINK("https://klasma.github.io/Logging_0821/kartor/S 377-2023 karta.png", "S 377-2023")</f>
        <v/>
      </c>
      <c r="Y71">
        <f>HYPERLINK("https://klasma.github.io/Logging_0821/kartor_geotiff/S 377-2023 georefererad karta.tif", "S 377-2023")</f>
        <v/>
      </c>
      <c r="AA71">
        <f>HYPERLINK("https://klasma.github.io/Logging_0821/klagomål/S 377-2023 FSC-klagomål.docx", "S 377-2023")</f>
        <v/>
      </c>
      <c r="AB71">
        <f>HYPERLINK("https://klasma.github.io/Logging_0821/klagomålsmail/S 377-2023 FSC-klagomål mail.docx", "S 377-2023")</f>
        <v/>
      </c>
      <c r="AC71">
        <f>HYPERLINK("https://klasma.github.io/Logging_0821/tillsyn/S 377-2023 tillsynsbegäran.docx", "S 377-2023")</f>
        <v/>
      </c>
      <c r="AD71">
        <f>HYPERLINK("https://klasma.github.io/Logging_0821/tillsynsmail/S 377-2023 tillsynsbegäran mail.docx", "S 377-2023")</f>
        <v/>
      </c>
    </row>
    <row r="72" ht="15" customHeight="1">
      <c r="A72" t="inlineStr">
        <is>
          <t>S 923-2026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46111</v>
      </c>
      <c r="E72" s="1" t="n">
        <v>46295</v>
      </c>
      <c r="F72" t="inlineStr">
        <is>
          <t>KALMAR LÄN</t>
        </is>
      </c>
      <c r="G72" t="inlineStr">
        <is>
          <t>HÖGSBY</t>
        </is>
      </c>
      <c r="I72" t="n">
        <v>65.2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Blomkålssvamp</t>
        </is>
      </c>
      <c r="W72">
        <f>HYPERLINK("https://klasma.github.io/Logging_0821/artfynd/S 923-2026 artfynd.xlsx", "S 923-2026")</f>
        <v/>
      </c>
      <c r="X72">
        <f>HYPERLINK("https://klasma.github.io/Logging_0821/kartor/S 923-2026 karta.png", "S 923-2026")</f>
        <v/>
      </c>
      <c r="Y72">
        <f>HYPERLINK("https://klasma.github.io/Logging_0821/kartor_geotiff/S 923-2026 georefererad karta.tif", "S 923-2026")</f>
        <v/>
      </c>
      <c r="AA72">
        <f>HYPERLINK("https://klasma.github.io/Logging_0821/klagomål/S 923-2026 FSC-klagomål.docx", "S 923-2026")</f>
        <v/>
      </c>
      <c r="AB72">
        <f>HYPERLINK("https://klasma.github.io/Logging_0821/klagomålsmail/S 923-2026 FSC-klagomål mail.docx", "S 923-2026")</f>
        <v/>
      </c>
      <c r="AC72">
        <f>HYPERLINK("https://klasma.github.io/Logging_0821/tillsyn/S 923-2026 tillsynsbegäran.docx", "S 923-2026")</f>
        <v/>
      </c>
      <c r="AD72">
        <f>HYPERLINK("https://klasma.github.io/Logging_0821/tillsynsmail/S 923-2026 tillsynsbegäran mail.docx", "S 923-2026")</f>
        <v/>
      </c>
    </row>
    <row r="73" ht="15" customHeight="1">
      <c r="A73" t="inlineStr">
        <is>
          <t>A 61740-2021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44501</v>
      </c>
      <c r="E73" s="1" t="n">
        <v>46295</v>
      </c>
      <c r="F73" t="inlineStr">
        <is>
          <t>KALMAR LÄN</t>
        </is>
      </c>
      <c r="G73" t="inlineStr">
        <is>
          <t>HÖGSBY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44831</v>
      </c>
      <c r="E74" s="1" t="n">
        <v>46295</v>
      </c>
      <c r="F74" t="inlineStr">
        <is>
          <t>KALMAR LÄN</t>
        </is>
      </c>
      <c r="G74" t="inlineStr">
        <is>
          <t>HÖGSBY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46893-2022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44851</v>
      </c>
      <c r="E75" s="1" t="n">
        <v>46295</v>
      </c>
      <c r="F75" t="inlineStr">
        <is>
          <t>KALMAR LÄN</t>
        </is>
      </c>
      <c r="G75" t="inlineStr">
        <is>
          <t>HÖGSBY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44585</v>
      </c>
      <c r="E76" s="1" t="n">
        <v>46295</v>
      </c>
      <c r="F76" t="inlineStr">
        <is>
          <t>KALMAR LÄN</t>
        </is>
      </c>
      <c r="G76" t="inlineStr">
        <is>
          <t>HÖGSBY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46295</v>
      </c>
      <c r="F77" t="inlineStr">
        <is>
          <t>KALMAR LÄN</t>
        </is>
      </c>
      <c r="G77" t="inlineStr">
        <is>
          <t>HÖGSBY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44568</v>
      </c>
      <c r="E78" s="1" t="n">
        <v>46295</v>
      </c>
      <c r="F78" t="inlineStr">
        <is>
          <t>KALMAR LÄN</t>
        </is>
      </c>
      <c r="G78" t="inlineStr">
        <is>
          <t>HÖGSBY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46295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46295</v>
      </c>
      <c r="F80" t="inlineStr">
        <is>
          <t>KALMAR LÄN</t>
        </is>
      </c>
      <c r="G80" t="inlineStr">
        <is>
          <t>HÖGSBY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46295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74471-2021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46295</v>
      </c>
      <c r="F82" t="inlineStr">
        <is>
          <t>KALMAR LÄN</t>
        </is>
      </c>
      <c r="G82" t="inlineStr">
        <is>
          <t>HÖGSBY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46295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46295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44644</v>
      </c>
      <c r="E85" s="1" t="n">
        <v>46295</v>
      </c>
      <c r="F85" t="inlineStr">
        <is>
          <t>KALMAR LÄN</t>
        </is>
      </c>
      <c r="G85" t="inlineStr">
        <is>
          <t>HÖGSBY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46295</v>
      </c>
      <c r="F86" t="inlineStr">
        <is>
          <t>KALMAR LÄN</t>
        </is>
      </c>
      <c r="G86" t="inlineStr">
        <is>
          <t>HÖGSBY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46295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46295</v>
      </c>
      <c r="F88" t="inlineStr">
        <is>
          <t>KALMAR LÄN</t>
        </is>
      </c>
      <c r="G88" t="inlineStr">
        <is>
          <t>HÖGSBY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46295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46295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46295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46295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46295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46295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46295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46295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46295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46295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46295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46295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46295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10244-2024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46295</v>
      </c>
      <c r="F102" t="inlineStr">
        <is>
          <t>KALMAR LÄN</t>
        </is>
      </c>
      <c r="G102" t="inlineStr">
        <is>
          <t>HÖGSBY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44876</v>
      </c>
      <c r="E103" s="1" t="n">
        <v>46295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46295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46295</v>
      </c>
      <c r="F105" t="inlineStr">
        <is>
          <t>KALMAR LÄN</t>
        </is>
      </c>
      <c r="G105" t="inlineStr">
        <is>
          <t>HÖGSBY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46295</v>
      </c>
      <c r="F106" t="inlineStr">
        <is>
          <t>KALMAR LÄN</t>
        </is>
      </c>
      <c r="G106" t="inlineStr">
        <is>
          <t>HÖGSBY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46295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46295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46295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46295</v>
      </c>
      <c r="F110" t="inlineStr">
        <is>
          <t>KALMAR LÄN</t>
        </is>
      </c>
      <c r="G110" t="inlineStr">
        <is>
          <t>HÖGSBY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46295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46295</v>
      </c>
      <c r="F112" t="inlineStr">
        <is>
          <t>KALMAR LÄN</t>
        </is>
      </c>
      <c r="G112" t="inlineStr">
        <is>
          <t>HÖGSBY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44886</v>
      </c>
      <c r="E113" s="1" t="n">
        <v>46295</v>
      </c>
      <c r="F113" t="inlineStr">
        <is>
          <t>KALMAR LÄN</t>
        </is>
      </c>
      <c r="G113" t="inlineStr">
        <is>
          <t>HÖGSBY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45797</v>
      </c>
      <c r="E114" s="1" t="n">
        <v>46295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46295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46295</v>
      </c>
      <c r="F116" t="inlineStr">
        <is>
          <t>KALMAR LÄN</t>
        </is>
      </c>
      <c r="G116" t="inlineStr">
        <is>
          <t>HÖGSBY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46295</v>
      </c>
      <c r="F117" t="inlineStr">
        <is>
          <t>KALMAR LÄN</t>
        </is>
      </c>
      <c r="G117" t="inlineStr">
        <is>
          <t>HÖGSBY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46295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45729</v>
      </c>
      <c r="E119" s="1" t="n">
        <v>46295</v>
      </c>
      <c r="F119" t="inlineStr">
        <is>
          <t>KALMAR LÄN</t>
        </is>
      </c>
      <c r="G119" t="inlineStr">
        <is>
          <t>HÖGSBY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57006-2024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45626</v>
      </c>
      <c r="E120" s="1" t="n">
        <v>46295</v>
      </c>
      <c r="F120" t="inlineStr">
        <is>
          <t>KALMAR LÄN</t>
        </is>
      </c>
      <c r="G120" t="inlineStr">
        <is>
          <t>HÖGSBY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46295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46295</v>
      </c>
      <c r="F122" t="inlineStr">
        <is>
          <t>KALMAR LÄN</t>
        </is>
      </c>
      <c r="G122" t="inlineStr">
        <is>
          <t>HÖGSBY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45775</v>
      </c>
      <c r="E123" s="1" t="n">
        <v>46295</v>
      </c>
      <c r="F123" t="inlineStr">
        <is>
          <t>KALMAR LÄN</t>
        </is>
      </c>
      <c r="G123" t="inlineStr">
        <is>
          <t>HÖGSBY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46295</v>
      </c>
      <c r="F124" t="inlineStr">
        <is>
          <t>KALMAR LÄN</t>
        </is>
      </c>
      <c r="G124" t="inlineStr">
        <is>
          <t>HÖGSBY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46295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46295</v>
      </c>
      <c r="F126" t="inlineStr">
        <is>
          <t>KALMAR LÄN</t>
        </is>
      </c>
      <c r="G126" t="inlineStr">
        <is>
          <t>HÖGSBY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46295</v>
      </c>
      <c r="F127" t="inlineStr">
        <is>
          <t>KALMAR LÄN</t>
        </is>
      </c>
      <c r="G127" t="inlineStr">
        <is>
          <t>HÖGSBY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46295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46295</v>
      </c>
      <c r="F129" t="inlineStr">
        <is>
          <t>KALMAR LÄN</t>
        </is>
      </c>
      <c r="G129" t="inlineStr">
        <is>
          <t>HÖGSBY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46295</v>
      </c>
      <c r="F130" t="inlineStr">
        <is>
          <t>KALMAR LÄN</t>
        </is>
      </c>
      <c r="G130" t="inlineStr">
        <is>
          <t>HÖGSBY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46295</v>
      </c>
      <c r="F131" t="inlineStr">
        <is>
          <t>KALMAR LÄN</t>
        </is>
      </c>
      <c r="G131" t="inlineStr">
        <is>
          <t>HÖGSBY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46295</v>
      </c>
      <c r="F132" t="inlineStr">
        <is>
          <t>KALMAR LÄN</t>
        </is>
      </c>
      <c r="G132" t="inlineStr">
        <is>
          <t>HÖGSBY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51720-2025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46295</v>
      </c>
      <c r="F133" t="inlineStr">
        <is>
          <t>KALMAR LÄN</t>
        </is>
      </c>
      <c r="G133" t="inlineStr">
        <is>
          <t>HÖGSBY</t>
        </is>
      </c>
      <c r="I133" t="n">
        <v>12.8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46295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46295</v>
      </c>
      <c r="F135" t="inlineStr">
        <is>
          <t>KALMAR LÄN</t>
        </is>
      </c>
      <c r="G135" t="inlineStr">
        <is>
          <t>HÖGSBY</t>
        </is>
      </c>
      <c r="H135" t="inlineStr">
        <is>
          <t>Kyrkan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57173-2022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46295</v>
      </c>
      <c r="F136" t="inlineStr">
        <is>
          <t>KALMAR LÄN</t>
        </is>
      </c>
      <c r="G136" t="inlineStr">
        <is>
          <t>HÖGSBY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46295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65130-2023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45288</v>
      </c>
      <c r="E138" s="1" t="n">
        <v>46295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46295</v>
      </c>
      <c r="F139" t="inlineStr">
        <is>
          <t>KALMAR LÄN</t>
        </is>
      </c>
      <c r="G139" t="inlineStr">
        <is>
          <t>HÖGSBY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46295</v>
      </c>
      <c r="F140" t="inlineStr">
        <is>
          <t>KALMAR LÄN</t>
        </is>
      </c>
      <c r="G140" t="inlineStr">
        <is>
          <t>HÖGSBY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46295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45348</v>
      </c>
      <c r="E142" s="1" t="n">
        <v>46295</v>
      </c>
      <c r="F142" t="inlineStr">
        <is>
          <t>KALMAR LÄN</t>
        </is>
      </c>
      <c r="G142" t="inlineStr">
        <is>
          <t>HÖGSBY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57000-2024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45626</v>
      </c>
      <c r="E143" s="1" t="n">
        <v>46295</v>
      </c>
      <c r="F143" t="inlineStr">
        <is>
          <t>KALMAR LÄN</t>
        </is>
      </c>
      <c r="G143" t="inlineStr">
        <is>
          <t>HÖGSBY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38068-2025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45882</v>
      </c>
      <c r="E144" s="1" t="n">
        <v>46295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46295</v>
      </c>
      <c r="F145" t="inlineStr">
        <is>
          <t>KALMAR LÄN</t>
        </is>
      </c>
      <c r="G145" t="inlineStr">
        <is>
          <t>HÖGSBY</t>
        </is>
      </c>
      <c r="I145" t="n">
        <v>11.6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46295</v>
      </c>
      <c r="F146" t="inlineStr">
        <is>
          <t>KALMAR LÄN</t>
        </is>
      </c>
      <c r="G146" t="inlineStr">
        <is>
          <t>HÖGSBY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22688-2025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45789</v>
      </c>
      <c r="E147" s="1" t="n">
        <v>46295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7443-2026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46059</v>
      </c>
      <c r="E148" s="1" t="n">
        <v>46295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7.7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60853-2021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44496</v>
      </c>
      <c r="E149" s="1" t="n">
        <v>46295</v>
      </c>
      <c r="F149" t="inlineStr">
        <is>
          <t>KALMAR LÄN</t>
        </is>
      </c>
      <c r="G149" t="inlineStr">
        <is>
          <t>HÖGSBY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45707</v>
      </c>
      <c r="E150" s="1" t="n">
        <v>46295</v>
      </c>
      <c r="F150" t="inlineStr">
        <is>
          <t>KALMAR LÄN</t>
        </is>
      </c>
      <c r="G150" t="inlineStr">
        <is>
          <t>HÖGSBY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44729</v>
      </c>
      <c r="E151" s="1" t="n">
        <v>46295</v>
      </c>
      <c r="F151" t="inlineStr">
        <is>
          <t>KALMAR LÄN</t>
        </is>
      </c>
      <c r="G151" t="inlineStr">
        <is>
          <t>HÖGSBY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46295</v>
      </c>
      <c r="F152" t="inlineStr">
        <is>
          <t>KALMAR LÄN</t>
        </is>
      </c>
      <c r="G152" t="inlineStr">
        <is>
          <t>HÖGSBY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46295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32049-2023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45119</v>
      </c>
      <c r="E154" s="1" t="n">
        <v>46295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46295</v>
      </c>
      <c r="F155" t="inlineStr">
        <is>
          <t>KALMAR LÄN</t>
        </is>
      </c>
      <c r="G155" t="inlineStr">
        <is>
          <t>HÖGSBY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46295</v>
      </c>
      <c r="F156" t="inlineStr">
        <is>
          <t>KALMAR LÄN</t>
        </is>
      </c>
      <c r="G156" t="inlineStr">
        <is>
          <t>HÖGSBY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46295</v>
      </c>
      <c r="F157" t="inlineStr">
        <is>
          <t>KALMAR LÄN</t>
        </is>
      </c>
      <c r="G157" t="inlineStr">
        <is>
          <t>HÖGSBY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45614</v>
      </c>
      <c r="E158" s="1" t="n">
        <v>46295</v>
      </c>
      <c r="F158" t="inlineStr">
        <is>
          <t>KALMAR LÄN</t>
        </is>
      </c>
      <c r="G158" t="inlineStr">
        <is>
          <t>HÖGSBY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44999</v>
      </c>
      <c r="E159" s="1" t="n">
        <v>46295</v>
      </c>
      <c r="F159" t="inlineStr">
        <is>
          <t>KALMAR LÄN</t>
        </is>
      </c>
      <c r="G159" t="inlineStr">
        <is>
          <t>HÖGSBY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45988</v>
      </c>
      <c r="E160" s="1" t="n">
        <v>46295</v>
      </c>
      <c r="F160" t="inlineStr">
        <is>
          <t>KALMAR LÄN</t>
        </is>
      </c>
      <c r="G160" t="inlineStr">
        <is>
          <t>HÖGSBY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46079</v>
      </c>
      <c r="E161" s="1" t="n">
        <v>46295</v>
      </c>
      <c r="F161" t="inlineStr">
        <is>
          <t>KALMAR LÄN</t>
        </is>
      </c>
      <c r="G161" t="inlineStr">
        <is>
          <t>HÖGSBY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46295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46295</v>
      </c>
      <c r="F163" t="inlineStr">
        <is>
          <t>KALMAR LÄN</t>
        </is>
      </c>
      <c r="G163" t="inlineStr">
        <is>
          <t>HÖGSBY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45105</v>
      </c>
      <c r="E164" s="1" t="n">
        <v>46295</v>
      </c>
      <c r="F164" t="inlineStr">
        <is>
          <t>KALMAR LÄN</t>
        </is>
      </c>
      <c r="G164" t="inlineStr">
        <is>
          <t>HÖGSBY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46295</v>
      </c>
      <c r="F165" t="inlineStr">
        <is>
          <t>KALMAR LÄN</t>
        </is>
      </c>
      <c r="G165" t="inlineStr">
        <is>
          <t>HÖGSBY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46295</v>
      </c>
      <c r="F166" t="inlineStr">
        <is>
          <t>KALMAR LÄN</t>
        </is>
      </c>
      <c r="G166" t="inlineStr">
        <is>
          <t>HÖGSBY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46295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46295</v>
      </c>
      <c r="F168" t="inlineStr">
        <is>
          <t>KALMAR LÄN</t>
        </is>
      </c>
      <c r="G168" t="inlineStr">
        <is>
          <t>HÖGSBY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46295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18.4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46295</v>
      </c>
      <c r="F170" t="inlineStr">
        <is>
          <t>KALMAR LÄN</t>
        </is>
      </c>
      <c r="G170" t="inlineStr">
        <is>
          <t>HÖGSBY</t>
        </is>
      </c>
      <c r="H170" t="inlineStr">
        <is>
          <t>Sveaskog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46295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46295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10.9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46295</v>
      </c>
      <c r="F173" t="inlineStr">
        <is>
          <t>KALMAR LÄN</t>
        </is>
      </c>
      <c r="G173" t="inlineStr">
        <is>
          <t>HÖGSBY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45999</v>
      </c>
      <c r="E174" s="1" t="n">
        <v>46295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62720-2025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46008</v>
      </c>
      <c r="E175" s="1" t="n">
        <v>46295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62722-2025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46008</v>
      </c>
      <c r="E176" s="1" t="n">
        <v>46295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46007</v>
      </c>
      <c r="E177" s="1" t="n">
        <v>46295</v>
      </c>
      <c r="F177" t="inlineStr">
        <is>
          <t>KALMAR LÄN</t>
        </is>
      </c>
      <c r="G177" t="inlineStr">
        <is>
          <t>HÖGSBY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46295</v>
      </c>
      <c r="F178" t="inlineStr">
        <is>
          <t>KALMAR LÄN</t>
        </is>
      </c>
      <c r="G178" t="inlineStr">
        <is>
          <t>HÖGSBY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62918-2025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46295</v>
      </c>
      <c r="F179" t="inlineStr">
        <is>
          <t>KALMAR LÄN</t>
        </is>
      </c>
      <c r="G179" t="inlineStr">
        <is>
          <t>HÖGSBY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45228</v>
      </c>
      <c r="E180" s="1" t="n">
        <v>46295</v>
      </c>
      <c r="F180" t="inlineStr">
        <is>
          <t>KALMAR LÄN</t>
        </is>
      </c>
      <c r="G180" t="inlineStr">
        <is>
          <t>HÖGSBY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49338-2022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44861</v>
      </c>
      <c r="E181" s="1" t="n">
        <v>46295</v>
      </c>
      <c r="F181" t="inlineStr">
        <is>
          <t>KALMAR LÄN</t>
        </is>
      </c>
      <c r="G181" t="inlineStr">
        <is>
          <t>HÖGSBY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14894-2025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45743</v>
      </c>
      <c r="E182" s="1" t="n">
        <v>46295</v>
      </c>
      <c r="F182" t="inlineStr">
        <is>
          <t>KALMAR LÄN</t>
        </is>
      </c>
      <c r="G182" t="inlineStr">
        <is>
          <t>HÖGSBY</t>
        </is>
      </c>
      <c r="H182" t="inlineStr">
        <is>
          <t>Kommuner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46295</v>
      </c>
      <c r="F183" t="inlineStr">
        <is>
          <t>KALMAR LÄN</t>
        </is>
      </c>
      <c r="G183" t="inlineStr">
        <is>
          <t>HÖGSBY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46107</v>
      </c>
      <c r="E184" s="1" t="n">
        <v>46295</v>
      </c>
      <c r="F184" t="inlineStr">
        <is>
          <t>KALMAR LÄN</t>
        </is>
      </c>
      <c r="G184" t="inlineStr">
        <is>
          <t>HÖGSBY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46295</v>
      </c>
      <c r="F185" t="inlineStr">
        <is>
          <t>KALMAR LÄN</t>
        </is>
      </c>
      <c r="G185" t="inlineStr">
        <is>
          <t>HÖGSBY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46295</v>
      </c>
      <c r="F186" t="inlineStr">
        <is>
          <t>KALMAR LÄN</t>
        </is>
      </c>
      <c r="G186" t="inlineStr">
        <is>
          <t>HÖGSBY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54238-2021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46295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46295</v>
      </c>
      <c r="F188" t="inlineStr">
        <is>
          <t>KALMAR LÄN</t>
        </is>
      </c>
      <c r="G188" t="inlineStr">
        <is>
          <t>HÖGSBY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46295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45244</v>
      </c>
      <c r="E190" s="1" t="n">
        <v>46295</v>
      </c>
      <c r="F190" t="inlineStr">
        <is>
          <t>KALMAR LÄN</t>
        </is>
      </c>
      <c r="G190" t="inlineStr">
        <is>
          <t>HÖGSBY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46295</v>
      </c>
      <c r="F191" t="inlineStr">
        <is>
          <t>KALMAR LÄN</t>
        </is>
      </c>
      <c r="G191" t="inlineStr">
        <is>
          <t>HÖGSBY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62562-2022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44924</v>
      </c>
      <c r="E192" s="1" t="n">
        <v>46295</v>
      </c>
      <c r="F192" t="inlineStr">
        <is>
          <t>KALMAR LÄN</t>
        </is>
      </c>
      <c r="G192" t="inlineStr">
        <is>
          <t>HÖGSBY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46295</v>
      </c>
      <c r="F193" t="inlineStr">
        <is>
          <t>KALMAR LÄN</t>
        </is>
      </c>
      <c r="G193" t="inlineStr">
        <is>
          <t>HÖGSBY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44861</v>
      </c>
      <c r="E194" s="1" t="n">
        <v>46295</v>
      </c>
      <c r="F194" t="inlineStr">
        <is>
          <t>KALMAR LÄN</t>
        </is>
      </c>
      <c r="G194" t="inlineStr">
        <is>
          <t>HÖGSBY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46114</v>
      </c>
      <c r="E195" s="1" t="n">
        <v>46295</v>
      </c>
      <c r="F195" t="inlineStr">
        <is>
          <t>KALMAR LÄN</t>
        </is>
      </c>
      <c r="G195" t="inlineStr">
        <is>
          <t>HÖGSBY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44586</v>
      </c>
      <c r="E196" s="1" t="n">
        <v>46295</v>
      </c>
      <c r="F196" t="inlineStr">
        <is>
          <t>KALMAR LÄN</t>
        </is>
      </c>
      <c r="G196" t="inlineStr">
        <is>
          <t>HÖGSBY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46122</v>
      </c>
      <c r="E197" s="1" t="n">
        <v>46295</v>
      </c>
      <c r="F197" t="inlineStr">
        <is>
          <t>KALMAR LÄN</t>
        </is>
      </c>
      <c r="G197" t="inlineStr">
        <is>
          <t>HÖGSBY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46122</v>
      </c>
      <c r="E198" s="1" t="n">
        <v>46295</v>
      </c>
      <c r="F198" t="inlineStr">
        <is>
          <t>KALMAR LÄN</t>
        </is>
      </c>
      <c r="G198" t="inlineStr">
        <is>
          <t>HÖGSBY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46295</v>
      </c>
      <c r="F199" t="inlineStr">
        <is>
          <t>KALMAR LÄN</t>
        </is>
      </c>
      <c r="G199" t="inlineStr">
        <is>
          <t>HÖGSBY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45040</v>
      </c>
      <c r="E200" s="1" t="n">
        <v>46295</v>
      </c>
      <c r="F200" t="inlineStr">
        <is>
          <t>KALMAR LÄN</t>
        </is>
      </c>
      <c r="G200" t="inlineStr">
        <is>
          <t>HÖGSBY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59281-2022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44904</v>
      </c>
      <c r="E201" s="1" t="n">
        <v>46295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46295</v>
      </c>
      <c r="F202" t="inlineStr">
        <is>
          <t>KALMAR LÄN</t>
        </is>
      </c>
      <c r="G202" t="inlineStr">
        <is>
          <t>HÖGSBY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44866</v>
      </c>
      <c r="E203" s="1" t="n">
        <v>46295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37811-2024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45544</v>
      </c>
      <c r="E204" s="1" t="n">
        <v>46295</v>
      </c>
      <c r="F204" t="inlineStr">
        <is>
          <t>KALMAR LÄN</t>
        </is>
      </c>
      <c r="G204" t="inlineStr">
        <is>
          <t>HÖGSBY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28648-2023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45103</v>
      </c>
      <c r="E205" s="1" t="n">
        <v>46295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46134</v>
      </c>
      <c r="E206" s="1" t="n">
        <v>46295</v>
      </c>
      <c r="F206" t="inlineStr">
        <is>
          <t>KALMAR LÄN</t>
        </is>
      </c>
      <c r="G206" t="inlineStr">
        <is>
          <t>HÖGSBY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46295</v>
      </c>
      <c r="F207" t="inlineStr">
        <is>
          <t>KALMAR LÄN</t>
        </is>
      </c>
      <c r="G207" t="inlineStr">
        <is>
          <t>HÖGSBY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46295</v>
      </c>
      <c r="F208" t="inlineStr">
        <is>
          <t>KALMAR LÄN</t>
        </is>
      </c>
      <c r="G208" t="inlineStr">
        <is>
          <t>HÖGSBY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46295</v>
      </c>
      <c r="F209" t="inlineStr">
        <is>
          <t>KALMAR LÄN</t>
        </is>
      </c>
      <c r="G209" t="inlineStr">
        <is>
          <t>HÖGSBY</t>
        </is>
      </c>
      <c r="H209" t="inlineStr">
        <is>
          <t>Kommuner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46295</v>
      </c>
      <c r="F210" t="inlineStr">
        <is>
          <t>KALMAR LÄN</t>
        </is>
      </c>
      <c r="G210" t="inlineStr">
        <is>
          <t>HÖGSBY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45111</v>
      </c>
      <c r="E211" s="1" t="n">
        <v>46295</v>
      </c>
      <c r="F211" t="inlineStr">
        <is>
          <t>KALMAR LÄN</t>
        </is>
      </c>
      <c r="G211" t="inlineStr">
        <is>
          <t>HÖGSBY</t>
        </is>
      </c>
      <c r="I211" t="n">
        <v>12.1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45341</v>
      </c>
      <c r="E212" s="1" t="n">
        <v>46295</v>
      </c>
      <c r="F212" t="inlineStr">
        <is>
          <t>KALMAR LÄN</t>
        </is>
      </c>
      <c r="G212" t="inlineStr">
        <is>
          <t>HÖGSBY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46295</v>
      </c>
      <c r="F213" t="inlineStr">
        <is>
          <t>KALMAR LÄN</t>
        </is>
      </c>
      <c r="G213" t="inlineStr">
        <is>
          <t>HÖGSBY</t>
        </is>
      </c>
      <c r="H213" t="inlineStr">
        <is>
          <t>Kommuner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46295</v>
      </c>
      <c r="F214" t="inlineStr">
        <is>
          <t>KALMAR LÄN</t>
        </is>
      </c>
      <c r="G214" t="inlineStr">
        <is>
          <t>HÖGSBY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46295</v>
      </c>
      <c r="F215" t="inlineStr">
        <is>
          <t>KALMAR LÄN</t>
        </is>
      </c>
      <c r="G215" t="inlineStr">
        <is>
          <t>HÖGSBY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46295</v>
      </c>
      <c r="F216" t="inlineStr">
        <is>
          <t>KALMAR LÄN</t>
        </is>
      </c>
      <c r="G216" t="inlineStr">
        <is>
          <t>HÖGSBY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46295</v>
      </c>
      <c r="F217" t="inlineStr">
        <is>
          <t>KALMAR LÄN</t>
        </is>
      </c>
      <c r="G217" t="inlineStr">
        <is>
          <t>HÖGSBY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46295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46295</v>
      </c>
      <c r="F219" t="inlineStr">
        <is>
          <t>KALMAR LÄN</t>
        </is>
      </c>
      <c r="G219" t="inlineStr">
        <is>
          <t>HÖGSBY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46295</v>
      </c>
      <c r="F220" t="inlineStr">
        <is>
          <t>KALMAR LÄN</t>
        </is>
      </c>
      <c r="G220" t="inlineStr">
        <is>
          <t>HÖGSBY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46295</v>
      </c>
      <c r="F221" t="inlineStr">
        <is>
          <t>KALMAR LÄN</t>
        </is>
      </c>
      <c r="G221" t="inlineStr">
        <is>
          <t>HÖGSBY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46295</v>
      </c>
      <c r="F222" t="inlineStr">
        <is>
          <t>KALMAR LÄN</t>
        </is>
      </c>
      <c r="G222" t="inlineStr">
        <is>
          <t>HÖGSBY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44809</v>
      </c>
      <c r="E223" s="1" t="n">
        <v>46295</v>
      </c>
      <c r="F223" t="inlineStr">
        <is>
          <t>KALMAR LÄN</t>
        </is>
      </c>
      <c r="G223" t="inlineStr">
        <is>
          <t>HÖGSBY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46295</v>
      </c>
      <c r="F224" t="inlineStr">
        <is>
          <t>KALMAR LÄN</t>
        </is>
      </c>
      <c r="G224" t="inlineStr">
        <is>
          <t>HÖGSBY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46295</v>
      </c>
      <c r="F225" t="inlineStr">
        <is>
          <t>KALMAR LÄN</t>
        </is>
      </c>
      <c r="G225" t="inlineStr">
        <is>
          <t>HÖGSBY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60555-2021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44496</v>
      </c>
      <c r="E226" s="1" t="n">
        <v>46295</v>
      </c>
      <c r="F226" t="inlineStr">
        <is>
          <t>KALMAR LÄN</t>
        </is>
      </c>
      <c r="G226" t="inlineStr">
        <is>
          <t>HÖGSBY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46295</v>
      </c>
      <c r="F227" t="inlineStr">
        <is>
          <t>KALMAR LÄN</t>
        </is>
      </c>
      <c r="G227" t="inlineStr">
        <is>
          <t>HÖGSBY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46295</v>
      </c>
      <c r="F228" t="inlineStr">
        <is>
          <t>KALMAR LÄN</t>
        </is>
      </c>
      <c r="G228" t="inlineStr">
        <is>
          <t>HÖGSBY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46295</v>
      </c>
      <c r="F229" t="inlineStr">
        <is>
          <t>KALMAR LÄN</t>
        </is>
      </c>
      <c r="G229" t="inlineStr">
        <is>
          <t>HÖGSBY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46295</v>
      </c>
      <c r="F230" t="inlineStr">
        <is>
          <t>KALMAR LÄN</t>
        </is>
      </c>
      <c r="G230" t="inlineStr">
        <is>
          <t>HÖGSBY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45058</v>
      </c>
      <c r="E231" s="1" t="n">
        <v>46295</v>
      </c>
      <c r="F231" t="inlineStr">
        <is>
          <t>KALMAR LÄN</t>
        </is>
      </c>
      <c r="G231" t="inlineStr">
        <is>
          <t>HÖGSBY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73709-2021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46295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46295</v>
      </c>
      <c r="F233" t="inlineStr">
        <is>
          <t>KALMAR LÄN</t>
        </is>
      </c>
      <c r="G233" t="inlineStr">
        <is>
          <t>HÖGSBY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45546</v>
      </c>
      <c r="E234" s="1" t="n">
        <v>46295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46295</v>
      </c>
      <c r="F235" t="inlineStr">
        <is>
          <t>KALMAR LÄN</t>
        </is>
      </c>
      <c r="G235" t="inlineStr">
        <is>
          <t>HÖGSBY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46295</v>
      </c>
      <c r="F236" t="inlineStr">
        <is>
          <t>KALMAR LÄN</t>
        </is>
      </c>
      <c r="G236" t="inlineStr">
        <is>
          <t>HÖGSBY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46295</v>
      </c>
      <c r="F237" t="inlineStr">
        <is>
          <t>KALMAR LÄN</t>
        </is>
      </c>
      <c r="G237" t="inlineStr">
        <is>
          <t>HÖGSBY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46295</v>
      </c>
      <c r="F238" t="inlineStr">
        <is>
          <t>KALMAR LÄN</t>
        </is>
      </c>
      <c r="G238" t="inlineStr">
        <is>
          <t>HÖGSBY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39892-2024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46295</v>
      </c>
      <c r="F239" t="inlineStr">
        <is>
          <t>KALMAR LÄN</t>
        </is>
      </c>
      <c r="G239" t="inlineStr">
        <is>
          <t>HÖGSBY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45360</v>
      </c>
      <c r="E240" s="1" t="n">
        <v>46295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46295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46295</v>
      </c>
      <c r="F242" t="inlineStr">
        <is>
          <t>KALMAR LÄN</t>
        </is>
      </c>
      <c r="G242" t="inlineStr">
        <is>
          <t>HÖGSBY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45175</v>
      </c>
      <c r="E243" s="1" t="n">
        <v>46295</v>
      </c>
      <c r="F243" t="inlineStr">
        <is>
          <t>KALMAR LÄN</t>
        </is>
      </c>
      <c r="G243" t="inlineStr">
        <is>
          <t>HÖGSBY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45614</v>
      </c>
      <c r="E244" s="1" t="n">
        <v>46295</v>
      </c>
      <c r="F244" t="inlineStr">
        <is>
          <t>KALMAR LÄN</t>
        </is>
      </c>
      <c r="G244" t="inlineStr">
        <is>
          <t>HÖGSBY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46295</v>
      </c>
      <c r="F245" t="inlineStr">
        <is>
          <t>KALMAR LÄN</t>
        </is>
      </c>
      <c r="G245" t="inlineStr">
        <is>
          <t>HÖGSBY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46295</v>
      </c>
      <c r="F246" t="inlineStr">
        <is>
          <t>KALMAR LÄN</t>
        </is>
      </c>
      <c r="G246" t="inlineStr">
        <is>
          <t>HÖGSBY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46295</v>
      </c>
      <c r="F247" t="inlineStr">
        <is>
          <t>KALMAR LÄN</t>
        </is>
      </c>
      <c r="G247" t="inlineStr">
        <is>
          <t>HÖGSBY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46295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46295</v>
      </c>
      <c r="F249" t="inlineStr">
        <is>
          <t>KALMAR LÄN</t>
        </is>
      </c>
      <c r="G249" t="inlineStr">
        <is>
          <t>HÖGSBY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46295</v>
      </c>
      <c r="F250" t="inlineStr">
        <is>
          <t>KALMAR LÄN</t>
        </is>
      </c>
      <c r="G250" t="inlineStr">
        <is>
          <t>HÖGSBY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46295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46295</v>
      </c>
      <c r="F252" t="inlineStr">
        <is>
          <t>KALMAR LÄN</t>
        </is>
      </c>
      <c r="G252" t="inlineStr">
        <is>
          <t>HÖGSBY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7325-2025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45702</v>
      </c>
      <c r="E253" s="1" t="n">
        <v>46295</v>
      </c>
      <c r="F253" t="inlineStr">
        <is>
          <t>KALMAR LÄN</t>
        </is>
      </c>
      <c r="G253" t="inlineStr">
        <is>
          <t>HÖGSBY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46295</v>
      </c>
      <c r="F254" t="inlineStr">
        <is>
          <t>KALMAR LÄN</t>
        </is>
      </c>
      <c r="G254" t="inlineStr">
        <is>
          <t>HÖGSBY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46295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46295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45203</v>
      </c>
      <c r="E257" s="1" t="n">
        <v>46295</v>
      </c>
      <c r="F257" t="inlineStr">
        <is>
          <t>KALMAR LÄN</t>
        </is>
      </c>
      <c r="G257" t="inlineStr">
        <is>
          <t>HÖGSBY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45173</v>
      </c>
      <c r="E258" s="1" t="n">
        <v>46295</v>
      </c>
      <c r="F258" t="inlineStr">
        <is>
          <t>KALMAR LÄN</t>
        </is>
      </c>
      <c r="G258" t="inlineStr">
        <is>
          <t>HÖGSBY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46295</v>
      </c>
      <c r="F259" t="inlineStr">
        <is>
          <t>KALMAR LÄN</t>
        </is>
      </c>
      <c r="G259" t="inlineStr">
        <is>
          <t>HÖGSBY</t>
        </is>
      </c>
      <c r="H259" t="inlineStr">
        <is>
          <t>Kyrkan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45194</v>
      </c>
      <c r="E260" s="1" t="n">
        <v>46295</v>
      </c>
      <c r="F260" t="inlineStr">
        <is>
          <t>KALMAR LÄN</t>
        </is>
      </c>
      <c r="G260" t="inlineStr">
        <is>
          <t>HÖGSBY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45168</v>
      </c>
      <c r="E261" s="1" t="n">
        <v>46295</v>
      </c>
      <c r="F261" t="inlineStr">
        <is>
          <t>KALMAR LÄN</t>
        </is>
      </c>
      <c r="G261" t="inlineStr">
        <is>
          <t>HÖGSBY</t>
        </is>
      </c>
      <c r="H261" t="inlineStr">
        <is>
          <t>Kommuner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22562-2026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46155</v>
      </c>
      <c r="E262" s="1" t="n">
        <v>46295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22564-2026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46155</v>
      </c>
      <c r="E263" s="1" t="n">
        <v>46295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46157</v>
      </c>
      <c r="E264" s="1" t="n">
        <v>46295</v>
      </c>
      <c r="F264" t="inlineStr">
        <is>
          <t>KALMAR LÄN</t>
        </is>
      </c>
      <c r="G264" t="inlineStr">
        <is>
          <t>HÖGSBY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46162</v>
      </c>
      <c r="E265" s="1" t="n">
        <v>46295</v>
      </c>
      <c r="F265" t="inlineStr">
        <is>
          <t>KALMAR LÄN</t>
        </is>
      </c>
      <c r="G265" t="inlineStr">
        <is>
          <t>HÖGSBY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38797-2024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46295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46161</v>
      </c>
      <c r="E267" s="1" t="n">
        <v>46295</v>
      </c>
      <c r="F267" t="inlineStr">
        <is>
          <t>KALMAR LÄN</t>
        </is>
      </c>
      <c r="G267" t="inlineStr">
        <is>
          <t>HÖGSBY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59581-2024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46295</v>
      </c>
      <c r="F268" t="inlineStr">
        <is>
          <t>KALMAR LÄN</t>
        </is>
      </c>
      <c r="G268" t="inlineStr">
        <is>
          <t>HÖGSBY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45090</v>
      </c>
      <c r="E269" s="1" t="n">
        <v>46295</v>
      </c>
      <c r="F269" t="inlineStr">
        <is>
          <t>KALMAR LÄN</t>
        </is>
      </c>
      <c r="G269" t="inlineStr">
        <is>
          <t>HÖGSBY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46295</v>
      </c>
      <c r="F270" t="inlineStr">
        <is>
          <t>KALMAR LÄN</t>
        </is>
      </c>
      <c r="G270" t="inlineStr">
        <is>
          <t>HÖGSBY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46295</v>
      </c>
      <c r="F271" t="inlineStr">
        <is>
          <t>KALMAR LÄN</t>
        </is>
      </c>
      <c r="G271" t="inlineStr">
        <is>
          <t>HÖGSBY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44677</v>
      </c>
      <c r="E272" s="1" t="n">
        <v>46295</v>
      </c>
      <c r="F272" t="inlineStr">
        <is>
          <t>KALMAR LÄN</t>
        </is>
      </c>
      <c r="G272" t="inlineStr">
        <is>
          <t>HÖGSBY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46295</v>
      </c>
      <c r="F273" t="inlineStr">
        <is>
          <t>KALMAR LÄN</t>
        </is>
      </c>
      <c r="G273" t="inlineStr">
        <is>
          <t>HÖGSBY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23937-2026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46167</v>
      </c>
      <c r="E274" s="1" t="n">
        <v>46295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45700</v>
      </c>
      <c r="E275" s="1" t="n">
        <v>46295</v>
      </c>
      <c r="F275" t="inlineStr">
        <is>
          <t>KALMAR LÄN</t>
        </is>
      </c>
      <c r="G275" t="inlineStr">
        <is>
          <t>HÖGSBY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46295</v>
      </c>
      <c r="F276" t="inlineStr">
        <is>
          <t>KALMAR LÄN</t>
        </is>
      </c>
      <c r="G276" t="inlineStr">
        <is>
          <t>HÖGSBY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27916-2023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45093</v>
      </c>
      <c r="E277" s="1" t="n">
        <v>46295</v>
      </c>
      <c r="F277" t="inlineStr">
        <is>
          <t>KALMAR LÄN</t>
        </is>
      </c>
      <c r="G277" t="inlineStr">
        <is>
          <t>HÖGSBY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46295</v>
      </c>
      <c r="F278" t="inlineStr">
        <is>
          <t>KALMAR LÄN</t>
        </is>
      </c>
      <c r="G278" t="inlineStr">
        <is>
          <t>HÖGSBY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46295</v>
      </c>
      <c r="F279" t="inlineStr">
        <is>
          <t>KALMAR LÄN</t>
        </is>
      </c>
      <c r="G279" t="inlineStr">
        <is>
          <t>HÖGSBY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46295</v>
      </c>
      <c r="F280" t="inlineStr">
        <is>
          <t>KALMAR LÄN</t>
        </is>
      </c>
      <c r="G280" t="inlineStr">
        <is>
          <t>HÖGSBY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45145</v>
      </c>
      <c r="E281" s="1" t="n">
        <v>46295</v>
      </c>
      <c r="F281" t="inlineStr">
        <is>
          <t>KALMAR LÄN</t>
        </is>
      </c>
      <c r="G281" t="inlineStr">
        <is>
          <t>HÖGSBY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63379-2023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45274</v>
      </c>
      <c r="E282" s="1" t="n">
        <v>46295</v>
      </c>
      <c r="F282" t="inlineStr">
        <is>
          <t>KALMAR LÄN</t>
        </is>
      </c>
      <c r="G282" t="inlineStr">
        <is>
          <t>HÖGSBY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36909-2023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46295</v>
      </c>
      <c r="F283" t="inlineStr">
        <is>
          <t>KALMAR LÄN</t>
        </is>
      </c>
      <c r="G283" t="inlineStr">
        <is>
          <t>HÖGSBY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24601-2024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45460</v>
      </c>
      <c r="E284" s="1" t="n">
        <v>46295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30294-2022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44760</v>
      </c>
      <c r="E285" s="1" t="n">
        <v>46295</v>
      </c>
      <c r="F285" t="inlineStr">
        <is>
          <t>KALMAR LÄN</t>
        </is>
      </c>
      <c r="G285" t="inlineStr">
        <is>
          <t>HÖGSBY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45259</v>
      </c>
      <c r="E286" s="1" t="n">
        <v>46295</v>
      </c>
      <c r="F286" t="inlineStr">
        <is>
          <t>KALMAR LÄN</t>
        </is>
      </c>
      <c r="G286" t="inlineStr">
        <is>
          <t>HÖGSBY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46295</v>
      </c>
      <c r="F287" t="inlineStr">
        <is>
          <t>KALMAR LÄN</t>
        </is>
      </c>
      <c r="G287" t="inlineStr">
        <is>
          <t>HÖGSBY</t>
        </is>
      </c>
      <c r="H287" t="inlineStr">
        <is>
          <t>Kommuner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45720</v>
      </c>
      <c r="E288" s="1" t="n">
        <v>46295</v>
      </c>
      <c r="F288" t="inlineStr">
        <is>
          <t>KALMAR LÄN</t>
        </is>
      </c>
      <c r="G288" t="inlineStr">
        <is>
          <t>HÖGSBY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46176</v>
      </c>
      <c r="E289" s="1" t="n">
        <v>46295</v>
      </c>
      <c r="F289" t="inlineStr">
        <is>
          <t>KALMAR LÄN</t>
        </is>
      </c>
      <c r="G289" t="inlineStr">
        <is>
          <t>HÖGSBY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46295</v>
      </c>
      <c r="F290" t="inlineStr">
        <is>
          <t>KALMAR LÄN</t>
        </is>
      </c>
      <c r="G290" t="inlineStr">
        <is>
          <t>HÖGSBY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46181</v>
      </c>
      <c r="E291" s="1" t="n">
        <v>46295</v>
      </c>
      <c r="F291" t="inlineStr">
        <is>
          <t>KALMAR LÄN</t>
        </is>
      </c>
      <c r="G291" t="inlineStr">
        <is>
          <t>HÖGSBY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46295</v>
      </c>
      <c r="F292" t="inlineStr">
        <is>
          <t>KALMAR LÄN</t>
        </is>
      </c>
      <c r="G292" t="inlineStr">
        <is>
          <t>HÖGSBY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45306</v>
      </c>
      <c r="E293" s="1" t="n">
        <v>46295</v>
      </c>
      <c r="F293" t="inlineStr">
        <is>
          <t>KALMAR LÄN</t>
        </is>
      </c>
      <c r="G293" t="inlineStr">
        <is>
          <t>HÖGSBY</t>
        </is>
      </c>
      <c r="H293" t="inlineStr">
        <is>
          <t>Övriga Aktiebolag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46295</v>
      </c>
      <c r="F294" t="inlineStr">
        <is>
          <t>KALMAR LÄN</t>
        </is>
      </c>
      <c r="G294" t="inlineStr">
        <is>
          <t>HÖGSBY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46295</v>
      </c>
      <c r="F295" t="inlineStr">
        <is>
          <t>KALMAR LÄN</t>
        </is>
      </c>
      <c r="G295" t="inlineStr">
        <is>
          <t>HÖGSBY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46295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46295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46295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46295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46295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27689-2026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46295</v>
      </c>
      <c r="F301" t="inlineStr">
        <is>
          <t>KALMAR LÄN</t>
        </is>
      </c>
      <c r="G301" t="inlineStr">
        <is>
          <t>HÖGSBY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46295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27812-2026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46295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74478-2021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44559</v>
      </c>
      <c r="E304" s="1" t="n">
        <v>46295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54735-2025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45966</v>
      </c>
      <c r="E305" s="1" t="n">
        <v>46295</v>
      </c>
      <c r="F305" t="inlineStr">
        <is>
          <t>KALMAR LÄN</t>
        </is>
      </c>
      <c r="G305" t="inlineStr">
        <is>
          <t>HÖGSBY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28160-2026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46195</v>
      </c>
      <c r="E306" s="1" t="n">
        <v>46295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46197</v>
      </c>
      <c r="E307" s="1" t="n">
        <v>46295</v>
      </c>
      <c r="F307" t="inlineStr">
        <is>
          <t>KALMAR LÄN</t>
        </is>
      </c>
      <c r="G307" t="inlineStr">
        <is>
          <t>HÖGSBY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46295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46295</v>
      </c>
      <c r="F309" t="inlineStr">
        <is>
          <t>KALMAR LÄN</t>
        </is>
      </c>
      <c r="G309" t="inlineStr">
        <is>
          <t>HÖGSBY</t>
        </is>
      </c>
      <c r="H309" t="inlineStr">
        <is>
          <t>Kommuner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46295</v>
      </c>
      <c r="F310" t="inlineStr">
        <is>
          <t>KALMAR LÄN</t>
        </is>
      </c>
      <c r="G310" t="inlineStr">
        <is>
          <t>HÖGSBY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46295</v>
      </c>
      <c r="F311" t="inlineStr">
        <is>
          <t>KALMAR LÄN</t>
        </is>
      </c>
      <c r="G311" t="inlineStr">
        <is>
          <t>HÖGSBY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46295</v>
      </c>
      <c r="F312" t="inlineStr">
        <is>
          <t>KALMAR LÄN</t>
        </is>
      </c>
      <c r="G312" t="inlineStr">
        <is>
          <t>HÖGSBY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28702-2026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46295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28692-2026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46198</v>
      </c>
      <c r="E314" s="1" t="n">
        <v>46295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28713-2026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46198</v>
      </c>
      <c r="E315" s="1" t="n">
        <v>46295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46295</v>
      </c>
      <c r="F316" t="inlineStr">
        <is>
          <t>KALMAR LÄN</t>
        </is>
      </c>
      <c r="G316" t="inlineStr">
        <is>
          <t>HÖGSBY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38824-2024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45547</v>
      </c>
      <c r="E317" s="1" t="n">
        <v>46295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46295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46295</v>
      </c>
      <c r="F319" t="inlineStr">
        <is>
          <t>KALMAR LÄN</t>
        </is>
      </c>
      <c r="G319" t="inlineStr">
        <is>
          <t>HÖGSBY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46295</v>
      </c>
      <c r="F320" t="inlineStr">
        <is>
          <t>KALMAR LÄN</t>
        </is>
      </c>
      <c r="G320" t="inlineStr">
        <is>
          <t>HÖGSBY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28691-2026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46198</v>
      </c>
      <c r="E321" s="1" t="n">
        <v>46295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28697-2026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46198</v>
      </c>
      <c r="E322" s="1" t="n">
        <v>46295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46295</v>
      </c>
      <c r="F323" t="inlineStr">
        <is>
          <t>KALMAR LÄN</t>
        </is>
      </c>
      <c r="G323" t="inlineStr">
        <is>
          <t>HÖGSBY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46295</v>
      </c>
      <c r="F324" t="inlineStr">
        <is>
          <t>KALMAR LÄN</t>
        </is>
      </c>
      <c r="G324" t="inlineStr">
        <is>
          <t>HÖGSBY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49486-2022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44861</v>
      </c>
      <c r="E325" s="1" t="n">
        <v>46295</v>
      </c>
      <c r="F325" t="inlineStr">
        <is>
          <t>KALMAR LÄN</t>
        </is>
      </c>
      <c r="G325" t="inlineStr">
        <is>
          <t>HÖGSBY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30166-2026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46206</v>
      </c>
      <c r="E326" s="1" t="n">
        <v>46295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12.7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26927-2023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46295</v>
      </c>
      <c r="F327" t="inlineStr">
        <is>
          <t>KALMAR LÄN</t>
        </is>
      </c>
      <c r="G327" t="inlineStr">
        <is>
          <t>HÖGSBY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46295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46295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71635-2021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44543</v>
      </c>
      <c r="E330" s="1" t="n">
        <v>46295</v>
      </c>
      <c r="F330" t="inlineStr">
        <is>
          <t>KALMAR LÄN</t>
        </is>
      </c>
      <c r="G330" t="inlineStr">
        <is>
          <t>HÖGSBY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44613</v>
      </c>
      <c r="E331" s="1" t="n">
        <v>46295</v>
      </c>
      <c r="F331" t="inlineStr">
        <is>
          <t>KALMAR LÄN</t>
        </is>
      </c>
      <c r="G331" t="inlineStr">
        <is>
          <t>HÖGSBY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46206</v>
      </c>
      <c r="E332" s="1" t="n">
        <v>46295</v>
      </c>
      <c r="F332" t="inlineStr">
        <is>
          <t>KALMAR LÄN</t>
        </is>
      </c>
      <c r="G332" t="inlineStr">
        <is>
          <t>HÖGSBY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46295</v>
      </c>
      <c r="F333" t="inlineStr">
        <is>
          <t>KALMAR LÄN</t>
        </is>
      </c>
      <c r="G333" t="inlineStr">
        <is>
          <t>HÖGSBY</t>
        </is>
      </c>
      <c r="H333" t="inlineStr">
        <is>
          <t>Övriga Aktiebolag</t>
        </is>
      </c>
      <c r="I333" t="n">
        <v>15.2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46295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46295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6478-2022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44601</v>
      </c>
      <c r="E336" s="1" t="n">
        <v>46295</v>
      </c>
      <c r="F336" t="inlineStr">
        <is>
          <t>KALMAR LÄN</t>
        </is>
      </c>
      <c r="G336" t="inlineStr">
        <is>
          <t>HÖGSBY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46295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45447</v>
      </c>
      <c r="E338" s="1" t="n">
        <v>46295</v>
      </c>
      <c r="F338" t="inlineStr">
        <is>
          <t>KALMAR LÄN</t>
        </is>
      </c>
      <c r="G338" t="inlineStr">
        <is>
          <t>HÖGSBY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46295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46295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44903</v>
      </c>
      <c r="E341" s="1" t="n">
        <v>46295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46295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45217</v>
      </c>
      <c r="E343" s="1" t="n">
        <v>46295</v>
      </c>
      <c r="F343" t="inlineStr">
        <is>
          <t>KALMAR LÄN</t>
        </is>
      </c>
      <c r="G343" t="inlineStr">
        <is>
          <t>HÖGSBY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46295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24292-2022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44725</v>
      </c>
      <c r="E345" s="1" t="n">
        <v>46295</v>
      </c>
      <c r="F345" t="inlineStr">
        <is>
          <t>KALMAR LÄN</t>
        </is>
      </c>
      <c r="G345" t="inlineStr">
        <is>
          <t>HÖGSBY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44981</v>
      </c>
      <c r="E346" s="1" t="n">
        <v>46295</v>
      </c>
      <c r="F346" t="inlineStr">
        <is>
          <t>KALMAR LÄN</t>
        </is>
      </c>
      <c r="G346" t="inlineStr">
        <is>
          <t>HÖGSBY</t>
        </is>
      </c>
      <c r="H346" t="inlineStr">
        <is>
          <t>Övriga Aktiebolag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45183</v>
      </c>
      <c r="E347" s="1" t="n">
        <v>46295</v>
      </c>
      <c r="F347" t="inlineStr">
        <is>
          <t>KALMAR LÄN</t>
        </is>
      </c>
      <c r="G347" t="inlineStr">
        <is>
          <t>HÖGSBY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46266</v>
      </c>
      <c r="E348" s="1" t="n">
        <v>46295</v>
      </c>
      <c r="F348" t="inlineStr">
        <is>
          <t>KALMAR LÄN</t>
        </is>
      </c>
      <c r="G348" t="inlineStr">
        <is>
          <t>HÖGSBY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35910-2026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46266</v>
      </c>
      <c r="E349" s="1" t="n">
        <v>46295</v>
      </c>
      <c r="F349" t="inlineStr">
        <is>
          <t>KALMAR LÄN</t>
        </is>
      </c>
      <c r="G349" t="inlineStr">
        <is>
          <t>HÖGSBY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44950</v>
      </c>
      <c r="E350" s="1" t="n">
        <v>46295</v>
      </c>
      <c r="F350" t="inlineStr">
        <is>
          <t>KALMAR LÄN</t>
        </is>
      </c>
      <c r="G350" t="inlineStr">
        <is>
          <t>HÖGSBY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46295</v>
      </c>
      <c r="F351" t="inlineStr">
        <is>
          <t>KALMAR LÄN</t>
        </is>
      </c>
      <c r="G351" t="inlineStr">
        <is>
          <t>HÖGSBY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46267</v>
      </c>
      <c r="E352" s="1" t="n">
        <v>46295</v>
      </c>
      <c r="F352" t="inlineStr">
        <is>
          <t>KALMAR LÄN</t>
        </is>
      </c>
      <c r="G352" t="inlineStr">
        <is>
          <t>HÖGSBY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46267</v>
      </c>
      <c r="E353" s="1" t="n">
        <v>46295</v>
      </c>
      <c r="F353" t="inlineStr">
        <is>
          <t>KALMAR LÄN</t>
        </is>
      </c>
      <c r="G353" t="inlineStr">
        <is>
          <t>HÖGSBY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36404-2026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46268</v>
      </c>
      <c r="E354" s="1" t="n">
        <v>46295</v>
      </c>
      <c r="F354" t="inlineStr">
        <is>
          <t>KALMAR LÄN</t>
        </is>
      </c>
      <c r="G354" t="inlineStr">
        <is>
          <t>HÖGSBY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46268</v>
      </c>
      <c r="E355" s="1" t="n">
        <v>46295</v>
      </c>
      <c r="F355" t="inlineStr">
        <is>
          <t>KALMAR LÄN</t>
        </is>
      </c>
      <c r="G355" t="inlineStr">
        <is>
          <t>HÖGSBY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46266</v>
      </c>
      <c r="E356" s="1" t="n">
        <v>46295</v>
      </c>
      <c r="F356" t="inlineStr">
        <is>
          <t>KALMAR LÄN</t>
        </is>
      </c>
      <c r="G356" t="inlineStr">
        <is>
          <t>HÖGSBY</t>
        </is>
      </c>
      <c r="I356" t="n">
        <v>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36442-2026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46295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46295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24.4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46274</v>
      </c>
      <c r="E359" s="1" t="n">
        <v>46295</v>
      </c>
      <c r="F359" t="inlineStr">
        <is>
          <t>KALMAR LÄN</t>
        </is>
      </c>
      <c r="G359" t="inlineStr">
        <is>
          <t>HÖGSBY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46295</v>
      </c>
      <c r="F360" t="inlineStr">
        <is>
          <t>KALMAR LÄN</t>
        </is>
      </c>
      <c r="G360" t="inlineStr">
        <is>
          <t>HÖGSBY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46275</v>
      </c>
      <c r="E361" s="1" t="n">
        <v>46295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37338-2026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46275</v>
      </c>
      <c r="E362" s="1" t="n">
        <v>46295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46295</v>
      </c>
      <c r="F363" t="inlineStr">
        <is>
          <t>KALMAR LÄN</t>
        </is>
      </c>
      <c r="G363" t="inlineStr">
        <is>
          <t>HÖGSBY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45126</v>
      </c>
      <c r="E364" s="1" t="n">
        <v>46295</v>
      </c>
      <c r="F364" t="inlineStr">
        <is>
          <t>KALMAR LÄN</t>
        </is>
      </c>
      <c r="G364" t="inlineStr">
        <is>
          <t>HÖGSBY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44981</v>
      </c>
      <c r="E365" s="1" t="n">
        <v>46295</v>
      </c>
      <c r="F365" t="inlineStr">
        <is>
          <t>KALMAR LÄN</t>
        </is>
      </c>
      <c r="G365" t="inlineStr">
        <is>
          <t>HÖGSBY</t>
        </is>
      </c>
      <c r="H365" t="inlineStr">
        <is>
          <t>Övriga Aktiebolag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47797-2024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45588</v>
      </c>
      <c r="E366" s="1" t="n">
        <v>46295</v>
      </c>
      <c r="F366" t="inlineStr">
        <is>
          <t>KALMAR LÄN</t>
        </is>
      </c>
      <c r="G366" t="inlineStr">
        <is>
          <t>HÖGSBY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45692</v>
      </c>
      <c r="E367" s="1" t="n">
        <v>46295</v>
      </c>
      <c r="F367" t="inlineStr">
        <is>
          <t>KALMAR LÄN</t>
        </is>
      </c>
      <c r="G367" t="inlineStr">
        <is>
          <t>HÖGSBY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46295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45239</v>
      </c>
      <c r="E369" s="1" t="n">
        <v>46295</v>
      </c>
      <c r="F369" t="inlineStr">
        <is>
          <t>KALMAR LÄN</t>
        </is>
      </c>
      <c r="G369" t="inlineStr">
        <is>
          <t>HÖGSBY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45337</v>
      </c>
      <c r="E370" s="1" t="n">
        <v>46295</v>
      </c>
      <c r="F370" t="inlineStr">
        <is>
          <t>KALMAR LÄN</t>
        </is>
      </c>
      <c r="G370" t="inlineStr">
        <is>
          <t>HÖGSBY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46295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45279</v>
      </c>
      <c r="E372" s="1" t="n">
        <v>46295</v>
      </c>
      <c r="F372" t="inlineStr">
        <is>
          <t>KALMAR LÄN</t>
        </is>
      </c>
      <c r="G372" t="inlineStr">
        <is>
          <t>HÖGSBY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38185-2026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46281</v>
      </c>
      <c r="E373" s="1" t="n">
        <v>46295</v>
      </c>
      <c r="F373" t="inlineStr">
        <is>
          <t>KALMAR LÄN</t>
        </is>
      </c>
      <c r="G373" t="inlineStr">
        <is>
          <t>HÖGSBY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36573-2023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45153</v>
      </c>
      <c r="E374" s="1" t="n">
        <v>46295</v>
      </c>
      <c r="F374" t="inlineStr">
        <is>
          <t>KALMAR LÄN</t>
        </is>
      </c>
      <c r="G374" t="inlineStr">
        <is>
          <t>HÖGSBY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10412-2022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44623</v>
      </c>
      <c r="E375" s="1" t="n">
        <v>46295</v>
      </c>
      <c r="F375" t="inlineStr">
        <is>
          <t>KALMAR LÄN</t>
        </is>
      </c>
      <c r="G375" t="inlineStr">
        <is>
          <t>HÖGSBY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44879</v>
      </c>
      <c r="E376" s="1" t="n">
        <v>46295</v>
      </c>
      <c r="F376" t="inlineStr">
        <is>
          <t>KALMAR LÄN</t>
        </is>
      </c>
      <c r="G376" t="inlineStr">
        <is>
          <t>HÖGSBY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38821-2026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46286</v>
      </c>
      <c r="E377" s="1" t="n">
        <v>46295</v>
      </c>
      <c r="F377" t="inlineStr">
        <is>
          <t>KALMAR LÄN</t>
        </is>
      </c>
      <c r="G377" t="inlineStr">
        <is>
          <t>HÖGSBY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46295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59408-2022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44907</v>
      </c>
      <c r="E379" s="1" t="n">
        <v>46295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46295</v>
      </c>
      <c r="F380" t="inlineStr">
        <is>
          <t>KALMAR LÄN</t>
        </is>
      </c>
      <c r="G380" t="inlineStr">
        <is>
          <t>HÖGSBY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45203</v>
      </c>
      <c r="E381" s="1" t="n">
        <v>46295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46295</v>
      </c>
      <c r="F382" t="inlineStr">
        <is>
          <t>KALMAR LÄN</t>
        </is>
      </c>
      <c r="G382" t="inlineStr">
        <is>
          <t>HÖGSBY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46287</v>
      </c>
      <c r="E383" s="1" t="n">
        <v>46295</v>
      </c>
      <c r="F383" t="inlineStr">
        <is>
          <t>KALMAR LÄN</t>
        </is>
      </c>
      <c r="G383" t="inlineStr">
        <is>
          <t>HÖGSBY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46295</v>
      </c>
      <c r="F384" t="inlineStr">
        <is>
          <t>KALMAR LÄN</t>
        </is>
      </c>
      <c r="G384" t="inlineStr">
        <is>
          <t>HÖGSBY</t>
        </is>
      </c>
      <c r="I384" t="n">
        <v>8.9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46295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34078-2024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45523</v>
      </c>
      <c r="E386" s="1" t="n">
        <v>46295</v>
      </c>
      <c r="F386" t="inlineStr">
        <is>
          <t>KALMAR LÄN</t>
        </is>
      </c>
      <c r="G386" t="inlineStr">
        <is>
          <t>HÖGSBY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46295</v>
      </c>
      <c r="F387" t="inlineStr">
        <is>
          <t>KALMAR LÄN</t>
        </is>
      </c>
      <c r="G387" t="inlineStr">
        <is>
          <t>HÖGSBY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46295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46295</v>
      </c>
      <c r="F389" t="inlineStr">
        <is>
          <t>KALMAR LÄN</t>
        </is>
      </c>
      <c r="G389" t="inlineStr">
        <is>
          <t>HÖGSBY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  <c r="Z389">
        <f>HYPERLINK("https://klasma.github.io/Logging_0821/knärot/A 40137-2024 karta knärot.png", "A 40137-2024")</f>
        <v/>
      </c>
      <c r="AA389">
        <f>HYPERLINK("https://klasma.github.io/Logging_0821/klagomål/A 40137-2024 FSC-klagomål.docx", "A 40137-2024")</f>
        <v/>
      </c>
      <c r="AB389">
        <f>HYPERLINK("https://klasma.github.io/Logging_0821/klagomålsmail/A 40137-2024 FSC-klagomål mail.docx", "A 40137-2024")</f>
        <v/>
      </c>
      <c r="AC389">
        <f>HYPERLINK("https://klasma.github.io/Logging_0821/tillsyn/A 40137-2024 tillsynsbegäran.docx", "A 40137-2024")</f>
        <v/>
      </c>
      <c r="AD389">
        <f>HYPERLINK("https://klasma.github.io/Logging_0821/tillsynsmail/A 40137-2024 tillsynsbegäran mail.docx", "A 40137-2024")</f>
        <v/>
      </c>
    </row>
    <row r="390" ht="15" customHeight="1">
      <c r="A390" t="inlineStr">
        <is>
          <t>A 33788-2026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46251</v>
      </c>
      <c r="E390" s="1" t="n">
        <v>46295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46293</v>
      </c>
      <c r="E391" s="1" t="n">
        <v>46295</v>
      </c>
      <c r="F391" t="inlineStr">
        <is>
          <t>KALMAR LÄN</t>
        </is>
      </c>
      <c r="G391" t="inlineStr">
        <is>
          <t>HÖGSBY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46295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46295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46295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46295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46295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46295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46295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46295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46295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46295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46295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46295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46295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46295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46295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46295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46295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46295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46295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46295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46295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46295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46295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46295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2026-09-30T01:56:04Z</dcterms:created>
  <dcterms:modified xmlns:dcterms="http://purl.org/dc/terms/" xmlns:xsi="http://www.w3.org/2001/XMLSchema-instance" xsi:type="dcterms:W3CDTF">2026-09-30T01:56:05Z</dcterms:modified>
</cp:coreProperties>
</file>