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46294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46294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46294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46294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46294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46294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46294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46294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46294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46294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46294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46294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46294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46294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46294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46294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46294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46294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46294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46294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46294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46294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46294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46294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46294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46294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46294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46294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46294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46294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46294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46294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46294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46294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46294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46294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46294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46294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46294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46294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46294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Mindre bastardsvärmare</t>
        </is>
      </c>
      <c r="W44">
        <f>HYPERLINK("https://klasma.github.io/Logging_0821/artfynd/A 17994-2026 artfynd.xlsx", "A 17994-2026")</f>
        <v/>
      </c>
      <c r="X44">
        <f>HYPERLINK("https://klasma.github.io/Logging_0821/kartor/A 17994-2026 karta.png", "A 17994-2026")</f>
        <v/>
      </c>
      <c r="Y44">
        <f>HYPERLINK("https://klasma.github.io/Logging_0821/kartor_geotiff/A 17994-2026 georefererad karta.tif", "A 17994-2026")</f>
        <v/>
      </c>
      <c r="AA44">
        <f>HYPERLINK("https://klasma.github.io/Logging_0821/klagomål/A 17994-2026 FSC-klagomål.docx", "A 17994-2026")</f>
        <v/>
      </c>
      <c r="AB44">
        <f>HYPERLINK("https://klasma.github.io/Logging_0821/klagomålsmail/A 17994-2026 FSC-klagomål mail.docx", "A 17994-2026")</f>
        <v/>
      </c>
      <c r="AC44">
        <f>HYPERLINK("https://klasma.github.io/Logging_0821/tillsyn/A 17994-2026 tillsynsbegäran.docx", "A 17994-2026")</f>
        <v/>
      </c>
      <c r="AD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46294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HYPERLINK("https://klasma.github.io/Logging_0821/artfynd/A 19463-2026 artfynd.xlsx", "A 19463-2026")</f>
        <v/>
      </c>
      <c r="X45">
        <f>HYPERLINK("https://klasma.github.io/Logging_0821/kartor/A 19463-2026 karta.png", "A 19463-2026")</f>
        <v/>
      </c>
      <c r="Y45">
        <f>HYPERLINK("https://klasma.github.io/Logging_0821/kartor_geotiff/A 19463-2026 georefererad karta.tif", "A 19463-2026")</f>
        <v/>
      </c>
      <c r="AA45">
        <f>HYPERLINK("https://klasma.github.io/Logging_0821/klagomål/A 19463-2026 FSC-klagomål.docx", "A 19463-2026")</f>
        <v/>
      </c>
      <c r="AB45">
        <f>HYPERLINK("https://klasma.github.io/Logging_0821/klagomålsmail/A 19463-2026 FSC-klagomål mail.docx", "A 19463-2026")</f>
        <v/>
      </c>
      <c r="AC45">
        <f>HYPERLINK("https://klasma.github.io/Logging_0821/tillsyn/A 19463-2026 tillsynsbegäran.docx", "A 19463-2026")</f>
        <v/>
      </c>
      <c r="AD45">
        <f>HYPERLINK("https://klasma.github.io/Logging_0821/tillsynsmail/A 19463-2026 tillsynsbegäran mail.docx", "A 19463-2026")</f>
        <v/>
      </c>
    </row>
    <row r="46" ht="15" customHeight="1">
      <c r="A46" t="inlineStr">
        <is>
          <t>A 19536-2026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46294</v>
      </c>
      <c r="F46" t="inlineStr">
        <is>
          <t>KALMAR LÄN</t>
        </is>
      </c>
      <c r="G46" t="inlineStr">
        <is>
          <t>HÖGSBY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19536-2026 artfynd.xlsx", "A 19536-2026")</f>
        <v/>
      </c>
      <c r="X46">
        <f>HYPERLINK("https://klasma.github.io/Logging_0821/kartor/A 19536-2026 karta.png", "A 19536-2026")</f>
        <v/>
      </c>
      <c r="Y46">
        <f>HYPERLINK("https://klasma.github.io/Logging_0821/kartor_geotiff/A 19536-2026 georefererad karta.tif", "A 19536-2026")</f>
        <v/>
      </c>
      <c r="AA46">
        <f>HYPERLINK("https://klasma.github.io/Logging_0821/klagomål/A 19536-2026 FSC-klagomål.docx", "A 19536-2026")</f>
        <v/>
      </c>
      <c r="AB46">
        <f>HYPERLINK("https://klasma.github.io/Logging_0821/klagomålsmail/A 19536-2026 FSC-klagomål mail.docx", "A 19536-2026")</f>
        <v/>
      </c>
      <c r="AC46">
        <f>HYPERLINK("https://klasma.github.io/Logging_0821/tillsyn/A 19536-2026 tillsynsbegäran.docx", "A 19536-2026")</f>
        <v/>
      </c>
      <c r="AD46">
        <f>HYPERLINK("https://klasma.github.io/Logging_0821/tillsynsmail/A 19536-2026 tillsynsbegäran mail.docx", "A 19536-2026")</f>
        <v/>
      </c>
      <c r="AE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46294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Flikig tallfibbla</t>
        </is>
      </c>
      <c r="W47">
        <f>HYPERLINK("https://klasma.github.io/Logging_0821/artfynd/A 38267-2025 artfynd.xlsx", "A 38267-2025")</f>
        <v/>
      </c>
      <c r="X47">
        <f>HYPERLINK("https://klasma.github.io/Logging_0821/kartor/A 38267-2025 karta.png", "A 38267-2025")</f>
        <v/>
      </c>
      <c r="Y47">
        <f>HYPERLINK("https://klasma.github.io/Logging_0821/kartor_geotiff/A 38267-2025 georefererad karta.tif", "A 38267-2025")</f>
        <v/>
      </c>
      <c r="AA47">
        <f>HYPERLINK("https://klasma.github.io/Logging_0821/klagomål/A 38267-2025 FSC-klagomål.docx", "A 38267-2025")</f>
        <v/>
      </c>
      <c r="AB47">
        <f>HYPERLINK("https://klasma.github.io/Logging_0821/klagomålsmail/A 38267-2025 FSC-klagomål mail.docx", "A 38267-2025")</f>
        <v/>
      </c>
      <c r="AC47">
        <f>HYPERLINK("https://klasma.github.io/Logging_0821/tillsyn/A 38267-2025 tillsynsbegäran.docx", "A 38267-2025")</f>
        <v/>
      </c>
      <c r="AD47">
        <f>HYPERLINK("https://klasma.github.io/Logging_0821/tillsynsmail/A 38267-2025 tillsynsbegäran mail.docx", "A 38267-2025")</f>
        <v/>
      </c>
    </row>
    <row r="48" ht="15" customHeight="1">
      <c r="A48" t="inlineStr">
        <is>
          <t>A 22757-2026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46294</v>
      </c>
      <c r="F48" t="inlineStr">
        <is>
          <t>KALMAR LÄN</t>
        </is>
      </c>
      <c r="G48" t="inlineStr">
        <is>
          <t>HÖGSBY</t>
        </is>
      </c>
      <c r="I48" t="n">
        <v>1.1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Blåsippa</t>
        </is>
      </c>
      <c r="W48">
        <f>HYPERLINK("https://klasma.github.io/Logging_0821/artfynd/A 22757-2026 artfynd.xlsx", "A 22757-2026")</f>
        <v/>
      </c>
      <c r="X48">
        <f>HYPERLINK("https://klasma.github.io/Logging_0821/kartor/A 22757-2026 karta.png", "A 22757-2026")</f>
        <v/>
      </c>
      <c r="Y48">
        <f>HYPERLINK("https://klasma.github.io/Logging_0821/kartor_geotiff/A 22757-2026 georefererad karta.tif", "A 22757-2026")</f>
        <v/>
      </c>
      <c r="AA48">
        <f>HYPERLINK("https://klasma.github.io/Logging_0821/klagomål/A 22757-2026 FSC-klagomål.docx", "A 22757-2026")</f>
        <v/>
      </c>
      <c r="AB48">
        <f>HYPERLINK("https://klasma.github.io/Logging_0821/klagomålsmail/A 22757-2026 FSC-klagomål mail.docx", "A 22757-2026")</f>
        <v/>
      </c>
      <c r="AC48">
        <f>HYPERLINK("https://klasma.github.io/Logging_0821/tillsyn/A 22757-2026 tillsynsbegäran.docx", "A 22757-2026")</f>
        <v/>
      </c>
      <c r="AD48">
        <f>HYPERLINK("https://klasma.github.io/Logging_0821/tillsynsmail/A 22757-2026 tillsynsbegäran mail.docx", "A 22757-2026")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46294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46294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26145-2026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46294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Gullviva</t>
        </is>
      </c>
      <c r="W51">
        <f>HYPERLINK("https://klasma.github.io/Logging_0821/artfynd/A 26145-2026 artfynd.xlsx", "A 26145-2026")</f>
        <v/>
      </c>
      <c r="X51">
        <f>HYPERLINK("https://klasma.github.io/Logging_0821/kartor/A 26145-2026 karta.png", "A 26145-2026")</f>
        <v/>
      </c>
      <c r="Y51">
        <f>HYPERLINK("https://klasma.github.io/Logging_0821/kartor_geotiff/A 26145-2026 georefererad karta.tif", "A 26145-2026")</f>
        <v/>
      </c>
      <c r="AA51">
        <f>HYPERLINK("https://klasma.github.io/Logging_0821/klagomål/A 26145-2026 FSC-klagomål.docx", "A 26145-2026")</f>
        <v/>
      </c>
      <c r="AB51">
        <f>HYPERLINK("https://klasma.github.io/Logging_0821/klagomålsmail/A 26145-2026 FSC-klagomål mail.docx", "A 26145-2026")</f>
        <v/>
      </c>
      <c r="AC51">
        <f>HYPERLINK("https://klasma.github.io/Logging_0821/tillsyn/A 26145-2026 tillsynsbegäran.docx", "A 26145-2026")</f>
        <v/>
      </c>
      <c r="AD51">
        <f>HYPERLINK("https://klasma.github.io/Logging_0821/tillsynsmail/A 26145-2026 tillsynsbegäran mail.docx", "A 26145-2026")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46294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46294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46294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38802-2024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45547</v>
      </c>
      <c r="E55" s="1" t="n">
        <v>46294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HYPERLINK("https://klasma.github.io/Logging_0821/artfynd/A 38802-2024 artfynd.xlsx", "A 38802-2024")</f>
        <v/>
      </c>
      <c r="X55">
        <f>HYPERLINK("https://klasma.github.io/Logging_0821/kartor/A 38802-2024 karta.png", "A 38802-2024")</f>
        <v/>
      </c>
      <c r="Y55">
        <f>HYPERLINK("https://klasma.github.io/Logging_0821/kartor_geotiff/A 38802-2024 georefererad karta.tif", "A 38802-2024")</f>
        <v/>
      </c>
      <c r="AA55">
        <f>HYPERLINK("https://klasma.github.io/Logging_0821/klagomål/A 38802-2024 FSC-klagomål.docx", "A 38802-2024")</f>
        <v/>
      </c>
      <c r="AB55">
        <f>HYPERLINK("https://klasma.github.io/Logging_0821/klagomålsmail/A 38802-2024 FSC-klagomål mail.docx", "A 38802-2024")</f>
        <v/>
      </c>
      <c r="AC55">
        <f>HYPERLINK("https://klasma.github.io/Logging_0821/tillsyn/A 38802-2024 tillsynsbegäran.docx", "A 38802-2024")</f>
        <v/>
      </c>
      <c r="AD55">
        <f>HYPERLINK("https://klasma.github.io/Logging_0821/tillsynsmail/A 38802-2024 tillsynsbegäran mail.docx", "A 38802-2024")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46294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58792-2022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46294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58792-2022 artfynd.xlsx", "A 58792-2022")</f>
        <v/>
      </c>
      <c r="X57">
        <f>HYPERLINK("https://klasma.github.io/Logging_0821/kartor/A 58792-2022 karta.png", "A 58792-2022")</f>
        <v/>
      </c>
      <c r="Y57">
        <f>HYPERLINK("https://klasma.github.io/Logging_0821/kartor_geotiff/A 58792-2022 georefererad karta.tif", "A 58792-2022")</f>
        <v/>
      </c>
      <c r="AA57">
        <f>HYPERLINK("https://klasma.github.io/Logging_0821/klagomål/A 58792-2022 FSC-klagomål.docx", "A 58792-2022")</f>
        <v/>
      </c>
      <c r="AB57">
        <f>HYPERLINK("https://klasma.github.io/Logging_0821/klagomålsmail/A 58792-2022 FSC-klagomål mail.docx", "A 58792-2022")</f>
        <v/>
      </c>
      <c r="AC57">
        <f>HYPERLINK("https://klasma.github.io/Logging_0821/tillsyn/A 58792-2022 tillsynsbegäran.docx", "A 58792-2022")</f>
        <v/>
      </c>
      <c r="AD57">
        <f>HYPERLINK("https://klasma.github.io/Logging_0821/tillsynsmail/A 58792-2022 tillsynsbegäran mail.docx", "A 58792-2022")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46294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52177-2022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46294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Nordfladdermus</t>
        </is>
      </c>
      <c r="W59">
        <f>HYPERLINK("https://klasma.github.io/Logging_0821/artfynd/A 52177-2022 artfynd.xlsx", "A 52177-2022")</f>
        <v/>
      </c>
      <c r="X59">
        <f>HYPERLINK("https://klasma.github.io/Logging_0821/kartor/A 52177-2022 karta.png", "A 52177-2022")</f>
        <v/>
      </c>
      <c r="Y59">
        <f>HYPERLINK("https://klasma.github.io/Logging_0821/kartor_geotiff/A 52177-2022 georefererad karta.tif", "A 52177-2022")</f>
        <v/>
      </c>
      <c r="AA59">
        <f>HYPERLINK("https://klasma.github.io/Logging_0821/klagomål/A 52177-2022 FSC-klagomål.docx", "A 52177-2022")</f>
        <v/>
      </c>
      <c r="AB59">
        <f>HYPERLINK("https://klasma.github.io/Logging_0821/klagomålsmail/A 52177-2022 FSC-klagomål mail.docx", "A 52177-2022")</f>
        <v/>
      </c>
      <c r="AC59">
        <f>HYPERLINK("https://klasma.github.io/Logging_0821/tillsyn/A 52177-2022 tillsynsbegäran.docx", "A 52177-2022")</f>
        <v/>
      </c>
      <c r="AD59">
        <f>HYPERLINK("https://klasma.github.io/Logging_0821/tillsynsmail/A 52177-2022 tillsynsbegäran mail.docx", "A 52177-2022")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46294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59407-2022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44907</v>
      </c>
      <c r="E61" s="1" t="n">
        <v>46294</v>
      </c>
      <c r="F61" t="inlineStr">
        <is>
          <t>KALMAR LÄN</t>
        </is>
      </c>
      <c r="G61" t="inlineStr">
        <is>
          <t>HÖGSBY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Blåsippa</t>
        </is>
      </c>
      <c r="W61">
        <f>HYPERLINK("https://klasma.github.io/Logging_0821/artfynd/A 59407-2022 artfynd.xlsx", "A 59407-2022")</f>
        <v/>
      </c>
      <c r="X61">
        <f>HYPERLINK("https://klasma.github.io/Logging_0821/kartor/A 59407-2022 karta.png", "A 59407-2022")</f>
        <v/>
      </c>
      <c r="Y61">
        <f>HYPERLINK("https://klasma.github.io/Logging_0821/kartor_geotiff/A 59407-2022 georefererad karta.tif", "A 59407-2022")</f>
        <v/>
      </c>
      <c r="AA61">
        <f>HYPERLINK("https://klasma.github.io/Logging_0821/klagomål/A 59407-2022 FSC-klagomål.docx", "A 59407-2022")</f>
        <v/>
      </c>
      <c r="AB61">
        <f>HYPERLINK("https://klasma.github.io/Logging_0821/klagomålsmail/A 59407-2022 FSC-klagomål mail.docx", "A 59407-2022")</f>
        <v/>
      </c>
      <c r="AC61">
        <f>HYPERLINK("https://klasma.github.io/Logging_0821/tillsyn/A 59407-2022 tillsynsbegäran.docx", "A 59407-2022")</f>
        <v/>
      </c>
      <c r="AD61">
        <f>HYPERLINK("https://klasma.github.io/Logging_0821/tillsynsmail/A 59407-2022 tillsynsbegäran mail.docx", "A 59407-2022")</f>
        <v/>
      </c>
    </row>
    <row r="62" ht="15" customHeight="1">
      <c r="A62" t="inlineStr">
        <is>
          <t>A 19519-2025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46294</v>
      </c>
      <c r="F62" t="inlineStr">
        <is>
          <t>KALMAR LÄN</t>
        </is>
      </c>
      <c r="G62" t="inlineStr">
        <is>
          <t>HÖGSBY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HYPERLINK("https://klasma.github.io/Logging_0821/artfynd/A 19519-2025 artfynd.xlsx", "A 19519-2025")</f>
        <v/>
      </c>
      <c r="X62">
        <f>HYPERLINK("https://klasma.github.io/Logging_0821/kartor/A 19519-2025 karta.png", "A 19519-2025")</f>
        <v/>
      </c>
      <c r="Y62">
        <f>HYPERLINK("https://klasma.github.io/Logging_0821/kartor_geotiff/A 19519-2025 georefererad karta.tif", "A 19519-2025")</f>
        <v/>
      </c>
      <c r="AA62">
        <f>HYPERLINK("https://klasma.github.io/Logging_0821/klagomål/A 19519-2025 FSC-klagomål.docx", "A 19519-2025")</f>
        <v/>
      </c>
      <c r="AB62">
        <f>HYPERLINK("https://klasma.github.io/Logging_0821/klagomålsmail/A 19519-2025 FSC-klagomål mail.docx", "A 19519-2025")</f>
        <v/>
      </c>
      <c r="AC62">
        <f>HYPERLINK("https://klasma.github.io/Logging_0821/tillsyn/A 19519-2025 tillsynsbegäran.docx", "A 19519-2025")</f>
        <v/>
      </c>
      <c r="AD62">
        <f>HYPERLINK("https://klasma.github.io/Logging_0821/tillsynsmail/A 19519-2025 tillsynsbegäran mail.docx", "A 19519-2025")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46294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33784-2026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46294</v>
      </c>
      <c r="F64" t="inlineStr">
        <is>
          <t>KALMAR LÄN</t>
        </is>
      </c>
      <c r="G64" t="inlineStr">
        <is>
          <t>HÖGSBY</t>
        </is>
      </c>
      <c r="H64" t="inlineStr">
        <is>
          <t>Sveaskog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33784-2026 artfynd.xlsx", "A 33784-2026")</f>
        <v/>
      </c>
      <c r="X64">
        <f>HYPERLINK("https://klasma.github.io/Logging_0821/kartor/A 33784-2026 karta.png", "A 33784-2026")</f>
        <v/>
      </c>
      <c r="Y64">
        <f>HYPERLINK("https://klasma.github.io/Logging_0821/kartor_geotiff/A 33784-2026 georefererad karta.tif", "A 33784-2026")</f>
        <v/>
      </c>
      <c r="AA64">
        <f>HYPERLINK("https://klasma.github.io/Logging_0821/klagomål/A 33784-2026 FSC-klagomål.docx", "A 33784-2026")</f>
        <v/>
      </c>
      <c r="AB64">
        <f>HYPERLINK("https://klasma.github.io/Logging_0821/klagomålsmail/A 33784-2026 FSC-klagomål mail.docx", "A 33784-2026")</f>
        <v/>
      </c>
      <c r="AC64">
        <f>HYPERLINK("https://klasma.github.io/Logging_0821/tillsyn/A 33784-2026 tillsynsbegäran.docx", "A 33784-2026")</f>
        <v/>
      </c>
      <c r="AD64">
        <f>HYPERLINK("https://klasma.github.io/Logging_0821/tillsynsmail/A 33784-2026 tillsynsbegäran mail.docx", "A 33784-2026")</f>
        <v/>
      </c>
      <c r="AE64">
        <f>HYPERLINK("https://klasma.github.io/Logging_0821/fåglar/A 33784-2026 prioriterade fågelarter.docx", "A 33784-2026")</f>
        <v/>
      </c>
    </row>
    <row r="65" ht="15" customHeight="1">
      <c r="A65" t="inlineStr">
        <is>
          <t>S 352-2023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46294</v>
      </c>
      <c r="F65" t="inlineStr">
        <is>
          <t>KALMAR LÄN</t>
        </is>
      </c>
      <c r="G65" t="inlineStr">
        <is>
          <t>HÖGSBY</t>
        </is>
      </c>
      <c r="I65" t="n">
        <v>20.9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HYPERLINK("https://klasma.github.io/Logging_0821/artfynd/S 352-2023 artfynd.xlsx", "S 352-2023")</f>
        <v/>
      </c>
      <c r="X65">
        <f>HYPERLINK("https://klasma.github.io/Logging_0821/kartor/S 352-2023 karta.png", "S 352-2023")</f>
        <v/>
      </c>
      <c r="Y65">
        <f>HYPERLINK("https://klasma.github.io/Logging_0821/kartor_geotiff/S 352-2023 georefererad karta.tif", "S 352-2023")</f>
        <v/>
      </c>
      <c r="Z65">
        <f>HYPERLINK("https://klasma.github.io/Logging_0821/knärot/S 352-2023 karta knärot.png", "S 352-2023")</f>
        <v/>
      </c>
      <c r="AA65">
        <f>HYPERLINK("https://klasma.github.io/Logging_0821/klagomål/S 352-2023 FSC-klagomål.docx", "S 352-2023")</f>
        <v/>
      </c>
      <c r="AB65">
        <f>HYPERLINK("https://klasma.github.io/Logging_0821/klagomålsmail/S 352-2023 FSC-klagomål mail.docx", "S 352-2023")</f>
        <v/>
      </c>
      <c r="AC65">
        <f>HYPERLINK("https://klasma.github.io/Logging_0821/tillsyn/S 352-2023 tillsynsbegäran.docx", "S 352-2023")</f>
        <v/>
      </c>
      <c r="AD65">
        <f>HYPERLINK("https://klasma.github.io/Logging_0821/tillsynsmail/S 352-2023 tillsynsbegäran mail.docx", "S 352-2023")</f>
        <v/>
      </c>
      <c r="AE65">
        <f>HYPERLINK("https://klasma.github.io/Logging_0821/fåglar/S 352-2023 prioriterade fågelarter.docx", "S 352-2023")</f>
        <v/>
      </c>
    </row>
    <row r="66" ht="15" customHeight="1">
      <c r="A66" t="inlineStr">
        <is>
          <t>S 1694-2022</t>
        </is>
      </c>
      <c r="B66" t="inlineStr">
        <is>
          <t>samrådsanmälan</t>
        </is>
      </c>
      <c r="C66" t="inlineStr">
        <is>
          <t>Åtgärd i nyckelbiotop</t>
        </is>
      </c>
      <c r="D66" s="1" t="n">
        <v>44650</v>
      </c>
      <c r="E66" s="1" t="n">
        <v>46294</v>
      </c>
      <c r="F66" t="inlineStr">
        <is>
          <t>KALMAR LÄN</t>
        </is>
      </c>
      <c r="G66" t="inlineStr">
        <is>
          <t>HÖGSBY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Mistel</t>
        </is>
      </c>
      <c r="W66">
        <f>HYPERLINK("https://klasma.github.io/Logging_0821/artfynd/S 1694-2022 artfynd.xlsx", "S 1694-2022")</f>
        <v/>
      </c>
      <c r="X66">
        <f>HYPERLINK("https://klasma.github.io/Logging_0821/kartor/S 1694-2022 karta.png", "S 1694-2022")</f>
        <v/>
      </c>
      <c r="Y66">
        <f>HYPERLINK("https://klasma.github.io/Logging_0821/kartor_geotiff/S 1694-2022 georefererad karta.tif", "S 1694-2022")</f>
        <v/>
      </c>
      <c r="AA66">
        <f>HYPERLINK("https://klasma.github.io/Logging_0821/klagomål/S 1694-2022 FSC-klagomål.docx", "S 1694-2022")</f>
        <v/>
      </c>
      <c r="AB66">
        <f>HYPERLINK("https://klasma.github.io/Logging_0821/klagomålsmail/S 1694-2022 FSC-klagomål mail.docx", "S 1694-2022")</f>
        <v/>
      </c>
      <c r="AC66">
        <f>HYPERLINK("https://klasma.github.io/Logging_0821/tillsyn/S 1694-2022 tillsynsbegäran.docx", "S 1694-2022")</f>
        <v/>
      </c>
      <c r="AD66">
        <f>HYPERLINK("https://klasma.github.io/Logging_0821/tillsynsmail/S 1694-2022 tillsynsbegäran mail.docx", "S 1694-2022")</f>
        <v/>
      </c>
    </row>
    <row r="67" ht="15" customHeight="1">
      <c r="A67" t="inlineStr">
        <is>
          <t>S 771-2022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44602</v>
      </c>
      <c r="E67" s="1" t="n">
        <v>46294</v>
      </c>
      <c r="F67" t="inlineStr">
        <is>
          <t>KALMAR LÄN</t>
        </is>
      </c>
      <c r="G67" t="inlineStr">
        <is>
          <t>HÖGSBY</t>
        </is>
      </c>
      <c r="I67" t="n">
        <v>129.1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Ögonpyrola</t>
        </is>
      </c>
      <c r="W67">
        <f>HYPERLINK("https://klasma.github.io/Logging_0821/artfynd/S 771-2022 artfynd.xlsx", "S 771-2022")</f>
        <v/>
      </c>
      <c r="X67">
        <f>HYPERLINK("https://klasma.github.io/Logging_0821/kartor/S 771-2022 karta.png", "S 771-2022")</f>
        <v/>
      </c>
      <c r="Y67">
        <f>HYPERLINK("https://klasma.github.io/Logging_0821/kartor_geotiff/S 771-2022 georefererad karta.tif", "S 771-2022")</f>
        <v/>
      </c>
      <c r="AA67">
        <f>HYPERLINK("https://klasma.github.io/Logging_0821/klagomål/S 771-2022 FSC-klagomål.docx", "S 771-2022")</f>
        <v/>
      </c>
      <c r="AB67">
        <f>HYPERLINK("https://klasma.github.io/Logging_0821/klagomålsmail/S 771-2022 FSC-klagomål mail.docx", "S 771-2022")</f>
        <v/>
      </c>
      <c r="AC67">
        <f>HYPERLINK("https://klasma.github.io/Logging_0821/tillsyn/S 771-2022 tillsynsbegäran.docx", "S 771-2022")</f>
        <v/>
      </c>
      <c r="AD67">
        <f>HYPERLINK("https://klasma.github.io/Logging_0821/tillsynsmail/S 771-2022 tillsynsbegäran mail.docx", "S 771-2022")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46294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46294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46294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46294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46294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46294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46294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46294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46294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46294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46294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46294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46294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46294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46294</v>
      </c>
      <c r="F82" t="inlineStr">
        <is>
          <t>KALMAR LÄN</t>
        </is>
      </c>
      <c r="G82" t="inlineStr">
        <is>
          <t>HÖGSBY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46294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46294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46294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46294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46294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46294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46294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46294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46294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46294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46294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46294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46294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46294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46294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46294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46294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46294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46294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46294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46294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46294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46294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46294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46294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46294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46294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46294</v>
      </c>
      <c r="F110" t="inlineStr">
        <is>
          <t>KALMAR LÄN</t>
        </is>
      </c>
      <c r="G110" t="inlineStr">
        <is>
          <t>HÖGSBY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46294</v>
      </c>
      <c r="F111" t="inlineStr">
        <is>
          <t>KALMAR LÄN</t>
        </is>
      </c>
      <c r="G111" t="inlineStr">
        <is>
          <t>HÖGSBY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46294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45999</v>
      </c>
      <c r="E113" s="1" t="n">
        <v>46294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46294</v>
      </c>
      <c r="F114" t="inlineStr">
        <is>
          <t>KALMAR LÄN</t>
        </is>
      </c>
      <c r="G114" t="inlineStr">
        <is>
          <t>HÖGSBY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46294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HYPERLINK("https://klasma.github.io/Logging_0821/knärot/A 40137-2024 karta knärot.png", "A 40137-2024")</f>
        <v/>
      </c>
      <c r="AA115">
        <f>HYPERLINK("https://klasma.github.io/Logging_0821/klagomål/A 40137-2024 FSC-klagomål.docx", "A 40137-2024")</f>
        <v/>
      </c>
      <c r="AB115">
        <f>HYPERLINK("https://klasma.github.io/Logging_0821/klagomålsmail/A 40137-2024 FSC-klagomål mail.docx", "A 40137-2024")</f>
        <v/>
      </c>
      <c r="AC115">
        <f>HYPERLINK("https://klasma.github.io/Logging_0821/tillsyn/A 40137-2024 tillsynsbegäran.docx", "A 40137-2024")</f>
        <v/>
      </c>
      <c r="AD115">
        <f>HYPERLINK("https://klasma.github.io/Logging_0821/tillsynsmail/A 40137-2024 tillsynsbegäran mail.docx", "A 40137-2024")</f>
        <v/>
      </c>
    </row>
    <row r="116" ht="15" customHeight="1">
      <c r="A116" t="inlineStr">
        <is>
          <t>A 1582-2024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46294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46294</v>
      </c>
      <c r="F117" t="inlineStr">
        <is>
          <t>KALMAR LÄN</t>
        </is>
      </c>
      <c r="G117" t="inlineStr">
        <is>
          <t>HÖGSBY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46294</v>
      </c>
      <c r="F118" t="inlineStr">
        <is>
          <t>KALMAR LÄN</t>
        </is>
      </c>
      <c r="G118" t="inlineStr">
        <is>
          <t>HÖGSBY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46294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59281-2022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44904</v>
      </c>
      <c r="E120" s="1" t="n">
        <v>46294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46294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46294</v>
      </c>
      <c r="F122" t="inlineStr">
        <is>
          <t>KALMAR LÄN</t>
        </is>
      </c>
      <c r="G122" t="inlineStr">
        <is>
          <t>HÖGSBY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62720-2025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46008</v>
      </c>
      <c r="E123" s="1" t="n">
        <v>46294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46008</v>
      </c>
      <c r="E124" s="1" t="n">
        <v>46294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46294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46294</v>
      </c>
      <c r="F126" t="inlineStr">
        <is>
          <t>KALMAR LÄN</t>
        </is>
      </c>
      <c r="G126" t="inlineStr">
        <is>
          <t>HÖGSBY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37811-2024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45544</v>
      </c>
      <c r="E127" s="1" t="n">
        <v>46294</v>
      </c>
      <c r="F127" t="inlineStr">
        <is>
          <t>KALMAR LÄN</t>
        </is>
      </c>
      <c r="G127" t="inlineStr">
        <is>
          <t>HÖGSBY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46294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45729</v>
      </c>
      <c r="E129" s="1" t="n">
        <v>46294</v>
      </c>
      <c r="F129" t="inlineStr">
        <is>
          <t>KALMAR LÄN</t>
        </is>
      </c>
      <c r="G129" t="inlineStr">
        <is>
          <t>HÖGSBY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46294</v>
      </c>
      <c r="F130" t="inlineStr">
        <is>
          <t>KALMAR LÄN</t>
        </is>
      </c>
      <c r="G130" t="inlineStr">
        <is>
          <t>HÖGSBY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46294</v>
      </c>
      <c r="F131" t="inlineStr">
        <is>
          <t>KALMAR LÄN</t>
        </is>
      </c>
      <c r="G131" t="inlineStr">
        <is>
          <t>HÖGSBY</t>
        </is>
      </c>
      <c r="H131" t="inlineStr">
        <is>
          <t>Övriga Aktiebolag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46294</v>
      </c>
      <c r="F132" t="inlineStr">
        <is>
          <t>KALMAR LÄN</t>
        </is>
      </c>
      <c r="G132" t="inlineStr">
        <is>
          <t>HÖGSBY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57000-2024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45626</v>
      </c>
      <c r="E133" s="1" t="n">
        <v>46294</v>
      </c>
      <c r="F133" t="inlineStr">
        <is>
          <t>KALMAR LÄN</t>
        </is>
      </c>
      <c r="G133" t="inlineStr">
        <is>
          <t>HÖGSBY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46294</v>
      </c>
      <c r="F134" t="inlineStr">
        <is>
          <t>KALMAR LÄN</t>
        </is>
      </c>
      <c r="G134" t="inlineStr">
        <is>
          <t>HÖGSBY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46294</v>
      </c>
      <c r="F135" t="inlineStr">
        <is>
          <t>KALMAR LÄN</t>
        </is>
      </c>
      <c r="G135" t="inlineStr">
        <is>
          <t>HÖGSBY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46294</v>
      </c>
      <c r="F136" t="inlineStr">
        <is>
          <t>KALMAR LÄN</t>
        </is>
      </c>
      <c r="G136" t="inlineStr">
        <is>
          <t>HÖGSBY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46294</v>
      </c>
      <c r="F137" t="inlineStr">
        <is>
          <t>KALMAR LÄN</t>
        </is>
      </c>
      <c r="G137" t="inlineStr">
        <is>
          <t>HÖGSBY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46294</v>
      </c>
      <c r="F138" t="inlineStr">
        <is>
          <t>KALMAR LÄN</t>
        </is>
      </c>
      <c r="G138" t="inlineStr">
        <is>
          <t>HÖGSBY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46294</v>
      </c>
      <c r="F139" t="inlineStr">
        <is>
          <t>KALMAR LÄN</t>
        </is>
      </c>
      <c r="G139" t="inlineStr">
        <is>
          <t>HÖGSBY</t>
        </is>
      </c>
      <c r="H139" t="inlineStr">
        <is>
          <t>Kommuner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46294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46294</v>
      </c>
      <c r="F141" t="inlineStr">
        <is>
          <t>KALMAR LÄN</t>
        </is>
      </c>
      <c r="G141" t="inlineStr">
        <is>
          <t>HÖGSBY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46294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46294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46294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46294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46294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46294</v>
      </c>
      <c r="F147" t="inlineStr">
        <is>
          <t>KALMAR LÄN</t>
        </is>
      </c>
      <c r="G147" t="inlineStr">
        <is>
          <t>HÖGSBY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46294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46294</v>
      </c>
      <c r="F149" t="inlineStr">
        <is>
          <t>KALMAR LÄN</t>
        </is>
      </c>
      <c r="G149" t="inlineStr">
        <is>
          <t>HÖGSBY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46294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46294</v>
      </c>
      <c r="F151" t="inlineStr">
        <is>
          <t>KALMAR LÄN</t>
        </is>
      </c>
      <c r="G151" t="inlineStr">
        <is>
          <t>HÖGSBY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46294</v>
      </c>
      <c r="F152" t="inlineStr">
        <is>
          <t>KALMAR LÄN</t>
        </is>
      </c>
      <c r="G152" t="inlineStr">
        <is>
          <t>HÖGSBY</t>
        </is>
      </c>
      <c r="I152" t="n">
        <v>12.8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46294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46294</v>
      </c>
      <c r="F154" t="inlineStr">
        <is>
          <t>KALMAR LÄN</t>
        </is>
      </c>
      <c r="G154" t="inlineStr">
        <is>
          <t>HÖGSBY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46294</v>
      </c>
      <c r="F155" t="inlineStr">
        <is>
          <t>KALMAR LÄN</t>
        </is>
      </c>
      <c r="G155" t="inlineStr">
        <is>
          <t>HÖGSBY</t>
        </is>
      </c>
      <c r="H155" t="inlineStr">
        <is>
          <t>Kyrkan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46294</v>
      </c>
      <c r="F156" t="inlineStr">
        <is>
          <t>KALMAR LÄN</t>
        </is>
      </c>
      <c r="G156" t="inlineStr">
        <is>
          <t>HÖGSBY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46294</v>
      </c>
      <c r="F157" t="inlineStr">
        <is>
          <t>KALMAR LÄN</t>
        </is>
      </c>
      <c r="G157" t="inlineStr">
        <is>
          <t>HÖGSBY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46294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46294</v>
      </c>
      <c r="F159" t="inlineStr">
        <is>
          <t>KALMAR LÄN</t>
        </is>
      </c>
      <c r="G159" t="inlineStr">
        <is>
          <t>HÖGSBY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46294</v>
      </c>
      <c r="F160" t="inlineStr">
        <is>
          <t>KALMAR LÄN</t>
        </is>
      </c>
      <c r="G160" t="inlineStr">
        <is>
          <t>HÖGSBY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45532</v>
      </c>
      <c r="E161" s="1" t="n">
        <v>46294</v>
      </c>
      <c r="F161" t="inlineStr">
        <is>
          <t>KALMAR LÄN</t>
        </is>
      </c>
      <c r="G161" t="inlineStr">
        <is>
          <t>HÖGSBY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46294</v>
      </c>
      <c r="F162" t="inlineStr">
        <is>
          <t>KALMAR LÄN</t>
        </is>
      </c>
      <c r="G162" t="inlineStr">
        <is>
          <t>HÖGSBY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38068-2025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45882</v>
      </c>
      <c r="E163" s="1" t="n">
        <v>46294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46294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46294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46294</v>
      </c>
      <c r="F166" t="inlineStr">
        <is>
          <t>KALMAR LÄN</t>
        </is>
      </c>
      <c r="G166" t="inlineStr">
        <is>
          <t>HÖGSBY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46294</v>
      </c>
      <c r="F167" t="inlineStr">
        <is>
          <t>KALMAR LÄN</t>
        </is>
      </c>
      <c r="G167" t="inlineStr">
        <is>
          <t>HÖGSBY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46294</v>
      </c>
      <c r="F168" t="inlineStr">
        <is>
          <t>KALMAR LÄN</t>
        </is>
      </c>
      <c r="G168" t="inlineStr">
        <is>
          <t>HÖGSBY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46294</v>
      </c>
      <c r="F169" t="inlineStr">
        <is>
          <t>KALMAR LÄN</t>
        </is>
      </c>
      <c r="G169" t="inlineStr">
        <is>
          <t>HÖGSBY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46294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46294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45001</v>
      </c>
      <c r="E172" s="1" t="n">
        <v>46294</v>
      </c>
      <c r="F172" t="inlineStr">
        <is>
          <t>KALMAR LÄN</t>
        </is>
      </c>
      <c r="G172" t="inlineStr">
        <is>
          <t>HÖGSBY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46294</v>
      </c>
      <c r="F173" t="inlineStr">
        <is>
          <t>KALMAR LÄN</t>
        </is>
      </c>
      <c r="G173" t="inlineStr">
        <is>
          <t>HÖGSBY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32049-2023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45119</v>
      </c>
      <c r="E174" s="1" t="n">
        <v>46294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46294</v>
      </c>
      <c r="F175" t="inlineStr">
        <is>
          <t>KALMAR LÄN</t>
        </is>
      </c>
      <c r="G175" t="inlineStr">
        <is>
          <t>HÖGSBY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45547</v>
      </c>
      <c r="E176" s="1" t="n">
        <v>46294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46294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46294</v>
      </c>
      <c r="F178" t="inlineStr">
        <is>
          <t>KALMAR LÄN</t>
        </is>
      </c>
      <c r="G178" t="inlineStr">
        <is>
          <t>HÖGSBY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28648-2023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45103</v>
      </c>
      <c r="E179" s="1" t="n">
        <v>46294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46294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46294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46294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46294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18.4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46294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46294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7443-2026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46059</v>
      </c>
      <c r="E186" s="1" t="n">
        <v>46294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46294</v>
      </c>
      <c r="F187" t="inlineStr">
        <is>
          <t>KALMAR LÄN</t>
        </is>
      </c>
      <c r="G187" t="inlineStr">
        <is>
          <t>HÖGSBY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46294</v>
      </c>
      <c r="F188" t="inlineStr">
        <is>
          <t>KALMAR LÄN</t>
        </is>
      </c>
      <c r="G188" t="inlineStr">
        <is>
          <t>HÖGSBY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46294</v>
      </c>
      <c r="F189" t="inlineStr">
        <is>
          <t>KALMAR LÄN</t>
        </is>
      </c>
      <c r="G189" t="inlineStr">
        <is>
          <t>HÖGSBY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46294</v>
      </c>
      <c r="F190" t="inlineStr">
        <is>
          <t>KALMAR LÄN</t>
        </is>
      </c>
      <c r="G190" t="inlineStr">
        <is>
          <t>HÖGSBY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46294</v>
      </c>
      <c r="F191" t="inlineStr">
        <is>
          <t>KALMAR LÄN</t>
        </is>
      </c>
      <c r="G191" t="inlineStr">
        <is>
          <t>HÖGSBY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46294</v>
      </c>
      <c r="F192" t="inlineStr">
        <is>
          <t>KALMAR LÄN</t>
        </is>
      </c>
      <c r="G192" t="inlineStr">
        <is>
          <t>HÖGSBY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46294</v>
      </c>
      <c r="F193" t="inlineStr">
        <is>
          <t>KALMAR LÄN</t>
        </is>
      </c>
      <c r="G193" t="inlineStr">
        <is>
          <t>HÖGSBY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46294</v>
      </c>
      <c r="F194" t="inlineStr">
        <is>
          <t>KALMAR LÄN</t>
        </is>
      </c>
      <c r="G194" t="inlineStr">
        <is>
          <t>HÖGSBY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46294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46294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44586</v>
      </c>
      <c r="E197" s="1" t="n">
        <v>46294</v>
      </c>
      <c r="F197" t="inlineStr">
        <is>
          <t>KALMAR LÄN</t>
        </is>
      </c>
      <c r="G197" t="inlineStr">
        <is>
          <t>HÖGSBY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44991</v>
      </c>
      <c r="E198" s="1" t="n">
        <v>46294</v>
      </c>
      <c r="F198" t="inlineStr">
        <is>
          <t>KALMAR LÄN</t>
        </is>
      </c>
      <c r="G198" t="inlineStr">
        <is>
          <t>HÖGSBY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46294</v>
      </c>
      <c r="F199" t="inlineStr">
        <is>
          <t>KALMAR LÄN</t>
        </is>
      </c>
      <c r="G199" t="inlineStr">
        <is>
          <t>HÖGSBY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46294</v>
      </c>
      <c r="F200" t="inlineStr">
        <is>
          <t>KALMAR LÄN</t>
        </is>
      </c>
      <c r="G200" t="inlineStr">
        <is>
          <t>HÖGSBY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71635-2021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46294</v>
      </c>
      <c r="F201" t="inlineStr">
        <is>
          <t>KALMAR LÄN</t>
        </is>
      </c>
      <c r="G201" t="inlineStr">
        <is>
          <t>HÖGSBY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46294</v>
      </c>
      <c r="F202" t="inlineStr">
        <is>
          <t>KALMAR LÄN</t>
        </is>
      </c>
      <c r="G202" t="inlineStr">
        <is>
          <t>HÖGSBY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14894-2025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45743</v>
      </c>
      <c r="E203" s="1" t="n">
        <v>46294</v>
      </c>
      <c r="F203" t="inlineStr">
        <is>
          <t>KALMAR LÄN</t>
        </is>
      </c>
      <c r="G203" t="inlineStr">
        <is>
          <t>HÖGSBY</t>
        </is>
      </c>
      <c r="H203" t="inlineStr">
        <is>
          <t>Kommuner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46294</v>
      </c>
      <c r="F204" t="inlineStr">
        <is>
          <t>KALMAR LÄN</t>
        </is>
      </c>
      <c r="G204" t="inlineStr">
        <is>
          <t>HÖGSBY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46107</v>
      </c>
      <c r="E205" s="1" t="n">
        <v>46294</v>
      </c>
      <c r="F205" t="inlineStr">
        <is>
          <t>KALMAR LÄN</t>
        </is>
      </c>
      <c r="G205" t="inlineStr">
        <is>
          <t>HÖGSBY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46294</v>
      </c>
      <c r="F206" t="inlineStr">
        <is>
          <t>KALMAR LÄN</t>
        </is>
      </c>
      <c r="G206" t="inlineStr">
        <is>
          <t>HÖGSBY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46294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46294</v>
      </c>
      <c r="F208" t="inlineStr">
        <is>
          <t>KALMAR LÄN</t>
        </is>
      </c>
      <c r="G208" t="inlineStr">
        <is>
          <t>HÖGSBY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46294</v>
      </c>
      <c r="F209" t="inlineStr">
        <is>
          <t>KALMAR LÄN</t>
        </is>
      </c>
      <c r="G209" t="inlineStr">
        <is>
          <t>HÖGSBY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46294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45702</v>
      </c>
      <c r="E211" s="1" t="n">
        <v>46294</v>
      </c>
      <c r="F211" t="inlineStr">
        <is>
          <t>KALMAR LÄN</t>
        </is>
      </c>
      <c r="G211" t="inlineStr">
        <is>
          <t>HÖGSBY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46294</v>
      </c>
      <c r="F212" t="inlineStr">
        <is>
          <t>KALMAR LÄN</t>
        </is>
      </c>
      <c r="G212" t="inlineStr">
        <is>
          <t>HÖGSBY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46294</v>
      </c>
      <c r="F213" t="inlineStr">
        <is>
          <t>KALMAR LÄN</t>
        </is>
      </c>
      <c r="G213" t="inlineStr">
        <is>
          <t>HÖGSBY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46294</v>
      </c>
      <c r="F214" t="inlineStr">
        <is>
          <t>KALMAR LÄN</t>
        </is>
      </c>
      <c r="G214" t="inlineStr">
        <is>
          <t>HÖGSBY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46294</v>
      </c>
      <c r="F215" t="inlineStr">
        <is>
          <t>KALMAR LÄN</t>
        </is>
      </c>
      <c r="G215" t="inlineStr">
        <is>
          <t>HÖGSBY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46294</v>
      </c>
      <c r="F216" t="inlineStr">
        <is>
          <t>KALMAR LÄN</t>
        </is>
      </c>
      <c r="G216" t="inlineStr">
        <is>
          <t>HÖGSBY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46294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46134</v>
      </c>
      <c r="E218" s="1" t="n">
        <v>46294</v>
      </c>
      <c r="F218" t="inlineStr">
        <is>
          <t>KALMAR LÄN</t>
        </is>
      </c>
      <c r="G218" t="inlineStr">
        <is>
          <t>HÖGSBY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46294</v>
      </c>
      <c r="F219" t="inlineStr">
        <is>
          <t>KALMAR LÄN</t>
        </is>
      </c>
      <c r="G219" t="inlineStr">
        <is>
          <t>HÖGSBY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46294</v>
      </c>
      <c r="F220" t="inlineStr">
        <is>
          <t>KALMAR LÄN</t>
        </is>
      </c>
      <c r="G220" t="inlineStr">
        <is>
          <t>HÖGSBY</t>
        </is>
      </c>
      <c r="H220" t="inlineStr">
        <is>
          <t>Kommuner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46294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45754</v>
      </c>
      <c r="E222" s="1" t="n">
        <v>46294</v>
      </c>
      <c r="F222" t="inlineStr">
        <is>
          <t>KALMAR LÄN</t>
        </is>
      </c>
      <c r="G222" t="inlineStr">
        <is>
          <t>HÖGSBY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14273-2024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46294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46294</v>
      </c>
      <c r="F224" t="inlineStr">
        <is>
          <t>KALMAR LÄN</t>
        </is>
      </c>
      <c r="G224" t="inlineStr">
        <is>
          <t>HÖGSBY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46294</v>
      </c>
      <c r="F225" t="inlineStr">
        <is>
          <t>KALMAR LÄN</t>
        </is>
      </c>
      <c r="G225" t="inlineStr">
        <is>
          <t>HÖGSBY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46294</v>
      </c>
      <c r="F226" t="inlineStr">
        <is>
          <t>KALMAR LÄN</t>
        </is>
      </c>
      <c r="G226" t="inlineStr">
        <is>
          <t>HÖGSBY</t>
        </is>
      </c>
      <c r="H226" t="inlineStr">
        <is>
          <t>Övriga Aktiebolag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46294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46294</v>
      </c>
      <c r="F228" t="inlineStr">
        <is>
          <t>KALMAR LÄN</t>
        </is>
      </c>
      <c r="G228" t="inlineStr">
        <is>
          <t>HÖGSBY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46294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46294</v>
      </c>
      <c r="F230" t="inlineStr">
        <is>
          <t>KALMAR LÄN</t>
        </is>
      </c>
      <c r="G230" t="inlineStr">
        <is>
          <t>HÖGSBY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46294</v>
      </c>
      <c r="F231" t="inlineStr">
        <is>
          <t>KALMAR LÄN</t>
        </is>
      </c>
      <c r="G231" t="inlineStr">
        <is>
          <t>HÖGSBY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46294</v>
      </c>
      <c r="F232" t="inlineStr">
        <is>
          <t>KALMAR LÄN</t>
        </is>
      </c>
      <c r="G232" t="inlineStr">
        <is>
          <t>HÖGSBY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45793</v>
      </c>
      <c r="E233" s="1" t="n">
        <v>46294</v>
      </c>
      <c r="F233" t="inlineStr">
        <is>
          <t>KALMAR LÄN</t>
        </is>
      </c>
      <c r="G233" t="inlineStr">
        <is>
          <t>HÖGSBY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46294</v>
      </c>
      <c r="F234" t="inlineStr">
        <is>
          <t>KALMAR LÄN</t>
        </is>
      </c>
      <c r="G234" t="inlineStr">
        <is>
          <t>HÖGSBY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46294</v>
      </c>
      <c r="F235" t="inlineStr">
        <is>
          <t>KALMAR LÄN</t>
        </is>
      </c>
      <c r="G235" t="inlineStr">
        <is>
          <t>HÖGSBY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46294</v>
      </c>
      <c r="F236" t="inlineStr">
        <is>
          <t>KALMAR LÄN</t>
        </is>
      </c>
      <c r="G236" t="inlineStr">
        <is>
          <t>HÖGSBY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46294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46294</v>
      </c>
      <c r="F238" t="inlineStr">
        <is>
          <t>KALMAR LÄN</t>
        </is>
      </c>
      <c r="G238" t="inlineStr">
        <is>
          <t>HÖGSBY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44809</v>
      </c>
      <c r="E239" s="1" t="n">
        <v>46294</v>
      </c>
      <c r="F239" t="inlineStr">
        <is>
          <t>KALMAR LÄN</t>
        </is>
      </c>
      <c r="G239" t="inlineStr">
        <is>
          <t>HÖGSBY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46294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46294</v>
      </c>
      <c r="F241" t="inlineStr">
        <is>
          <t>KALMAR LÄN</t>
        </is>
      </c>
      <c r="G241" t="inlineStr">
        <is>
          <t>HÖGSBY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46294</v>
      </c>
      <c r="F242" t="inlineStr">
        <is>
          <t>KALMAR LÄN</t>
        </is>
      </c>
      <c r="G242" t="inlineStr">
        <is>
          <t>HÖGSBY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46294</v>
      </c>
      <c r="F243" t="inlineStr">
        <is>
          <t>KALMAR LÄN</t>
        </is>
      </c>
      <c r="G243" t="inlineStr">
        <is>
          <t>HÖGSBY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46294</v>
      </c>
      <c r="F244" t="inlineStr">
        <is>
          <t>KALMAR LÄN</t>
        </is>
      </c>
      <c r="G244" t="inlineStr">
        <is>
          <t>HÖGSBY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46294</v>
      </c>
      <c r="F245" t="inlineStr">
        <is>
          <t>KALMAR LÄN</t>
        </is>
      </c>
      <c r="G245" t="inlineStr">
        <is>
          <t>HÖGSBY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46294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46294</v>
      </c>
      <c r="F247" t="inlineStr">
        <is>
          <t>KALMAR LÄN</t>
        </is>
      </c>
      <c r="G247" t="inlineStr">
        <is>
          <t>HÖGSBY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46294</v>
      </c>
      <c r="F248" t="inlineStr">
        <is>
          <t>KALMAR LÄN</t>
        </is>
      </c>
      <c r="G248" t="inlineStr">
        <is>
          <t>HÖGSBY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46294</v>
      </c>
      <c r="F249" t="inlineStr">
        <is>
          <t>KALMAR LÄN</t>
        </is>
      </c>
      <c r="G249" t="inlineStr">
        <is>
          <t>HÖGSBY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46294</v>
      </c>
      <c r="F250" t="inlineStr">
        <is>
          <t>KALMAR LÄN</t>
        </is>
      </c>
      <c r="G250" t="inlineStr">
        <is>
          <t>HÖGSBY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46294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45320</v>
      </c>
      <c r="E252" s="1" t="n">
        <v>46294</v>
      </c>
      <c r="F252" t="inlineStr">
        <is>
          <t>KALMAR LÄN</t>
        </is>
      </c>
      <c r="G252" t="inlineStr">
        <is>
          <t>HÖGSBY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46294</v>
      </c>
      <c r="F253" t="inlineStr">
        <is>
          <t>KALMAR LÄN</t>
        </is>
      </c>
      <c r="G253" t="inlineStr">
        <is>
          <t>HÖGSBY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46294</v>
      </c>
      <c r="F254" t="inlineStr">
        <is>
          <t>KALMAR LÄN</t>
        </is>
      </c>
      <c r="G254" t="inlineStr">
        <is>
          <t>HÖGSBY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57006-2024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45626</v>
      </c>
      <c r="E255" s="1" t="n">
        <v>46294</v>
      </c>
      <c r="F255" t="inlineStr">
        <is>
          <t>KALMAR LÄN</t>
        </is>
      </c>
      <c r="G255" t="inlineStr">
        <is>
          <t>HÖGSBY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46294</v>
      </c>
      <c r="F256" t="inlineStr">
        <is>
          <t>KALMAR LÄN</t>
        </is>
      </c>
      <c r="G256" t="inlineStr">
        <is>
          <t>HÖGSBY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60853-2021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46294</v>
      </c>
      <c r="F257" t="inlineStr">
        <is>
          <t>KALMAR LÄN</t>
        </is>
      </c>
      <c r="G257" t="inlineStr">
        <is>
          <t>HÖGSBY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53129-2022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44876</v>
      </c>
      <c r="E258" s="1" t="n">
        <v>46294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63379-2023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45274</v>
      </c>
      <c r="E259" s="1" t="n">
        <v>46294</v>
      </c>
      <c r="F259" t="inlineStr">
        <is>
          <t>KALMAR LÄN</t>
        </is>
      </c>
      <c r="G259" t="inlineStr">
        <is>
          <t>HÖGSBY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54238-2021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44470</v>
      </c>
      <c r="E260" s="1" t="n">
        <v>46294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46294</v>
      </c>
      <c r="F261" t="inlineStr">
        <is>
          <t>KALMAR LÄN</t>
        </is>
      </c>
      <c r="G261" t="inlineStr">
        <is>
          <t>HÖGSBY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45190</v>
      </c>
      <c r="E262" s="1" t="n">
        <v>46294</v>
      </c>
      <c r="F262" t="inlineStr">
        <is>
          <t>KALMAR LÄN</t>
        </is>
      </c>
      <c r="G262" t="inlineStr">
        <is>
          <t>HÖGSBY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46294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46155</v>
      </c>
      <c r="E264" s="1" t="n">
        <v>46294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46294</v>
      </c>
      <c r="F265" t="inlineStr">
        <is>
          <t>KALMAR LÄN</t>
        </is>
      </c>
      <c r="G265" t="inlineStr">
        <is>
          <t>HÖGSBY</t>
        </is>
      </c>
      <c r="H265" t="inlineStr">
        <is>
          <t>Kyrkan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45391</v>
      </c>
      <c r="E266" s="1" t="n">
        <v>46294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46294</v>
      </c>
      <c r="F267" t="inlineStr">
        <is>
          <t>KALMAR LÄN</t>
        </is>
      </c>
      <c r="G267" t="inlineStr">
        <is>
          <t>HÖGSBY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46294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46162</v>
      </c>
      <c r="E269" s="1" t="n">
        <v>46294</v>
      </c>
      <c r="F269" t="inlineStr">
        <is>
          <t>KALMAR LÄN</t>
        </is>
      </c>
      <c r="G269" t="inlineStr">
        <is>
          <t>HÖGSBY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46167</v>
      </c>
      <c r="E270" s="1" t="n">
        <v>46294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46294</v>
      </c>
      <c r="F271" t="inlineStr">
        <is>
          <t>KALMAR LÄN</t>
        </is>
      </c>
      <c r="G271" t="inlineStr">
        <is>
          <t>HÖGSBY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46294</v>
      </c>
      <c r="F272" t="inlineStr">
        <is>
          <t>KALMAR LÄN</t>
        </is>
      </c>
      <c r="G272" t="inlineStr">
        <is>
          <t>HÖGSBY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8613-2022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44613</v>
      </c>
      <c r="E273" s="1" t="n">
        <v>46294</v>
      </c>
      <c r="F273" t="inlineStr">
        <is>
          <t>KALMAR LÄN</t>
        </is>
      </c>
      <c r="G273" t="inlineStr">
        <is>
          <t>HÖGSBY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45469</v>
      </c>
      <c r="E274" s="1" t="n">
        <v>46294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46294</v>
      </c>
      <c r="F275" t="inlineStr">
        <is>
          <t>KALMAR LÄN</t>
        </is>
      </c>
      <c r="G275" t="inlineStr">
        <is>
          <t>HÖGSBY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46294</v>
      </c>
      <c r="F276" t="inlineStr">
        <is>
          <t>KALMAR LÄN</t>
        </is>
      </c>
      <c r="G276" t="inlineStr">
        <is>
          <t>HÖGSBY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45650-2023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46294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45348</v>
      </c>
      <c r="E278" s="1" t="n">
        <v>46294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24601-2024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45460</v>
      </c>
      <c r="E279" s="1" t="n">
        <v>46294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14.7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46294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46294</v>
      </c>
      <c r="F281" t="inlineStr">
        <is>
          <t>KALMAR LÄN</t>
        </is>
      </c>
      <c r="G281" t="inlineStr">
        <is>
          <t>HÖGSBY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46294</v>
      </c>
      <c r="F282" t="inlineStr">
        <is>
          <t>KALMAR LÄN</t>
        </is>
      </c>
      <c r="G282" t="inlineStr">
        <is>
          <t>HÖGSBY</t>
        </is>
      </c>
      <c r="H282" t="inlineStr">
        <is>
          <t>Kommuner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46294</v>
      </c>
      <c r="F283" t="inlineStr">
        <is>
          <t>KALMAR LÄN</t>
        </is>
      </c>
      <c r="G283" t="inlineStr">
        <is>
          <t>HÖGSBY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46294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59409-2022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46294</v>
      </c>
      <c r="F285" t="inlineStr">
        <is>
          <t>KALMAR LÄN</t>
        </is>
      </c>
      <c r="G285" t="inlineStr">
        <is>
          <t>HÖGSBY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46294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45447</v>
      </c>
      <c r="E287" s="1" t="n">
        <v>46294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46294</v>
      </c>
      <c r="F288" t="inlineStr">
        <is>
          <t>KALMAR LÄN</t>
        </is>
      </c>
      <c r="G288" t="inlineStr">
        <is>
          <t>HÖGSBY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46294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46294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46294</v>
      </c>
      <c r="F291" t="inlineStr">
        <is>
          <t>KALMAR LÄN</t>
        </is>
      </c>
      <c r="G291" t="inlineStr">
        <is>
          <t>HÖGSBY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46294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46294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46294</v>
      </c>
      <c r="F294" t="inlineStr">
        <is>
          <t>KALMAR LÄN</t>
        </is>
      </c>
      <c r="G294" t="inlineStr">
        <is>
          <t>HÖGSBY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46294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46294</v>
      </c>
      <c r="F296" t="inlineStr">
        <is>
          <t>KALMAR LÄN</t>
        </is>
      </c>
      <c r="G296" t="inlineStr">
        <is>
          <t>HÖGSBY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46294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46294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46294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46294</v>
      </c>
      <c r="F300" t="inlineStr">
        <is>
          <t>KALMAR LÄN</t>
        </is>
      </c>
      <c r="G300" t="inlineStr">
        <is>
          <t>HÖGSBY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46294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46294</v>
      </c>
      <c r="F302" t="inlineStr">
        <is>
          <t>KALMAR LÄN</t>
        </is>
      </c>
      <c r="G302" t="inlineStr">
        <is>
          <t>HÖGSBY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46294</v>
      </c>
      <c r="F303" t="inlineStr">
        <is>
          <t>KALMAR LÄN</t>
        </is>
      </c>
      <c r="G303" t="inlineStr">
        <is>
          <t>HÖGSBY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46294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46294</v>
      </c>
      <c r="F305" t="inlineStr">
        <is>
          <t>KALMAR LÄN</t>
        </is>
      </c>
      <c r="G305" t="inlineStr">
        <is>
          <t>HÖGSBY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46185</v>
      </c>
      <c r="E306" s="1" t="n">
        <v>46294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46294</v>
      </c>
      <c r="F307" t="inlineStr">
        <is>
          <t>KALMAR LÄN</t>
        </is>
      </c>
      <c r="G307" t="inlineStr">
        <is>
          <t>HÖGSBY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44866</v>
      </c>
      <c r="E308" s="1" t="n">
        <v>46294</v>
      </c>
      <c r="F308" t="inlineStr">
        <is>
          <t>KALMAR LÄN</t>
        </is>
      </c>
      <c r="G308" t="inlineStr">
        <is>
          <t>HÖGSBY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46294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46294</v>
      </c>
      <c r="F310" t="inlineStr">
        <is>
          <t>KALMAR LÄN</t>
        </is>
      </c>
      <c r="G310" t="inlineStr">
        <is>
          <t>HÖGSBY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46294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46294</v>
      </c>
      <c r="F312" t="inlineStr">
        <is>
          <t>KALMAR LÄN</t>
        </is>
      </c>
      <c r="G312" t="inlineStr">
        <is>
          <t>HÖGSBY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44496</v>
      </c>
      <c r="E313" s="1" t="n">
        <v>46294</v>
      </c>
      <c r="F313" t="inlineStr">
        <is>
          <t>KALMAR LÄN</t>
        </is>
      </c>
      <c r="G313" t="inlineStr">
        <is>
          <t>HÖGSBY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46195</v>
      </c>
      <c r="E314" s="1" t="n">
        <v>46294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46294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28702-2026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46294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28692-2026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46294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28691-2026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46294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28697-2026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46198</v>
      </c>
      <c r="E319" s="1" t="n">
        <v>46294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46294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28574-2026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46197</v>
      </c>
      <c r="E321" s="1" t="n">
        <v>46294</v>
      </c>
      <c r="F321" t="inlineStr">
        <is>
          <t>KALMAR LÄN</t>
        </is>
      </c>
      <c r="G321" t="inlineStr">
        <is>
          <t>HÖGSBY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28713-2026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46294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46294</v>
      </c>
      <c r="F323" t="inlineStr">
        <is>
          <t>KALMAR LÄN</t>
        </is>
      </c>
      <c r="G323" t="inlineStr">
        <is>
          <t>HÖGSBY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46294</v>
      </c>
      <c r="F324" t="inlineStr">
        <is>
          <t>KALMAR LÄN</t>
        </is>
      </c>
      <c r="G324" t="inlineStr">
        <is>
          <t>HÖGSBY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46294</v>
      </c>
      <c r="F325" t="inlineStr">
        <is>
          <t>KALMAR LÄN</t>
        </is>
      </c>
      <c r="G325" t="inlineStr">
        <is>
          <t>HÖGSBY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46294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46294</v>
      </c>
      <c r="F327" t="inlineStr">
        <is>
          <t>KALMAR LÄN</t>
        </is>
      </c>
      <c r="G327" t="inlineStr">
        <is>
          <t>HÖGSBY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46294</v>
      </c>
      <c r="F328" t="inlineStr">
        <is>
          <t>KALMAR LÄN</t>
        </is>
      </c>
      <c r="G328" t="inlineStr">
        <is>
          <t>HÖGSBY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30294-2022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44760</v>
      </c>
      <c r="E329" s="1" t="n">
        <v>46294</v>
      </c>
      <c r="F329" t="inlineStr">
        <is>
          <t>KALMAR LÄN</t>
        </is>
      </c>
      <c r="G329" t="inlineStr">
        <is>
          <t>HÖGSBY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46294</v>
      </c>
      <c r="F330" t="inlineStr">
        <is>
          <t>KALMAR LÄN</t>
        </is>
      </c>
      <c r="G330" t="inlineStr">
        <is>
          <t>HÖGSBY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44879</v>
      </c>
      <c r="E331" s="1" t="n">
        <v>46294</v>
      </c>
      <c r="F331" t="inlineStr">
        <is>
          <t>KALMAR LÄN</t>
        </is>
      </c>
      <c r="G331" t="inlineStr">
        <is>
          <t>HÖGSBY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46294</v>
      </c>
      <c r="F332" t="inlineStr">
        <is>
          <t>KALMAR LÄN</t>
        </is>
      </c>
      <c r="G332" t="inlineStr">
        <is>
          <t>HÖGSBY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46294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46294</v>
      </c>
      <c r="F334" t="inlineStr">
        <is>
          <t>KALMAR LÄN</t>
        </is>
      </c>
      <c r="G334" t="inlineStr">
        <is>
          <t>HÖGSBY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46294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62562-2022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44924</v>
      </c>
      <c r="E336" s="1" t="n">
        <v>46294</v>
      </c>
      <c r="F336" t="inlineStr">
        <is>
          <t>KALMAR LÄN</t>
        </is>
      </c>
      <c r="G336" t="inlineStr">
        <is>
          <t>HÖGSBY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46294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46294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46294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46294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46294</v>
      </c>
      <c r="F341" t="inlineStr">
        <is>
          <t>KALMAR LÄN</t>
        </is>
      </c>
      <c r="G341" t="inlineStr">
        <is>
          <t>HÖGSBY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46294</v>
      </c>
      <c r="F342" t="inlineStr">
        <is>
          <t>KALMAR LÄN</t>
        </is>
      </c>
      <c r="G342" t="inlineStr">
        <is>
          <t>HÖGSBY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12396-2023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46294</v>
      </c>
      <c r="F343" t="inlineStr">
        <is>
          <t>KALMAR LÄN</t>
        </is>
      </c>
      <c r="G343" t="inlineStr">
        <is>
          <t>HÖGSBY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46294</v>
      </c>
      <c r="F344" t="inlineStr">
        <is>
          <t>KALMAR LÄN</t>
        </is>
      </c>
      <c r="G344" t="inlineStr">
        <is>
          <t>HÖGSBY</t>
        </is>
      </c>
      <c r="H344" t="inlineStr">
        <is>
          <t>Övriga Aktiebolag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46294</v>
      </c>
      <c r="F345" t="inlineStr">
        <is>
          <t>KALMAR LÄN</t>
        </is>
      </c>
      <c r="G345" t="inlineStr">
        <is>
          <t>HÖGSBY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46294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46294</v>
      </c>
      <c r="F347" t="inlineStr">
        <is>
          <t>KALMAR LÄN</t>
        </is>
      </c>
      <c r="G347" t="inlineStr">
        <is>
          <t>HÖGSBY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65130-2023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45288</v>
      </c>
      <c r="E348" s="1" t="n">
        <v>46294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46294</v>
      </c>
      <c r="F349" t="inlineStr">
        <is>
          <t>KALMAR LÄN</t>
        </is>
      </c>
      <c r="G349" t="inlineStr">
        <is>
          <t>HÖGSBY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46294</v>
      </c>
      <c r="F350" t="inlineStr">
        <is>
          <t>KALMAR LÄN</t>
        </is>
      </c>
      <c r="G350" t="inlineStr">
        <is>
          <t>HÖGSBY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46294</v>
      </c>
      <c r="F351" t="inlineStr">
        <is>
          <t>KALMAR LÄN</t>
        </is>
      </c>
      <c r="G351" t="inlineStr">
        <is>
          <t>HÖGSBY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46294</v>
      </c>
      <c r="F352" t="inlineStr">
        <is>
          <t>KALMAR LÄN</t>
        </is>
      </c>
      <c r="G352" t="inlineStr">
        <is>
          <t>HÖGSBY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46294</v>
      </c>
      <c r="F353" t="inlineStr">
        <is>
          <t>KALMAR LÄN</t>
        </is>
      </c>
      <c r="G353" t="inlineStr">
        <is>
          <t>HÖGSBY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46294</v>
      </c>
      <c r="F354" t="inlineStr">
        <is>
          <t>KALMAR LÄN</t>
        </is>
      </c>
      <c r="G354" t="inlineStr">
        <is>
          <t>HÖGSBY</t>
        </is>
      </c>
      <c r="I354" t="n">
        <v>9.6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46294</v>
      </c>
      <c r="F355" t="inlineStr">
        <is>
          <t>KALMAR LÄN</t>
        </is>
      </c>
      <c r="G355" t="inlineStr">
        <is>
          <t>HÖGSBY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46294</v>
      </c>
      <c r="F356" t="inlineStr">
        <is>
          <t>KALMAR LÄN</t>
        </is>
      </c>
      <c r="G356" t="inlineStr">
        <is>
          <t>HÖGSBY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46294</v>
      </c>
      <c r="F357" t="inlineStr">
        <is>
          <t>KALMAR LÄN</t>
        </is>
      </c>
      <c r="G357" t="inlineStr">
        <is>
          <t>HÖGSBY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46294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46294</v>
      </c>
      <c r="F359" t="inlineStr">
        <is>
          <t>KALMAR LÄN</t>
        </is>
      </c>
      <c r="G359" t="inlineStr">
        <is>
          <t>HÖGSBY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44907</v>
      </c>
      <c r="E360" s="1" t="n">
        <v>46294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46294</v>
      </c>
      <c r="F361" t="inlineStr">
        <is>
          <t>KALMAR LÄN</t>
        </is>
      </c>
      <c r="G361" t="inlineStr">
        <is>
          <t>HÖGSBY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46294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46294</v>
      </c>
      <c r="F363" t="inlineStr">
        <is>
          <t>KALMAR LÄN</t>
        </is>
      </c>
      <c r="G363" t="inlineStr">
        <is>
          <t>HÖGSBY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46269</v>
      </c>
      <c r="E364" s="1" t="n">
        <v>46294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24.4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46294</v>
      </c>
      <c r="F365" t="inlineStr">
        <is>
          <t>KALMAR LÄN</t>
        </is>
      </c>
      <c r="G365" t="inlineStr">
        <is>
          <t>HÖGSBY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46294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46294</v>
      </c>
      <c r="F367" t="inlineStr">
        <is>
          <t>KALMAR LÄN</t>
        </is>
      </c>
      <c r="G367" t="inlineStr">
        <is>
          <t>HÖGSBY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46294</v>
      </c>
      <c r="F368" t="inlineStr">
        <is>
          <t>KALMAR LÄN</t>
        </is>
      </c>
      <c r="G368" t="inlineStr">
        <is>
          <t>HÖGSBY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46294</v>
      </c>
      <c r="F369" t="inlineStr">
        <is>
          <t>KALMAR LÄN</t>
        </is>
      </c>
      <c r="G369" t="inlineStr">
        <is>
          <t>HÖGSBY</t>
        </is>
      </c>
      <c r="H369" t="inlineStr">
        <is>
          <t>Övriga Aktiebolag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46294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46294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44939</v>
      </c>
      <c r="E372" s="1" t="n">
        <v>46294</v>
      </c>
      <c r="F372" t="inlineStr">
        <is>
          <t>KALMAR LÄN</t>
        </is>
      </c>
      <c r="G372" t="inlineStr">
        <is>
          <t>HÖGSBY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46294</v>
      </c>
      <c r="F373" t="inlineStr">
        <is>
          <t>KALMAR LÄN</t>
        </is>
      </c>
      <c r="G373" t="inlineStr">
        <is>
          <t>HÖGSBY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46274</v>
      </c>
      <c r="E374" s="1" t="n">
        <v>46294</v>
      </c>
      <c r="F374" t="inlineStr">
        <is>
          <t>KALMAR LÄN</t>
        </is>
      </c>
      <c r="G374" t="inlineStr">
        <is>
          <t>HÖGSBY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46275</v>
      </c>
      <c r="E375" s="1" t="n">
        <v>46294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46329-2024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45581</v>
      </c>
      <c r="E376" s="1" t="n">
        <v>46294</v>
      </c>
      <c r="F376" t="inlineStr">
        <is>
          <t>KALMAR LÄN</t>
        </is>
      </c>
      <c r="G376" t="inlineStr">
        <is>
          <t>HÖGSBY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45692</v>
      </c>
      <c r="E377" s="1" t="n">
        <v>46294</v>
      </c>
      <c r="F377" t="inlineStr">
        <is>
          <t>KALMAR LÄN</t>
        </is>
      </c>
      <c r="G377" t="inlineStr">
        <is>
          <t>HÖGSBY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46294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46274</v>
      </c>
      <c r="E379" s="1" t="n">
        <v>46294</v>
      </c>
      <c r="F379" t="inlineStr">
        <is>
          <t>KALMAR LÄN</t>
        </is>
      </c>
      <c r="G379" t="inlineStr">
        <is>
          <t>HÖGSBY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44866</v>
      </c>
      <c r="E380" s="1" t="n">
        <v>46294</v>
      </c>
      <c r="F380" t="inlineStr">
        <is>
          <t>KALMAR LÄN</t>
        </is>
      </c>
      <c r="G380" t="inlineStr">
        <is>
          <t>HÖGSBY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46237</v>
      </c>
      <c r="E381" s="1" t="n">
        <v>46294</v>
      </c>
      <c r="F381" t="inlineStr">
        <is>
          <t>KALMAR LÄN</t>
        </is>
      </c>
      <c r="G381" t="inlineStr">
        <is>
          <t>HÖGSBY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46294</v>
      </c>
      <c r="F382" t="inlineStr">
        <is>
          <t>KALMAR LÄN</t>
        </is>
      </c>
      <c r="G382" t="inlineStr">
        <is>
          <t>HÖGSBY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46294</v>
      </c>
      <c r="F383" t="inlineStr">
        <is>
          <t>KALMAR LÄN</t>
        </is>
      </c>
      <c r="G383" t="inlineStr">
        <is>
          <t>HÖGSBY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45307</v>
      </c>
      <c r="E384" s="1" t="n">
        <v>46294</v>
      </c>
      <c r="F384" t="inlineStr">
        <is>
          <t>KALMAR LÄN</t>
        </is>
      </c>
      <c r="G384" t="inlineStr">
        <is>
          <t>HÖGSBY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34078-2024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45523</v>
      </c>
      <c r="E385" s="1" t="n">
        <v>46294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45782</v>
      </c>
      <c r="E386" s="1" t="n">
        <v>46294</v>
      </c>
      <c r="F386" t="inlineStr">
        <is>
          <t>KALMAR LÄN</t>
        </is>
      </c>
      <c r="G386" t="inlineStr">
        <is>
          <t>HÖGSBY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46294</v>
      </c>
      <c r="F387" t="inlineStr">
        <is>
          <t>KALMAR LÄN</t>
        </is>
      </c>
      <c r="G387" t="inlineStr">
        <is>
          <t>HÖGSBY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39035-2026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46287</v>
      </c>
      <c r="E388" s="1" t="n">
        <v>46294</v>
      </c>
      <c r="F388" t="inlineStr">
        <is>
          <t>KALMAR LÄN</t>
        </is>
      </c>
      <c r="G388" t="inlineStr">
        <is>
          <t>HÖGSBY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46294</v>
      </c>
      <c r="F389" t="inlineStr">
        <is>
          <t>KALMAR LÄN</t>
        </is>
      </c>
      <c r="G389" t="inlineStr">
        <is>
          <t>HÖGSBY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33788-2026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46251</v>
      </c>
      <c r="E390" s="1" t="n">
        <v>46294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46293</v>
      </c>
      <c r="E391" s="1" t="n">
        <v>46294</v>
      </c>
      <c r="F391" t="inlineStr">
        <is>
          <t>KALMAR LÄN</t>
        </is>
      </c>
      <c r="G391" t="inlineStr">
        <is>
          <t>HÖGSBY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46294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46294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46294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46294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46294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46294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46294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46294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46294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46294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46294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46294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46294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46294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46294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46294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46294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46294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46294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46294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46294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46294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46294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46294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2026-09-29T01:57:10Z</dcterms:created>
  <dcterms:modified xmlns:dcterms="http://purl.org/dc/terms/" xmlns:xsi="http://www.w3.org/2001/XMLSchema-instance" xsi:type="dcterms:W3CDTF">2026-09-29T01:57:11Z</dcterms:modified>
</cp:coreProperties>
</file>