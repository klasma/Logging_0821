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46303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46303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46303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46303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46303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46303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46303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46303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46303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46303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46303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46303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46303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46303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46303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46303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46303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46303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17959-2026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46122</v>
      </c>
      <c r="E21" s="1" t="n">
        <v>46303</v>
      </c>
      <c r="F21" t="inlineStr">
        <is>
          <t>KALMAR LÄN</t>
        </is>
      </c>
      <c r="G21" t="inlineStr">
        <is>
          <t>HÖGSBY</t>
        </is>
      </c>
      <c r="I21" t="n">
        <v>1.2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Mindre hackspett
Fällmossa
Källpraktmossa
Skogsknipprot</t>
        </is>
      </c>
      <c r="W21">
        <f>HYPERLINK("https://klasma.github.io/Logging_0821/artfynd/A 17959-2026 artfynd.xlsx", "A 17959-2026")</f>
        <v/>
      </c>
      <c r="X21">
        <f>HYPERLINK("https://klasma.github.io/Logging_0821/kartor/A 17959-2026 karta.png", "A 17959-2026")</f>
        <v/>
      </c>
      <c r="Y21">
        <f>HYPERLINK("https://klasma.github.io/Logging_0821/kartor_geotiff/A 17959-2026 georefererad karta.tif", "A 17959-2026")</f>
        <v/>
      </c>
      <c r="AA21">
        <f>HYPERLINK("https://klasma.github.io/Logging_0821/klagomål/A 17959-2026 FSC-klagomål.docx", "A 17959-2026")</f>
        <v/>
      </c>
      <c r="AB21">
        <f>HYPERLINK("https://klasma.github.io/Logging_0821/klagomålsmail/A 17959-2026 FSC-klagomål mail.docx", "A 17959-2026")</f>
        <v/>
      </c>
      <c r="AC21">
        <f>HYPERLINK("https://klasma.github.io/Logging_0821/tillsyn/A 17959-2026 tillsynsbegäran.docx", "A 17959-2026")</f>
        <v/>
      </c>
      <c r="AD21">
        <f>HYPERLINK("https://klasma.github.io/Logging_0821/tillsynsmail/A 17959-2026 tillsynsbegäran mail.docx", "A 17959-2026")</f>
        <v/>
      </c>
      <c r="AE21">
        <f>HYPERLINK("https://klasma.github.io/Logging_0821/fåglar/A 17959-2026 prioriterade fågelarter.docx", "A 17959-2026")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46303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46303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46303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46303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46303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46303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46303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46303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46303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46303</v>
      </c>
      <c r="F31" t="inlineStr">
        <is>
          <t>KALMAR LÄN</t>
        </is>
      </c>
      <c r="G31" t="inlineStr">
        <is>
          <t>HÖGSBY</t>
        </is>
      </c>
      <c r="I31" t="n">
        <v>4.5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Ullticka
Spillkråka</t>
        </is>
      </c>
      <c r="W31">
        <f>HYPERLINK("https://klasma.github.io/Logging_0821/artfynd/A 62371-2023 artfynd.xlsx", "A 62371-2023")</f>
        <v/>
      </c>
      <c r="X31">
        <f>HYPERLINK("https://klasma.github.io/Logging_0821/kartor/A 62371-2023 karta.png", "A 62371-2023")</f>
        <v/>
      </c>
      <c r="Y31">
        <f>HYPERLINK("https://klasma.github.io/Logging_0821/kartor_geotiff/A 62371-2023 georefererad karta.tif", "A 62371-2023")</f>
        <v/>
      </c>
      <c r="Z31">
        <f>HYPERLINK("https://klasma.github.io/Logging_0821/knärot/A 62371-2023 karta knärot.png", "A 62371-2023")</f>
        <v/>
      </c>
      <c r="AA31">
        <f>HYPERLINK("https://klasma.github.io/Logging_0821/klagomål/A 62371-2023 FSC-klagomål.docx", "A 62371-2023")</f>
        <v/>
      </c>
      <c r="AB31">
        <f>HYPERLINK("https://klasma.github.io/Logging_0821/klagomålsmail/A 62371-2023 FSC-klagomål mail.docx", "A 62371-2023")</f>
        <v/>
      </c>
      <c r="AC31">
        <f>HYPERLINK("https://klasma.github.io/Logging_0821/tillsyn/A 62371-2023 tillsynsbegäran.docx", "A 62371-2023")</f>
        <v/>
      </c>
      <c r="AD31">
        <f>HYPERLINK("https://klasma.github.io/Logging_0821/tillsynsmail/A 62371-2023 tillsynsbegäran mail.docx", "A 62371-2023")</f>
        <v/>
      </c>
      <c r="AE31">
        <f>HYPERLINK("https://klasma.github.io/Logging_0821/fåglar/A 62371-2023 prioriterade fågelarter.docx", "A 62371-2023")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46303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46303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9616-2022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46303</v>
      </c>
      <c r="F34" t="inlineStr">
        <is>
          <t>KALMAR LÄN</t>
        </is>
      </c>
      <c r="G34" t="inlineStr">
        <is>
          <t>HÖGSBY</t>
        </is>
      </c>
      <c r="I34" t="n">
        <v>6.4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Knippnejlika
Solvända</t>
        </is>
      </c>
      <c r="W34">
        <f>HYPERLINK("https://klasma.github.io/Logging_0821/artfynd/A 9616-2022 artfynd.xlsx", "A 9616-2022")</f>
        <v/>
      </c>
      <c r="X34">
        <f>HYPERLINK("https://klasma.github.io/Logging_0821/kartor/A 9616-2022 karta.png", "A 9616-2022")</f>
        <v/>
      </c>
      <c r="Y34">
        <f>HYPERLINK("https://klasma.github.io/Logging_0821/kartor_geotiff/A 9616-2022 georefererad karta.tif", "A 9616-2022")</f>
        <v/>
      </c>
      <c r="AA34">
        <f>HYPERLINK("https://klasma.github.io/Logging_0821/klagomål/A 9616-2022 FSC-klagomål.docx", "A 9616-2022")</f>
        <v/>
      </c>
      <c r="AB34">
        <f>HYPERLINK("https://klasma.github.io/Logging_0821/klagomålsmail/A 9616-2022 FSC-klagomål mail.docx", "A 9616-2022")</f>
        <v/>
      </c>
      <c r="AC34">
        <f>HYPERLINK("https://klasma.github.io/Logging_0821/tillsyn/A 9616-2022 tillsynsbegäran.docx", "A 9616-2022")</f>
        <v/>
      </c>
      <c r="AD34">
        <f>HYPERLINK("https://klasma.github.io/Logging_0821/tillsynsmail/A 9616-2022 tillsynsbegäran mail.docx", "A 9616-2022")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46303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46303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5667-2026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46051</v>
      </c>
      <c r="E37" s="1" t="n">
        <v>46303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19.8</v>
      </c>
      <c r="J37" t="n">
        <v>0</v>
      </c>
      <c r="K37" t="n">
        <v>0</v>
      </c>
      <c r="L37" t="n">
        <v>0</v>
      </c>
      <c r="M37" t="n">
        <v>2</v>
      </c>
      <c r="N37" t="n">
        <v>0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Slåttergubbe
Slåttergubbemal</t>
        </is>
      </c>
      <c r="W37">
        <f>HYPERLINK("https://klasma.github.io/Logging_0821/artfynd/A 5667-2026 artfynd.xlsx", "A 5667-2026")</f>
        <v/>
      </c>
      <c r="X37">
        <f>HYPERLINK("https://klasma.github.io/Logging_0821/kartor/A 5667-2026 karta.png", "A 5667-2026")</f>
        <v/>
      </c>
      <c r="Y37">
        <f>HYPERLINK("https://klasma.github.io/Logging_0821/kartor_geotiff/A 5667-2026 georefererad karta.tif", "A 5667-2026")</f>
        <v/>
      </c>
      <c r="AA37">
        <f>HYPERLINK("https://klasma.github.io/Logging_0821/klagomål/A 5667-2026 FSC-klagomål.docx", "A 5667-2026")</f>
        <v/>
      </c>
      <c r="AB37">
        <f>HYPERLINK("https://klasma.github.io/Logging_0821/klagomålsmail/A 5667-2026 FSC-klagomål mail.docx", "A 5667-2026")</f>
        <v/>
      </c>
      <c r="AC37">
        <f>HYPERLINK("https://klasma.github.io/Logging_0821/tillsyn/A 5667-2026 tillsynsbegäran.docx", "A 5667-2026")</f>
        <v/>
      </c>
      <c r="AD37">
        <f>HYPERLINK("https://klasma.github.io/Logging_0821/tillsynsmail/A 5667-2026 tillsynsbegäran mail.docx", "A 5667-2026")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46303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46303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46303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46303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38802-2024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45547</v>
      </c>
      <c r="E42" s="1" t="n">
        <v>46303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38802-2024 artfynd.xlsx", "A 38802-2024")</f>
        <v/>
      </c>
      <c r="X42">
        <f>HYPERLINK("https://klasma.github.io/Logging_0821/kartor/A 38802-2024 karta.png", "A 38802-2024")</f>
        <v/>
      </c>
      <c r="Y42">
        <f>HYPERLINK("https://klasma.github.io/Logging_0821/kartor_geotiff/A 38802-2024 georefererad karta.tif", "A 38802-2024")</f>
        <v/>
      </c>
      <c r="AA42">
        <f>HYPERLINK("https://klasma.github.io/Logging_0821/klagomål/A 38802-2024 FSC-klagomål.docx", "A 38802-2024")</f>
        <v/>
      </c>
      <c r="AB42">
        <f>HYPERLINK("https://klasma.github.io/Logging_0821/klagomålsmail/A 38802-2024 FSC-klagomål mail.docx", "A 38802-2024")</f>
        <v/>
      </c>
      <c r="AC42">
        <f>HYPERLINK("https://klasma.github.io/Logging_0821/tillsyn/A 38802-2024 tillsynsbegäran.docx", "A 38802-2024")</f>
        <v/>
      </c>
      <c r="AD42">
        <f>HYPERLINK("https://klasma.github.io/Logging_0821/tillsynsmail/A 38802-2024 tillsynsbegäran mail.docx", "A 38802-2024")</f>
        <v/>
      </c>
    </row>
    <row r="43" ht="15" customHeight="1">
      <c r="A43" t="inlineStr">
        <is>
          <t>A 52177-2022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46303</v>
      </c>
      <c r="F43" t="inlineStr">
        <is>
          <t>KALMAR LÄN</t>
        </is>
      </c>
      <c r="G43" t="inlineStr">
        <is>
          <t>HÖGSBY</t>
        </is>
      </c>
      <c r="I43" t="n">
        <v>0.9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Nordfladdermus</t>
        </is>
      </c>
      <c r="W43">
        <f>HYPERLINK("https://klasma.github.io/Logging_0821/artfynd/A 52177-2022 artfynd.xlsx", "A 52177-2022")</f>
        <v/>
      </c>
      <c r="X43">
        <f>HYPERLINK("https://klasma.github.io/Logging_0821/kartor/A 52177-2022 karta.png", "A 52177-2022")</f>
        <v/>
      </c>
      <c r="Y43">
        <f>HYPERLINK("https://klasma.github.io/Logging_0821/kartor_geotiff/A 52177-2022 georefererad karta.tif", "A 52177-2022")</f>
        <v/>
      </c>
      <c r="AA43">
        <f>HYPERLINK("https://klasma.github.io/Logging_0821/klagomål/A 52177-2022 FSC-klagomål.docx", "A 52177-2022")</f>
        <v/>
      </c>
      <c r="AB43">
        <f>HYPERLINK("https://klasma.github.io/Logging_0821/klagomålsmail/A 52177-2022 FSC-klagomål mail.docx", "A 52177-2022")</f>
        <v/>
      </c>
      <c r="AC43">
        <f>HYPERLINK("https://klasma.github.io/Logging_0821/tillsyn/A 52177-2022 tillsynsbegäran.docx", "A 52177-2022")</f>
        <v/>
      </c>
      <c r="AD43">
        <f>HYPERLINK("https://klasma.github.io/Logging_0821/tillsynsmail/A 52177-2022 tillsynsbegäran mail.docx", "A 52177-2022")</f>
        <v/>
      </c>
    </row>
    <row r="44" ht="15" customHeight="1">
      <c r="A44" t="inlineStr">
        <is>
          <t>A 58792-2022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46303</v>
      </c>
      <c r="F44" t="inlineStr">
        <is>
          <t>KALMAR LÄN</t>
        </is>
      </c>
      <c r="G44" t="inlineStr">
        <is>
          <t>HÖGSBY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HYPERLINK("https://klasma.github.io/Logging_0821/artfynd/A 58792-2022 artfynd.xlsx", "A 58792-2022")</f>
        <v/>
      </c>
      <c r="X44">
        <f>HYPERLINK("https://klasma.github.io/Logging_0821/kartor/A 58792-2022 karta.png", "A 58792-2022")</f>
        <v/>
      </c>
      <c r="Y44">
        <f>HYPERLINK("https://klasma.github.io/Logging_0821/kartor_geotiff/A 58792-2022 georefererad karta.tif", "A 58792-2022")</f>
        <v/>
      </c>
      <c r="AA44">
        <f>HYPERLINK("https://klasma.github.io/Logging_0821/klagomål/A 58792-2022 FSC-klagomål.docx", "A 58792-2022")</f>
        <v/>
      </c>
      <c r="AB44">
        <f>HYPERLINK("https://klasma.github.io/Logging_0821/klagomålsmail/A 58792-2022 FSC-klagomål mail.docx", "A 58792-2022")</f>
        <v/>
      </c>
      <c r="AC44">
        <f>HYPERLINK("https://klasma.github.io/Logging_0821/tillsyn/A 58792-2022 tillsynsbegäran.docx", "A 58792-2022")</f>
        <v/>
      </c>
      <c r="AD44">
        <f>HYPERLINK("https://klasma.github.io/Logging_0821/tillsynsmail/A 58792-2022 tillsynsbegäran mail.docx", "A 58792-2022")</f>
        <v/>
      </c>
    </row>
    <row r="45" ht="15" customHeight="1">
      <c r="A45" t="inlineStr">
        <is>
          <t>A 59407-2022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44907</v>
      </c>
      <c r="E45" s="1" t="n">
        <v>46303</v>
      </c>
      <c r="F45" t="inlineStr">
        <is>
          <t>KALMAR LÄN</t>
        </is>
      </c>
      <c r="G45" t="inlineStr">
        <is>
          <t>HÖGSBY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1</v>
      </c>
      <c r="V45" s="2" t="inlineStr">
        <is>
          <t>Blåsippa</t>
        </is>
      </c>
      <c r="W45">
        <f>HYPERLINK("https://klasma.github.io/Logging_0821/artfynd/A 59407-2022 artfynd.xlsx", "A 59407-2022")</f>
        <v/>
      </c>
      <c r="X45">
        <f>HYPERLINK("https://klasma.github.io/Logging_0821/kartor/A 59407-2022 karta.png", "A 59407-2022")</f>
        <v/>
      </c>
      <c r="Y45">
        <f>HYPERLINK("https://klasma.github.io/Logging_0821/kartor_geotiff/A 59407-2022 georefererad karta.tif", "A 59407-2022")</f>
        <v/>
      </c>
      <c r="AA45">
        <f>HYPERLINK("https://klasma.github.io/Logging_0821/klagomål/A 59407-2022 FSC-klagomål.docx", "A 59407-2022")</f>
        <v/>
      </c>
      <c r="AB45">
        <f>HYPERLINK("https://klasma.github.io/Logging_0821/klagomålsmail/A 59407-2022 FSC-klagomål mail.docx", "A 59407-2022")</f>
        <v/>
      </c>
      <c r="AC45">
        <f>HYPERLINK("https://klasma.github.io/Logging_0821/tillsyn/A 59407-2022 tillsynsbegäran.docx", "A 59407-2022")</f>
        <v/>
      </c>
      <c r="AD45">
        <f>HYPERLINK("https://klasma.github.io/Logging_0821/tillsynsmail/A 59407-2022 tillsynsbegäran mail.docx", "A 59407-2022")</f>
        <v/>
      </c>
    </row>
    <row r="46" ht="15" customHeight="1">
      <c r="A46" t="inlineStr">
        <is>
          <t>A 35075-2023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46303</v>
      </c>
      <c r="F46" t="inlineStr">
        <is>
          <t>KALMAR LÄN</t>
        </is>
      </c>
      <c r="G46" t="inlineStr">
        <is>
          <t>HÖGSBY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HYPERLINK("https://klasma.github.io/Logging_0821/artfynd/A 35075-2023 artfynd.xlsx", "A 35075-2023")</f>
        <v/>
      </c>
      <c r="X46">
        <f>HYPERLINK("https://klasma.github.io/Logging_0821/kartor/A 35075-2023 karta.png", "A 35075-2023")</f>
        <v/>
      </c>
      <c r="Y46">
        <f>HYPERLINK("https://klasma.github.io/Logging_0821/kartor_geotiff/A 35075-2023 georefererad karta.tif", "A 35075-2023")</f>
        <v/>
      </c>
      <c r="AA46">
        <f>HYPERLINK("https://klasma.github.io/Logging_0821/klagomål/A 35075-2023 FSC-klagomål.docx", "A 35075-2023")</f>
        <v/>
      </c>
      <c r="AB46">
        <f>HYPERLINK("https://klasma.github.io/Logging_0821/klagomålsmail/A 35075-2023 FSC-klagomål mail.docx", "A 35075-2023")</f>
        <v/>
      </c>
      <c r="AC46">
        <f>HYPERLINK("https://klasma.github.io/Logging_0821/tillsyn/A 35075-2023 tillsynsbegäran.docx", "A 35075-2023")</f>
        <v/>
      </c>
      <c r="AD46">
        <f>HYPERLINK("https://klasma.github.io/Logging_0821/tillsynsmail/A 35075-2023 tillsynsbegäran mail.docx", "A 35075-2023")</f>
        <v/>
      </c>
    </row>
    <row r="47" ht="15" customHeight="1">
      <c r="A47" t="inlineStr">
        <is>
          <t>A 38596-2024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45546</v>
      </c>
      <c r="E47" s="1" t="n">
        <v>46303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HYPERLINK("https://klasma.github.io/Logging_0821/artfynd/A 38596-2024 artfynd.xlsx", "A 38596-2024")</f>
        <v/>
      </c>
      <c r="X47">
        <f>HYPERLINK("https://klasma.github.io/Logging_0821/kartor/A 38596-2024 karta.png", "A 38596-2024")</f>
        <v/>
      </c>
      <c r="Y47">
        <f>HYPERLINK("https://klasma.github.io/Logging_0821/kartor_geotiff/A 38596-2024 georefererad karta.tif", "A 38596-2024")</f>
        <v/>
      </c>
      <c r="AA47">
        <f>HYPERLINK("https://klasma.github.io/Logging_0821/klagomål/A 38596-2024 FSC-klagomål.docx", "A 38596-2024")</f>
        <v/>
      </c>
      <c r="AB47">
        <f>HYPERLINK("https://klasma.github.io/Logging_0821/klagomålsmail/A 38596-2024 FSC-klagomål mail.docx", "A 38596-2024")</f>
        <v/>
      </c>
      <c r="AC47">
        <f>HYPERLINK("https://klasma.github.io/Logging_0821/tillsyn/A 38596-2024 tillsynsbegäran.docx", "A 38596-2024")</f>
        <v/>
      </c>
      <c r="AD47">
        <f>HYPERLINK("https://klasma.github.io/Logging_0821/tillsynsmail/A 38596-2024 tillsynsbegäran mail.docx", "A 38596-2024")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46303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HYPERLINK("https://klasma.github.io/Logging_0821/artfynd/A 1519-2022 artfynd.xlsx", "A 1519-2022")</f>
        <v/>
      </c>
      <c r="X48">
        <f>HYPERLINK("https://klasma.github.io/Logging_0821/kartor/A 1519-2022 karta.png", "A 1519-2022")</f>
        <v/>
      </c>
      <c r="Y48">
        <f>HYPERLINK("https://klasma.github.io/Logging_0821/kartor_geotiff/A 1519-2022 georefererad karta.tif", "A 1519-2022")</f>
        <v/>
      </c>
      <c r="AA48">
        <f>HYPERLINK("https://klasma.github.io/Logging_0821/klagomål/A 1519-2022 FSC-klagomål.docx", "A 1519-2022")</f>
        <v/>
      </c>
      <c r="AB48">
        <f>HYPERLINK("https://klasma.github.io/Logging_0821/klagomålsmail/A 1519-2022 FSC-klagomål mail.docx", "A 1519-2022")</f>
        <v/>
      </c>
      <c r="AC48">
        <f>HYPERLINK("https://klasma.github.io/Logging_0821/tillsyn/A 1519-2022 tillsynsbegäran.docx", "A 1519-2022")</f>
        <v/>
      </c>
      <c r="AD48">
        <f>HYPERLINK("https://klasma.github.io/Logging_0821/tillsynsmail/A 1519-2022 tillsynsbegäran mail.docx", "A 1519-2022")</f>
        <v/>
      </c>
    </row>
    <row r="49" ht="15" customHeight="1">
      <c r="A49" t="inlineStr">
        <is>
          <t>A 22757-2026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46157</v>
      </c>
      <c r="E49" s="1" t="n">
        <v>46303</v>
      </c>
      <c r="F49" t="inlineStr">
        <is>
          <t>KALMAR LÄN</t>
        </is>
      </c>
      <c r="G49" t="inlineStr">
        <is>
          <t>HÖGSBY</t>
        </is>
      </c>
      <c r="I49" t="n">
        <v>1.1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Blåsippa</t>
        </is>
      </c>
      <c r="W49">
        <f>HYPERLINK("https://klasma.github.io/Logging_0821/artfynd/A 22757-2026 artfynd.xlsx", "A 22757-2026")</f>
        <v/>
      </c>
      <c r="X49">
        <f>HYPERLINK("https://klasma.github.io/Logging_0821/kartor/A 22757-2026 karta.png", "A 22757-2026")</f>
        <v/>
      </c>
      <c r="Y49">
        <f>HYPERLINK("https://klasma.github.io/Logging_0821/kartor_geotiff/A 22757-2026 georefererad karta.tif", "A 22757-2026")</f>
        <v/>
      </c>
      <c r="AA49">
        <f>HYPERLINK("https://klasma.github.io/Logging_0821/klagomål/A 22757-2026 FSC-klagomål.docx", "A 22757-2026")</f>
        <v/>
      </c>
      <c r="AB49">
        <f>HYPERLINK("https://klasma.github.io/Logging_0821/klagomålsmail/A 22757-2026 FSC-klagomål mail.docx", "A 22757-2026")</f>
        <v/>
      </c>
      <c r="AC49">
        <f>HYPERLINK("https://klasma.github.io/Logging_0821/tillsyn/A 22757-2026 tillsynsbegäran.docx", "A 22757-2026")</f>
        <v/>
      </c>
      <c r="AD49">
        <f>HYPERLINK("https://klasma.github.io/Logging_0821/tillsynsmail/A 22757-2026 tillsynsbegäran mail.docx", "A 22757-2026")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46303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46303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19519-2025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45770</v>
      </c>
      <c r="E52" s="1" t="n">
        <v>46303</v>
      </c>
      <c r="F52" t="inlineStr">
        <is>
          <t>KALMAR LÄN</t>
        </is>
      </c>
      <c r="G52" t="inlineStr">
        <is>
          <t>HÖGSBY</t>
        </is>
      </c>
      <c r="I52" t="n">
        <v>3.5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HYPERLINK("https://klasma.github.io/Logging_0821/artfynd/A 19519-2025 artfynd.xlsx", "A 19519-2025")</f>
        <v/>
      </c>
      <c r="X52">
        <f>HYPERLINK("https://klasma.github.io/Logging_0821/kartor/A 19519-2025 karta.png", "A 19519-2025")</f>
        <v/>
      </c>
      <c r="Y52">
        <f>HYPERLINK("https://klasma.github.io/Logging_0821/kartor_geotiff/A 19519-2025 georefererad karta.tif", "A 19519-2025")</f>
        <v/>
      </c>
      <c r="AA52">
        <f>HYPERLINK("https://klasma.github.io/Logging_0821/klagomål/A 19519-2025 FSC-klagomål.docx", "A 19519-2025")</f>
        <v/>
      </c>
      <c r="AB52">
        <f>HYPERLINK("https://klasma.github.io/Logging_0821/klagomålsmail/A 19519-2025 FSC-klagomål mail.docx", "A 19519-2025")</f>
        <v/>
      </c>
      <c r="AC52">
        <f>HYPERLINK("https://klasma.github.io/Logging_0821/tillsyn/A 19519-2025 tillsynsbegäran.docx", "A 19519-2025")</f>
        <v/>
      </c>
      <c r="AD52">
        <f>HYPERLINK("https://klasma.github.io/Logging_0821/tillsynsmail/A 19519-2025 tillsynsbegäran mail.docx", "A 19519-2025")</f>
        <v/>
      </c>
    </row>
    <row r="53" ht="15" customHeight="1">
      <c r="A53" t="inlineStr">
        <is>
          <t>A 26145-2026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46303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Gullviva</t>
        </is>
      </c>
      <c r="W53">
        <f>HYPERLINK("https://klasma.github.io/Logging_0821/artfynd/A 26145-2026 artfynd.xlsx", "A 26145-2026")</f>
        <v/>
      </c>
      <c r="X53">
        <f>HYPERLINK("https://klasma.github.io/Logging_0821/kartor/A 26145-2026 karta.png", "A 26145-2026")</f>
        <v/>
      </c>
      <c r="Y53">
        <f>HYPERLINK("https://klasma.github.io/Logging_0821/kartor_geotiff/A 26145-2026 georefererad karta.tif", "A 26145-2026")</f>
        <v/>
      </c>
      <c r="AA53">
        <f>HYPERLINK("https://klasma.github.io/Logging_0821/klagomål/A 26145-2026 FSC-klagomål.docx", "A 26145-2026")</f>
        <v/>
      </c>
      <c r="AB53">
        <f>HYPERLINK("https://klasma.github.io/Logging_0821/klagomålsmail/A 26145-2026 FSC-klagomål mail.docx", "A 26145-2026")</f>
        <v/>
      </c>
      <c r="AC53">
        <f>HYPERLINK("https://klasma.github.io/Logging_0821/tillsyn/A 26145-2026 tillsynsbegäran.docx", "A 26145-2026")</f>
        <v/>
      </c>
      <c r="AD53">
        <f>HYPERLINK("https://klasma.github.io/Logging_0821/tillsynsmail/A 26145-2026 tillsynsbegäran mail.docx", "A 26145-2026")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46303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28894-2026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46199</v>
      </c>
      <c r="E55" s="1" t="n">
        <v>46303</v>
      </c>
      <c r="F55" t="inlineStr">
        <is>
          <t>KALMAR LÄN</t>
        </is>
      </c>
      <c r="G55" t="inlineStr">
        <is>
          <t>HÖGSBY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HYPERLINK("https://klasma.github.io/Logging_0821/artfynd/A 28894-2026 artfynd.xlsx", "A 28894-2026")</f>
        <v/>
      </c>
      <c r="X55">
        <f>HYPERLINK("https://klasma.github.io/Logging_0821/kartor/A 28894-2026 karta.png", "A 28894-2026")</f>
        <v/>
      </c>
      <c r="Y55">
        <f>HYPERLINK("https://klasma.github.io/Logging_0821/kartor_geotiff/A 28894-2026 georefererad karta.tif", "A 28894-2026")</f>
        <v/>
      </c>
      <c r="AA55">
        <f>HYPERLINK("https://klasma.github.io/Logging_0821/klagomål/A 28894-2026 FSC-klagomål.docx", "A 28894-2026")</f>
        <v/>
      </c>
      <c r="AB55">
        <f>HYPERLINK("https://klasma.github.io/Logging_0821/klagomålsmail/A 28894-2026 FSC-klagomål mail.docx", "A 28894-2026")</f>
        <v/>
      </c>
      <c r="AC55">
        <f>HYPERLINK("https://klasma.github.io/Logging_0821/tillsyn/A 28894-2026 tillsynsbegäran.docx", "A 28894-2026")</f>
        <v/>
      </c>
      <c r="AD55">
        <f>HYPERLINK("https://klasma.github.io/Logging_0821/tillsynsmail/A 28894-2026 tillsynsbegäran mail.docx", "A 28894-2026")</f>
        <v/>
      </c>
      <c r="AE55">
        <f>HYPERLINK("https://klasma.github.io/Logging_0821/fåglar/A 28894-2026 prioriterade fågelarter.docx", "A 28894-2026")</f>
        <v/>
      </c>
    </row>
    <row r="56" ht="15" customHeight="1">
      <c r="A56" t="inlineStr">
        <is>
          <t>A 59700-2023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45256</v>
      </c>
      <c r="E56" s="1" t="n">
        <v>46303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59700-2023 artfynd.xlsx", "A 59700-2023")</f>
        <v/>
      </c>
      <c r="X56">
        <f>HYPERLINK("https://klasma.github.io/Logging_0821/kartor/A 59700-2023 karta.png", "A 59700-2023")</f>
        <v/>
      </c>
      <c r="Y56">
        <f>HYPERLINK("https://klasma.github.io/Logging_0821/kartor_geotiff/A 59700-2023 georefererad karta.tif", "A 59700-2023")</f>
        <v/>
      </c>
      <c r="AA56">
        <f>HYPERLINK("https://klasma.github.io/Logging_0821/klagomål/A 59700-2023 FSC-klagomål.docx", "A 59700-2023")</f>
        <v/>
      </c>
      <c r="AB56">
        <f>HYPERLINK("https://klasma.github.io/Logging_0821/klagomålsmail/A 59700-2023 FSC-klagomål mail.docx", "A 59700-2023")</f>
        <v/>
      </c>
      <c r="AC56">
        <f>HYPERLINK("https://klasma.github.io/Logging_0821/tillsyn/A 59700-2023 tillsynsbegäran.docx", "A 59700-2023")</f>
        <v/>
      </c>
      <c r="AD56">
        <f>HYPERLINK("https://klasma.github.io/Logging_0821/tillsynsmail/A 59700-2023 tillsynsbegäran mail.docx", "A 59700-2023")</f>
        <v/>
      </c>
      <c r="AE56">
        <f>HYPERLINK("https://klasma.github.io/Logging_0821/fåglar/A 59700-2023 prioriterade fågelarter.docx", "A 59700-2023")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46303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46303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A 19463-2026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46129</v>
      </c>
      <c r="E59" s="1" t="n">
        <v>46303</v>
      </c>
      <c r="F59" t="inlineStr">
        <is>
          <t>KALMAR LÄN</t>
        </is>
      </c>
      <c r="G59" t="inlineStr">
        <is>
          <t>HÖGSBY</t>
        </is>
      </c>
      <c r="I59" t="n">
        <v>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HYPERLINK("https://klasma.github.io/Logging_0821/artfynd/A 19463-2026 artfynd.xlsx", "A 19463-2026")</f>
        <v/>
      </c>
      <c r="X59">
        <f>HYPERLINK("https://klasma.github.io/Logging_0821/kartor/A 19463-2026 karta.png", "A 19463-2026")</f>
        <v/>
      </c>
      <c r="Y59">
        <f>HYPERLINK("https://klasma.github.io/Logging_0821/kartor_geotiff/A 19463-2026 georefererad karta.tif", "A 19463-2026")</f>
        <v/>
      </c>
      <c r="AA59">
        <f>HYPERLINK("https://klasma.github.io/Logging_0821/klagomål/A 19463-2026 FSC-klagomål.docx", "A 19463-2026")</f>
        <v/>
      </c>
      <c r="AB59">
        <f>HYPERLINK("https://klasma.github.io/Logging_0821/klagomålsmail/A 19463-2026 FSC-klagomål mail.docx", "A 19463-2026")</f>
        <v/>
      </c>
      <c r="AC59">
        <f>HYPERLINK("https://klasma.github.io/Logging_0821/tillsyn/A 19463-2026 tillsynsbegäran.docx", "A 19463-2026")</f>
        <v/>
      </c>
      <c r="AD59">
        <f>HYPERLINK("https://klasma.github.io/Logging_0821/tillsynsmail/A 19463-2026 tillsynsbegäran mail.docx", "A 19463-2026")</f>
        <v/>
      </c>
    </row>
    <row r="60" ht="15" customHeight="1">
      <c r="A60" t="inlineStr">
        <is>
          <t>A 19536-2026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46134</v>
      </c>
      <c r="E60" s="1" t="n">
        <v>46303</v>
      </c>
      <c r="F60" t="inlineStr">
        <is>
          <t>KALMAR LÄN</t>
        </is>
      </c>
      <c r="G60" t="inlineStr">
        <is>
          <t>HÖGSBY</t>
        </is>
      </c>
      <c r="I60" t="n">
        <v>4.7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HYPERLINK("https://klasma.github.io/Logging_0821/artfynd/A 19536-2026 artfynd.xlsx", "A 19536-2026")</f>
        <v/>
      </c>
      <c r="X60">
        <f>HYPERLINK("https://klasma.github.io/Logging_0821/kartor/A 19536-2026 karta.png", "A 19536-2026")</f>
        <v/>
      </c>
      <c r="Y60">
        <f>HYPERLINK("https://klasma.github.io/Logging_0821/kartor_geotiff/A 19536-2026 georefererad karta.tif", "A 19536-2026")</f>
        <v/>
      </c>
      <c r="AA60">
        <f>HYPERLINK("https://klasma.github.io/Logging_0821/klagomål/A 19536-2026 FSC-klagomål.docx", "A 19536-2026")</f>
        <v/>
      </c>
      <c r="AB60">
        <f>HYPERLINK("https://klasma.github.io/Logging_0821/klagomålsmail/A 19536-2026 FSC-klagomål mail.docx", "A 19536-2026")</f>
        <v/>
      </c>
      <c r="AC60">
        <f>HYPERLINK("https://klasma.github.io/Logging_0821/tillsyn/A 19536-2026 tillsynsbegäran.docx", "A 19536-2026")</f>
        <v/>
      </c>
      <c r="AD60">
        <f>HYPERLINK("https://klasma.github.io/Logging_0821/tillsynsmail/A 19536-2026 tillsynsbegäran mail.docx", "A 19536-2026")</f>
        <v/>
      </c>
      <c r="AE60">
        <f>HYPERLINK("https://klasma.github.io/Logging_0821/fåglar/A 19536-2026 prioriterade fågelarter.docx", "A 19536-2026")</f>
        <v/>
      </c>
    </row>
    <row r="61" ht="15" customHeight="1">
      <c r="A61" t="inlineStr">
        <is>
          <t>A 38267-2025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46303</v>
      </c>
      <c r="F61" t="inlineStr">
        <is>
          <t>KALMAR LÄN</t>
        </is>
      </c>
      <c r="G61" t="inlineStr">
        <is>
          <t>HÖGSBY</t>
        </is>
      </c>
      <c r="I61" t="n">
        <v>1.6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Flikig tallfibbla</t>
        </is>
      </c>
      <c r="W61">
        <f>HYPERLINK("https://klasma.github.io/Logging_0821/artfynd/A 38267-2025 artfynd.xlsx", "A 38267-2025")</f>
        <v/>
      </c>
      <c r="X61">
        <f>HYPERLINK("https://klasma.github.io/Logging_0821/kartor/A 38267-2025 karta.png", "A 38267-2025")</f>
        <v/>
      </c>
      <c r="Y61">
        <f>HYPERLINK("https://klasma.github.io/Logging_0821/kartor_geotiff/A 38267-2025 georefererad karta.tif", "A 38267-2025")</f>
        <v/>
      </c>
      <c r="AA61">
        <f>HYPERLINK("https://klasma.github.io/Logging_0821/klagomål/A 38267-2025 FSC-klagomål.docx", "A 38267-2025")</f>
        <v/>
      </c>
      <c r="AB61">
        <f>HYPERLINK("https://klasma.github.io/Logging_0821/klagomålsmail/A 38267-2025 FSC-klagomål mail.docx", "A 38267-2025")</f>
        <v/>
      </c>
      <c r="AC61">
        <f>HYPERLINK("https://klasma.github.io/Logging_0821/tillsyn/A 38267-2025 tillsynsbegäran.docx", "A 38267-2025")</f>
        <v/>
      </c>
      <c r="AD61">
        <f>HYPERLINK("https://klasma.github.io/Logging_0821/tillsynsmail/A 38267-2025 tillsynsbegäran mail.docx", "A 38267-2025")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46303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46303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46303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46303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46303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46303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46303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46303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46303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46303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46303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46303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46303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46303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46303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46303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46303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46303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46303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46303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46303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46303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46303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46303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46303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46303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46303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46303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46303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46303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46303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44876</v>
      </c>
      <c r="E93" s="1" t="n">
        <v>46303</v>
      </c>
      <c r="F93" t="inlineStr">
        <is>
          <t>KALMAR LÄN</t>
        </is>
      </c>
      <c r="G93" t="inlineStr">
        <is>
          <t>HÖGSBY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46303</v>
      </c>
      <c r="F94" t="inlineStr">
        <is>
          <t>KALMAR LÄN</t>
        </is>
      </c>
      <c r="G94" t="inlineStr">
        <is>
          <t>HÖGSBY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46303</v>
      </c>
      <c r="F95" t="inlineStr">
        <is>
          <t>KALMAR LÄN</t>
        </is>
      </c>
      <c r="G95" t="inlineStr">
        <is>
          <t>HÖGSBY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44987</v>
      </c>
      <c r="E96" s="1" t="n">
        <v>46303</v>
      </c>
      <c r="F96" t="inlineStr">
        <is>
          <t>KALMAR LÄN</t>
        </is>
      </c>
      <c r="G96" t="inlineStr">
        <is>
          <t>HÖGSBY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45552</v>
      </c>
      <c r="E97" s="1" t="n">
        <v>46303</v>
      </c>
      <c r="F97" t="inlineStr">
        <is>
          <t>KALMAR LÄN</t>
        </is>
      </c>
      <c r="G97" t="inlineStr">
        <is>
          <t>HÖGSBY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46303</v>
      </c>
      <c r="F98" t="inlineStr">
        <is>
          <t>KALMAR LÄN</t>
        </is>
      </c>
      <c r="G98" t="inlineStr">
        <is>
          <t>HÖGSBY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44607</v>
      </c>
      <c r="E99" s="1" t="n">
        <v>46303</v>
      </c>
      <c r="F99" t="inlineStr">
        <is>
          <t>KALMAR LÄN</t>
        </is>
      </c>
      <c r="G99" t="inlineStr">
        <is>
          <t>HÖGSBY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44601</v>
      </c>
      <c r="E100" s="1" t="n">
        <v>46303</v>
      </c>
      <c r="F100" t="inlineStr">
        <is>
          <t>KALMAR LÄN</t>
        </is>
      </c>
      <c r="G100" t="inlineStr">
        <is>
          <t>HÖGSBY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45228</v>
      </c>
      <c r="E101" s="1" t="n">
        <v>46303</v>
      </c>
      <c r="F101" t="inlineStr">
        <is>
          <t>KALMAR LÄN</t>
        </is>
      </c>
      <c r="G101" t="inlineStr">
        <is>
          <t>HÖGSBY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46303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72059-2021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44542</v>
      </c>
      <c r="E103" s="1" t="n">
        <v>46303</v>
      </c>
      <c r="F103" t="inlineStr">
        <is>
          <t>KALMAR LÄN</t>
        </is>
      </c>
      <c r="G103" t="inlineStr">
        <is>
          <t>HÖGSBY</t>
        </is>
      </c>
      <c r="I103" t="n">
        <v>16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72066-2021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44542</v>
      </c>
      <c r="E104" s="1" t="n">
        <v>46303</v>
      </c>
      <c r="F104" t="inlineStr">
        <is>
          <t>KALMAR LÄN</t>
        </is>
      </c>
      <c r="G104" t="inlineStr">
        <is>
          <t>HÖGSBY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49338-2022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44861</v>
      </c>
      <c r="E105" s="1" t="n">
        <v>46303</v>
      </c>
      <c r="F105" t="inlineStr">
        <is>
          <t>KALMAR LÄN</t>
        </is>
      </c>
      <c r="G105" t="inlineStr">
        <is>
          <t>HÖGSBY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44634</v>
      </c>
      <c r="E106" s="1" t="n">
        <v>46303</v>
      </c>
      <c r="F106" t="inlineStr">
        <is>
          <t>KALMAR LÄN</t>
        </is>
      </c>
      <c r="G106" t="inlineStr">
        <is>
          <t>HÖGSBY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45071</v>
      </c>
      <c r="E107" s="1" t="n">
        <v>46303</v>
      </c>
      <c r="F107" t="inlineStr">
        <is>
          <t>KALMAR LÄN</t>
        </is>
      </c>
      <c r="G107" t="inlineStr">
        <is>
          <t>HÖGSBY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46303</v>
      </c>
      <c r="F108" t="inlineStr">
        <is>
          <t>KALMAR LÄN</t>
        </is>
      </c>
      <c r="G108" t="inlineStr">
        <is>
          <t>HÖGSBY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45247</v>
      </c>
      <c r="E109" s="1" t="n">
        <v>46303</v>
      </c>
      <c r="F109" t="inlineStr">
        <is>
          <t>KALMAR LÄN</t>
        </is>
      </c>
      <c r="G109" t="inlineStr">
        <is>
          <t>HÖGSBY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46303</v>
      </c>
      <c r="F110" t="inlineStr">
        <is>
          <t>KALMAR LÄN</t>
        </is>
      </c>
      <c r="G110" t="inlineStr">
        <is>
          <t>HÖGSBY</t>
        </is>
      </c>
      <c r="I110" t="n">
        <v>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45414</v>
      </c>
      <c r="E111" s="1" t="n">
        <v>46303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45707</v>
      </c>
      <c r="E112" s="1" t="n">
        <v>46303</v>
      </c>
      <c r="F112" t="inlineStr">
        <is>
          <t>KALMAR LÄN</t>
        </is>
      </c>
      <c r="G112" t="inlineStr">
        <is>
          <t>HÖGSBY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25223-2022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46303</v>
      </c>
      <c r="F113" t="inlineStr">
        <is>
          <t>KALMAR LÄN</t>
        </is>
      </c>
      <c r="G113" t="inlineStr">
        <is>
          <t>HÖGSBY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45749</v>
      </c>
      <c r="E114" s="1" t="n">
        <v>46303</v>
      </c>
      <c r="F114" t="inlineStr">
        <is>
          <t>KALMAR LÄN</t>
        </is>
      </c>
      <c r="G114" t="inlineStr">
        <is>
          <t>HÖGSBY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46303</v>
      </c>
      <c r="F115" t="inlineStr">
        <is>
          <t>KALMAR LÄN</t>
        </is>
      </c>
      <c r="G115" t="inlineStr">
        <is>
          <t>HÖGSBY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34078-2024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45523</v>
      </c>
      <c r="E116" s="1" t="n">
        <v>46303</v>
      </c>
      <c r="F116" t="inlineStr">
        <is>
          <t>KALMAR LÄN</t>
        </is>
      </c>
      <c r="G116" t="inlineStr">
        <is>
          <t>HÖGSBY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45782</v>
      </c>
      <c r="E117" s="1" t="n">
        <v>46303</v>
      </c>
      <c r="F117" t="inlineStr">
        <is>
          <t>KALMAR LÄN</t>
        </is>
      </c>
      <c r="G117" t="inlineStr">
        <is>
          <t>HÖGSBY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44924</v>
      </c>
      <c r="E118" s="1" t="n">
        <v>46303</v>
      </c>
      <c r="F118" t="inlineStr">
        <is>
          <t>KALMAR LÄN</t>
        </is>
      </c>
      <c r="G118" t="inlineStr">
        <is>
          <t>HÖGSBY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45532</v>
      </c>
      <c r="E119" s="1" t="n">
        <v>46303</v>
      </c>
      <c r="F119" t="inlineStr">
        <is>
          <t>KALMAR LÄN</t>
        </is>
      </c>
      <c r="G119" t="inlineStr">
        <is>
          <t>HÖGSBY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44861</v>
      </c>
      <c r="E120" s="1" t="n">
        <v>46303</v>
      </c>
      <c r="F120" t="inlineStr">
        <is>
          <t>KALMAR LÄN</t>
        </is>
      </c>
      <c r="G120" t="inlineStr">
        <is>
          <t>HÖGSBY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46303</v>
      </c>
      <c r="F121" t="inlineStr">
        <is>
          <t>KALMAR LÄN</t>
        </is>
      </c>
      <c r="G121" t="inlineStr">
        <is>
          <t>HÖGSBY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44876</v>
      </c>
      <c r="E122" s="1" t="n">
        <v>46303</v>
      </c>
      <c r="F122" t="inlineStr">
        <is>
          <t>KALMAR LÄN</t>
        </is>
      </c>
      <c r="G122" t="inlineStr">
        <is>
          <t>HÖGSBY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3622-2022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44586</v>
      </c>
      <c r="E123" s="1" t="n">
        <v>46303</v>
      </c>
      <c r="F123" t="inlineStr">
        <is>
          <t>KALMAR LÄN</t>
        </is>
      </c>
      <c r="G123" t="inlineStr">
        <is>
          <t>HÖGSBY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45391</v>
      </c>
      <c r="E124" s="1" t="n">
        <v>46303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46303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46303</v>
      </c>
      <c r="F126" t="inlineStr">
        <is>
          <t>KALMAR LÄN</t>
        </is>
      </c>
      <c r="G126" t="inlineStr">
        <is>
          <t>HÖGSBY</t>
        </is>
      </c>
      <c r="H126" t="inlineStr">
        <is>
          <t>Övriga Aktiebolag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46303</v>
      </c>
      <c r="F127" t="inlineStr">
        <is>
          <t>KALMAR LÄN</t>
        </is>
      </c>
      <c r="G127" t="inlineStr">
        <is>
          <t>HÖGSBY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  <c r="Z127">
        <f>HYPERLINK("https://klasma.github.io/Logging_0821/knärot/A 40137-2024 karta knärot.png", "A 40137-2024")</f>
        <v/>
      </c>
      <c r="AA127">
        <f>HYPERLINK("https://klasma.github.io/Logging_0821/klagomål/A 40137-2024 FSC-klagomål.docx", "A 40137-2024")</f>
        <v/>
      </c>
      <c r="AB127">
        <f>HYPERLINK("https://klasma.github.io/Logging_0821/klagomålsmail/A 40137-2024 FSC-klagomål mail.docx", "A 40137-2024")</f>
        <v/>
      </c>
      <c r="AC127">
        <f>HYPERLINK("https://klasma.github.io/Logging_0821/tillsyn/A 40137-2024 tillsynsbegäran.docx", "A 40137-2024")</f>
        <v/>
      </c>
      <c r="AD127">
        <f>HYPERLINK("https://klasma.github.io/Logging_0821/tillsynsmail/A 40137-2024 tillsynsbegäran mail.docx", "A 40137-2024")</f>
        <v/>
      </c>
    </row>
    <row r="128" ht="15" customHeight="1">
      <c r="A128" t="inlineStr">
        <is>
          <t>A 18099-2023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45040</v>
      </c>
      <c r="E128" s="1" t="n">
        <v>46303</v>
      </c>
      <c r="F128" t="inlineStr">
        <is>
          <t>KALMAR LÄN</t>
        </is>
      </c>
      <c r="G128" t="inlineStr">
        <is>
          <t>HÖGSBY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14193-2024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45393</v>
      </c>
      <c r="E129" s="1" t="n">
        <v>46303</v>
      </c>
      <c r="F129" t="inlineStr">
        <is>
          <t>KALMAR LÄN</t>
        </is>
      </c>
      <c r="G129" t="inlineStr">
        <is>
          <t>HÖGSBY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46303</v>
      </c>
      <c r="F130" t="inlineStr">
        <is>
          <t>KALMAR LÄN</t>
        </is>
      </c>
      <c r="G130" t="inlineStr">
        <is>
          <t>HÖGSBY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44809</v>
      </c>
      <c r="E131" s="1" t="n">
        <v>46303</v>
      </c>
      <c r="F131" t="inlineStr">
        <is>
          <t>KALMAR LÄN</t>
        </is>
      </c>
      <c r="G131" t="inlineStr">
        <is>
          <t>HÖGSBY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59281-2022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44904</v>
      </c>
      <c r="E132" s="1" t="n">
        <v>46303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44939</v>
      </c>
      <c r="E133" s="1" t="n">
        <v>46303</v>
      </c>
      <c r="F133" t="inlineStr">
        <is>
          <t>KALMAR LÄN</t>
        </is>
      </c>
      <c r="G133" t="inlineStr">
        <is>
          <t>HÖGSBY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46303</v>
      </c>
      <c r="F134" t="inlineStr">
        <is>
          <t>KALMAR LÄN</t>
        </is>
      </c>
      <c r="G134" t="inlineStr">
        <is>
          <t>HÖGSBY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37811-2024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45544</v>
      </c>
      <c r="E135" s="1" t="n">
        <v>46303</v>
      </c>
      <c r="F135" t="inlineStr">
        <is>
          <t>KALMAR LÄN</t>
        </is>
      </c>
      <c r="G135" t="inlineStr">
        <is>
          <t>HÖGSBY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28648-2023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45103</v>
      </c>
      <c r="E136" s="1" t="n">
        <v>46303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46303</v>
      </c>
      <c r="F137" t="inlineStr">
        <is>
          <t>KALMAR LÄN</t>
        </is>
      </c>
      <c r="G137" t="inlineStr">
        <is>
          <t>HÖGSBY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44866</v>
      </c>
      <c r="E138" s="1" t="n">
        <v>46303</v>
      </c>
      <c r="F138" t="inlineStr">
        <is>
          <t>KALMAR LÄN</t>
        </is>
      </c>
      <c r="G138" t="inlineStr">
        <is>
          <t>HÖGSBY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45797</v>
      </c>
      <c r="E139" s="1" t="n">
        <v>46303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26545-2024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45469</v>
      </c>
      <c r="E140" s="1" t="n">
        <v>46303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30490-2023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45111</v>
      </c>
      <c r="E141" s="1" t="n">
        <v>46303</v>
      </c>
      <c r="F141" t="inlineStr">
        <is>
          <t>KALMAR LÄN</t>
        </is>
      </c>
      <c r="G141" t="inlineStr">
        <is>
          <t>HÖGSBY</t>
        </is>
      </c>
      <c r="I141" t="n">
        <v>12.1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45341</v>
      </c>
      <c r="E142" s="1" t="n">
        <v>46303</v>
      </c>
      <c r="F142" t="inlineStr">
        <is>
          <t>KALMAR LÄN</t>
        </is>
      </c>
      <c r="G142" t="inlineStr">
        <is>
          <t>HÖGSBY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46303</v>
      </c>
      <c r="F143" t="inlineStr">
        <is>
          <t>KALMAR LÄN</t>
        </is>
      </c>
      <c r="G143" t="inlineStr">
        <is>
          <t>HÖGSBY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27830-2023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46303</v>
      </c>
      <c r="F144" t="inlineStr">
        <is>
          <t>KALMAR LÄN</t>
        </is>
      </c>
      <c r="G144" t="inlineStr">
        <is>
          <t>HÖGSBY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45320</v>
      </c>
      <c r="E145" s="1" t="n">
        <v>46303</v>
      </c>
      <c r="F145" t="inlineStr">
        <is>
          <t>KALMAR LÄN</t>
        </is>
      </c>
      <c r="G145" t="inlineStr">
        <is>
          <t>HÖGSBY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44907</v>
      </c>
      <c r="E146" s="1" t="n">
        <v>46303</v>
      </c>
      <c r="F146" t="inlineStr">
        <is>
          <t>KALMAR LÄN</t>
        </is>
      </c>
      <c r="G146" t="inlineStr">
        <is>
          <t>HÖGSBY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46303</v>
      </c>
      <c r="F147" t="inlineStr">
        <is>
          <t>KALMAR LÄN</t>
        </is>
      </c>
      <c r="G147" t="inlineStr">
        <is>
          <t>HÖGSBY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45307</v>
      </c>
      <c r="E148" s="1" t="n">
        <v>46303</v>
      </c>
      <c r="F148" t="inlineStr">
        <is>
          <t>KALMAR LÄN</t>
        </is>
      </c>
      <c r="G148" t="inlineStr">
        <is>
          <t>HÖGSBY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46303</v>
      </c>
      <c r="F149" t="inlineStr">
        <is>
          <t>KALMAR LÄN</t>
        </is>
      </c>
      <c r="G149" t="inlineStr">
        <is>
          <t>HÖGSBY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46303</v>
      </c>
      <c r="F150" t="inlineStr">
        <is>
          <t>KALMAR LÄN</t>
        </is>
      </c>
      <c r="G150" t="inlineStr">
        <is>
          <t>HÖGSBY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44496</v>
      </c>
      <c r="E151" s="1" t="n">
        <v>46303</v>
      </c>
      <c r="F151" t="inlineStr">
        <is>
          <t>KALMAR LÄN</t>
        </is>
      </c>
      <c r="G151" t="inlineStr">
        <is>
          <t>HÖGSBY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46303</v>
      </c>
      <c r="F152" t="inlineStr">
        <is>
          <t>KALMAR LÄN</t>
        </is>
      </c>
      <c r="G152" t="inlineStr">
        <is>
          <t>HÖGSBY</t>
        </is>
      </c>
      <c r="H152" t="inlineStr">
        <is>
          <t>Kyrkan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46303</v>
      </c>
      <c r="F153" t="inlineStr">
        <is>
          <t>KALMAR LÄN</t>
        </is>
      </c>
      <c r="G153" t="inlineStr">
        <is>
          <t>HÖGSBY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46303</v>
      </c>
      <c r="F154" t="inlineStr">
        <is>
          <t>KALMAR LÄN</t>
        </is>
      </c>
      <c r="G154" t="inlineStr">
        <is>
          <t>HÖGSBY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46303</v>
      </c>
      <c r="F155" t="inlineStr">
        <is>
          <t>KALMAR LÄN</t>
        </is>
      </c>
      <c r="G155" t="inlineStr">
        <is>
          <t>HÖGSBY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46303</v>
      </c>
      <c r="F156" t="inlineStr">
        <is>
          <t>KALMAR LÄN</t>
        </is>
      </c>
      <c r="G156" t="inlineStr">
        <is>
          <t>HÖGSBY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46303</v>
      </c>
      <c r="F157" t="inlineStr">
        <is>
          <t>KALMAR LÄN</t>
        </is>
      </c>
      <c r="G157" t="inlineStr">
        <is>
          <t>HÖGSBY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73709-2021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44552</v>
      </c>
      <c r="E158" s="1" t="n">
        <v>46303</v>
      </c>
      <c r="F158" t="inlineStr">
        <is>
          <t>KALMAR LÄN</t>
        </is>
      </c>
      <c r="G158" t="inlineStr">
        <is>
          <t>HÖGSBY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45393</v>
      </c>
      <c r="E159" s="1" t="n">
        <v>46303</v>
      </c>
      <c r="F159" t="inlineStr">
        <is>
          <t>KALMAR LÄN</t>
        </is>
      </c>
      <c r="G159" t="inlineStr">
        <is>
          <t>HÖGSBY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45176</v>
      </c>
      <c r="E160" s="1" t="n">
        <v>46303</v>
      </c>
      <c r="F160" t="inlineStr">
        <is>
          <t>KALMAR LÄN</t>
        </is>
      </c>
      <c r="G160" t="inlineStr">
        <is>
          <t>HÖGSBY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46303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45348</v>
      </c>
      <c r="E162" s="1" t="n">
        <v>46303</v>
      </c>
      <c r="F162" t="inlineStr">
        <is>
          <t>KALMAR LÄN</t>
        </is>
      </c>
      <c r="G162" t="inlineStr">
        <is>
          <t>HÖGSBY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44972</v>
      </c>
      <c r="E163" s="1" t="n">
        <v>46303</v>
      </c>
      <c r="F163" t="inlineStr">
        <is>
          <t>KALMAR LÄN</t>
        </is>
      </c>
      <c r="G163" t="inlineStr">
        <is>
          <t>HÖGSBY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46303</v>
      </c>
      <c r="F164" t="inlineStr">
        <is>
          <t>KALMAR LÄN</t>
        </is>
      </c>
      <c r="G164" t="inlineStr">
        <is>
          <t>HÖGSBY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45360</v>
      </c>
      <c r="E165" s="1" t="n">
        <v>46303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46303</v>
      </c>
      <c r="F166" t="inlineStr">
        <is>
          <t>KALMAR LÄN</t>
        </is>
      </c>
      <c r="G166" t="inlineStr">
        <is>
          <t>HÖGSBY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46303</v>
      </c>
      <c r="F167" t="inlineStr">
        <is>
          <t>KALMAR LÄN</t>
        </is>
      </c>
      <c r="G167" t="inlineStr">
        <is>
          <t>HÖGSBY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45614</v>
      </c>
      <c r="E168" s="1" t="n">
        <v>46303</v>
      </c>
      <c r="F168" t="inlineStr">
        <is>
          <t>KALMAR LÄN</t>
        </is>
      </c>
      <c r="G168" t="inlineStr">
        <is>
          <t>HÖGSBY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46303</v>
      </c>
      <c r="F169" t="inlineStr">
        <is>
          <t>KALMAR LÄN</t>
        </is>
      </c>
      <c r="G169" t="inlineStr">
        <is>
          <t>HÖGSBY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44987</v>
      </c>
      <c r="E170" s="1" t="n">
        <v>46303</v>
      </c>
      <c r="F170" t="inlineStr">
        <is>
          <t>KALMAR LÄN</t>
        </is>
      </c>
      <c r="G170" t="inlineStr">
        <is>
          <t>HÖGSBY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44993</v>
      </c>
      <c r="E171" s="1" t="n">
        <v>46303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45946</v>
      </c>
      <c r="E172" s="1" t="n">
        <v>46303</v>
      </c>
      <c r="F172" t="inlineStr">
        <is>
          <t>KALMAR LÄN</t>
        </is>
      </c>
      <c r="G172" t="inlineStr">
        <is>
          <t>HÖGSBY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45946</v>
      </c>
      <c r="E173" s="1" t="n">
        <v>46303</v>
      </c>
      <c r="F173" t="inlineStr">
        <is>
          <t>KALMAR LÄN</t>
        </is>
      </c>
      <c r="G173" t="inlineStr">
        <is>
          <t>HÖGSBY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57006-2024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45626</v>
      </c>
      <c r="E174" s="1" t="n">
        <v>46303</v>
      </c>
      <c r="F174" t="inlineStr">
        <is>
          <t>KALMAR LÄN</t>
        </is>
      </c>
      <c r="G174" t="inlineStr">
        <is>
          <t>HÖGSBY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45946</v>
      </c>
      <c r="E175" s="1" t="n">
        <v>46303</v>
      </c>
      <c r="F175" t="inlineStr">
        <is>
          <t>KALMAR LÄN</t>
        </is>
      </c>
      <c r="G175" t="inlineStr">
        <is>
          <t>HÖGSBY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46303</v>
      </c>
      <c r="F176" t="inlineStr">
        <is>
          <t>KALMAR LÄN</t>
        </is>
      </c>
      <c r="G176" t="inlineStr">
        <is>
          <t>HÖGSBY</t>
        </is>
      </c>
      <c r="I176" t="n">
        <v>12.8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46303</v>
      </c>
      <c r="F177" t="inlineStr">
        <is>
          <t>KALMAR LÄN</t>
        </is>
      </c>
      <c r="G177" t="inlineStr">
        <is>
          <t>HÖGSBY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46303</v>
      </c>
      <c r="F178" t="inlineStr">
        <is>
          <t>KALMAR LÄN</t>
        </is>
      </c>
      <c r="G178" t="inlineStr">
        <is>
          <t>HÖGSBY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45348</v>
      </c>
      <c r="E179" s="1" t="n">
        <v>46303</v>
      </c>
      <c r="F179" t="inlineStr">
        <is>
          <t>KALMAR LÄN</t>
        </is>
      </c>
      <c r="G179" t="inlineStr">
        <is>
          <t>HÖGSBY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45239</v>
      </c>
      <c r="E180" s="1" t="n">
        <v>46303</v>
      </c>
      <c r="F180" t="inlineStr">
        <is>
          <t>KALMAR LÄN</t>
        </is>
      </c>
      <c r="G180" t="inlineStr">
        <is>
          <t>HÖGSBY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45953</v>
      </c>
      <c r="E181" s="1" t="n">
        <v>46303</v>
      </c>
      <c r="F181" t="inlineStr">
        <is>
          <t>KALMAR LÄN</t>
        </is>
      </c>
      <c r="G181" t="inlineStr">
        <is>
          <t>HÖGSBY</t>
        </is>
      </c>
      <c r="H181" t="inlineStr">
        <is>
          <t>Kyrkan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46303</v>
      </c>
      <c r="F182" t="inlineStr">
        <is>
          <t>KALMAR LÄN</t>
        </is>
      </c>
      <c r="G182" t="inlineStr">
        <is>
          <t>HÖGSBY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46303</v>
      </c>
      <c r="F183" t="inlineStr">
        <is>
          <t>KALMAR LÄN</t>
        </is>
      </c>
      <c r="G183" t="inlineStr">
        <is>
          <t>HÖGSBY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45847</v>
      </c>
      <c r="E184" s="1" t="n">
        <v>46303</v>
      </c>
      <c r="F184" t="inlineStr">
        <is>
          <t>KALMAR LÄN</t>
        </is>
      </c>
      <c r="G184" t="inlineStr">
        <is>
          <t>HÖGSBY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45847</v>
      </c>
      <c r="E185" s="1" t="n">
        <v>46303</v>
      </c>
      <c r="F185" t="inlineStr">
        <is>
          <t>KALMAR LÄN</t>
        </is>
      </c>
      <c r="G185" t="inlineStr">
        <is>
          <t>HÖGSBY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46303</v>
      </c>
      <c r="F186" t="inlineStr">
        <is>
          <t>KALMAR LÄN</t>
        </is>
      </c>
      <c r="G186" t="inlineStr">
        <is>
          <t>HÖGSBY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40135-2024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45554</v>
      </c>
      <c r="E187" s="1" t="n">
        <v>46303</v>
      </c>
      <c r="F187" t="inlineStr">
        <is>
          <t>KALMAR LÄN</t>
        </is>
      </c>
      <c r="G187" t="inlineStr">
        <is>
          <t>HÖGSBY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7325-2025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45702</v>
      </c>
      <c r="E188" s="1" t="n">
        <v>46303</v>
      </c>
      <c r="F188" t="inlineStr">
        <is>
          <t>KALMAR LÄN</t>
        </is>
      </c>
      <c r="G188" t="inlineStr">
        <is>
          <t>HÖGSBY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44625</v>
      </c>
      <c r="E189" s="1" t="n">
        <v>46303</v>
      </c>
      <c r="F189" t="inlineStr">
        <is>
          <t>KALMAR LÄN</t>
        </is>
      </c>
      <c r="G189" t="inlineStr">
        <is>
          <t>HÖGSBY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44625</v>
      </c>
      <c r="E190" s="1" t="n">
        <v>46303</v>
      </c>
      <c r="F190" t="inlineStr">
        <is>
          <t>KALMAR LÄN</t>
        </is>
      </c>
      <c r="G190" t="inlineStr">
        <is>
          <t>HÖGSBY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38068-2025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45882</v>
      </c>
      <c r="E191" s="1" t="n">
        <v>46303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45688</v>
      </c>
      <c r="E192" s="1" t="n">
        <v>46303</v>
      </c>
      <c r="F192" t="inlineStr">
        <is>
          <t>KALMAR LÄN</t>
        </is>
      </c>
      <c r="G192" t="inlineStr">
        <is>
          <t>HÖGSBY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47503-2023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45203</v>
      </c>
      <c r="E193" s="1" t="n">
        <v>46303</v>
      </c>
      <c r="F193" t="inlineStr">
        <is>
          <t>KALMAR LÄN</t>
        </is>
      </c>
      <c r="G193" t="inlineStr">
        <is>
          <t>HÖGSBY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45173</v>
      </c>
      <c r="E194" s="1" t="n">
        <v>46303</v>
      </c>
      <c r="F194" t="inlineStr">
        <is>
          <t>KALMAR LÄN</t>
        </is>
      </c>
      <c r="G194" t="inlineStr">
        <is>
          <t>HÖGSBY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22688-2025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45789</v>
      </c>
      <c r="E195" s="1" t="n">
        <v>46303</v>
      </c>
      <c r="F195" t="inlineStr">
        <is>
          <t>KALMAR LÄN</t>
        </is>
      </c>
      <c r="G195" t="inlineStr">
        <is>
          <t>HÖGSBY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45194</v>
      </c>
      <c r="E196" s="1" t="n">
        <v>46303</v>
      </c>
      <c r="F196" t="inlineStr">
        <is>
          <t>KALMAR LÄN</t>
        </is>
      </c>
      <c r="G196" t="inlineStr">
        <is>
          <t>HÖGSBY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40155-2023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46303</v>
      </c>
      <c r="F197" t="inlineStr">
        <is>
          <t>KALMAR LÄN</t>
        </is>
      </c>
      <c r="G197" t="inlineStr">
        <is>
          <t>HÖGSBY</t>
        </is>
      </c>
      <c r="H197" t="inlineStr">
        <is>
          <t>Kommuner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46303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38797-2024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45547</v>
      </c>
      <c r="E199" s="1" t="n">
        <v>46303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44991</v>
      </c>
      <c r="E200" s="1" t="n">
        <v>46303</v>
      </c>
      <c r="F200" t="inlineStr">
        <is>
          <t>KALMAR LÄN</t>
        </is>
      </c>
      <c r="G200" t="inlineStr">
        <is>
          <t>HÖGSBY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46303</v>
      </c>
      <c r="F201" t="inlineStr">
        <is>
          <t>KALMAR LÄN</t>
        </is>
      </c>
      <c r="G201" t="inlineStr">
        <is>
          <t>HÖGSBY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45320</v>
      </c>
      <c r="E202" s="1" t="n">
        <v>46303</v>
      </c>
      <c r="F202" t="inlineStr">
        <is>
          <t>KALMAR LÄN</t>
        </is>
      </c>
      <c r="G202" t="inlineStr">
        <is>
          <t>HÖGSBY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46303</v>
      </c>
      <c r="F203" t="inlineStr">
        <is>
          <t>KALMAR LÄN</t>
        </is>
      </c>
      <c r="G203" t="inlineStr">
        <is>
          <t>HÖGSBY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63508-2025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46303</v>
      </c>
      <c r="F204" t="inlineStr">
        <is>
          <t>KALMAR LÄN</t>
        </is>
      </c>
      <c r="G204" t="inlineStr">
        <is>
          <t>HÖGSBY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39892-2024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46303</v>
      </c>
      <c r="F205" t="inlineStr">
        <is>
          <t>KALMAR LÄN</t>
        </is>
      </c>
      <c r="G205" t="inlineStr">
        <is>
          <t>HÖGSBY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63508-2025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46303</v>
      </c>
      <c r="F206" t="inlineStr">
        <is>
          <t>KALMAR LÄN</t>
        </is>
      </c>
      <c r="G206" t="inlineStr">
        <is>
          <t>HÖGSBY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46303</v>
      </c>
      <c r="F207" t="inlineStr">
        <is>
          <t>KALMAR LÄN</t>
        </is>
      </c>
      <c r="G207" t="inlineStr">
        <is>
          <t>HÖGSBY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50414-2024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46303</v>
      </c>
      <c r="F208" t="inlineStr">
        <is>
          <t>KALMAR LÄN</t>
        </is>
      </c>
      <c r="G208" t="inlineStr">
        <is>
          <t>HÖGSBY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46303</v>
      </c>
      <c r="F209" t="inlineStr">
        <is>
          <t>KALMAR LÄN</t>
        </is>
      </c>
      <c r="G209" t="inlineStr">
        <is>
          <t>HÖGSBY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45638</v>
      </c>
      <c r="E210" s="1" t="n">
        <v>46303</v>
      </c>
      <c r="F210" t="inlineStr">
        <is>
          <t>KALMAR LÄN</t>
        </is>
      </c>
      <c r="G210" t="inlineStr">
        <is>
          <t>HÖGSBY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46303</v>
      </c>
      <c r="F211" t="inlineStr">
        <is>
          <t>KALMAR LÄN</t>
        </is>
      </c>
      <c r="G211" t="inlineStr">
        <is>
          <t>HÖGSBY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45090</v>
      </c>
      <c r="E212" s="1" t="n">
        <v>46303</v>
      </c>
      <c r="F212" t="inlineStr">
        <is>
          <t>KALMAR LÄN</t>
        </is>
      </c>
      <c r="G212" t="inlineStr">
        <is>
          <t>HÖGSBY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45266</v>
      </c>
      <c r="E213" s="1" t="n">
        <v>46303</v>
      </c>
      <c r="F213" t="inlineStr">
        <is>
          <t>KALMAR LÄN</t>
        </is>
      </c>
      <c r="G213" t="inlineStr">
        <is>
          <t>HÖGSBY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45160</v>
      </c>
      <c r="E214" s="1" t="n">
        <v>46303</v>
      </c>
      <c r="F214" t="inlineStr">
        <is>
          <t>KALMAR LÄN</t>
        </is>
      </c>
      <c r="G214" t="inlineStr">
        <is>
          <t>HÖGSBY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65130-2023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45288</v>
      </c>
      <c r="E215" s="1" t="n">
        <v>46303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17185-2022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44677</v>
      </c>
      <c r="E216" s="1" t="n">
        <v>46303</v>
      </c>
      <c r="F216" t="inlineStr">
        <is>
          <t>KALMAR LÄN</t>
        </is>
      </c>
      <c r="G216" t="inlineStr">
        <is>
          <t>HÖGSBY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45190</v>
      </c>
      <c r="E217" s="1" t="n">
        <v>46303</v>
      </c>
      <c r="F217" t="inlineStr">
        <is>
          <t>KALMAR LÄN</t>
        </is>
      </c>
      <c r="G217" t="inlineStr">
        <is>
          <t>HÖGSBY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46303</v>
      </c>
      <c r="F218" t="inlineStr">
        <is>
          <t>KALMAR LÄN</t>
        </is>
      </c>
      <c r="G218" t="inlineStr">
        <is>
          <t>HÖGSBY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46150</v>
      </c>
      <c r="E219" s="1" t="n">
        <v>46303</v>
      </c>
      <c r="F219" t="inlineStr">
        <is>
          <t>KALMAR LÄN</t>
        </is>
      </c>
      <c r="G219" t="inlineStr">
        <is>
          <t>HÖGSBY</t>
        </is>
      </c>
      <c r="H219" t="inlineStr">
        <is>
          <t>Kommuner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46303</v>
      </c>
      <c r="F220" t="inlineStr">
        <is>
          <t>KALMAR LÄN</t>
        </is>
      </c>
      <c r="G220" t="inlineStr">
        <is>
          <t>HÖGSBY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57000-2024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45626</v>
      </c>
      <c r="E221" s="1" t="n">
        <v>46303</v>
      </c>
      <c r="F221" t="inlineStr">
        <is>
          <t>KALMAR LÄN</t>
        </is>
      </c>
      <c r="G221" t="inlineStr">
        <is>
          <t>HÖGSBY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46303</v>
      </c>
      <c r="F222" t="inlineStr">
        <is>
          <t>KALMAR LÄN</t>
        </is>
      </c>
      <c r="G222" t="inlineStr">
        <is>
          <t>HÖGSBY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46303</v>
      </c>
      <c r="F223" t="inlineStr">
        <is>
          <t>KALMAR LÄN</t>
        </is>
      </c>
      <c r="G223" t="inlineStr">
        <is>
          <t>HÖGSBY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45113</v>
      </c>
      <c r="E224" s="1" t="n">
        <v>46303</v>
      </c>
      <c r="F224" t="inlineStr">
        <is>
          <t>KALMAR LÄN</t>
        </is>
      </c>
      <c r="G224" t="inlineStr">
        <is>
          <t>HÖGSBY</t>
        </is>
      </c>
      <c r="I224" t="n">
        <v>11.6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46303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46303</v>
      </c>
      <c r="F226" t="inlineStr">
        <is>
          <t>KALMAR LÄN</t>
        </is>
      </c>
      <c r="G226" t="inlineStr">
        <is>
          <t>HÖGSBY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46303</v>
      </c>
      <c r="F227" t="inlineStr">
        <is>
          <t>KALMAR LÄN</t>
        </is>
      </c>
      <c r="G227" t="inlineStr">
        <is>
          <t>HÖGSBY</t>
        </is>
      </c>
      <c r="H227" t="inlineStr">
        <is>
          <t>Kyrkan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60853-2021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44496</v>
      </c>
      <c r="E228" s="1" t="n">
        <v>46303</v>
      </c>
      <c r="F228" t="inlineStr">
        <is>
          <t>KALMAR LÄN</t>
        </is>
      </c>
      <c r="G228" t="inlineStr">
        <is>
          <t>HÖGSBY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54483-2022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46303</v>
      </c>
      <c r="F229" t="inlineStr">
        <is>
          <t>KALMAR LÄN</t>
        </is>
      </c>
      <c r="G229" t="inlineStr">
        <is>
          <t>HÖGSBY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22562-2026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46155</v>
      </c>
      <c r="E230" s="1" t="n">
        <v>46303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22564-2026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46155</v>
      </c>
      <c r="E231" s="1" t="n">
        <v>46303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45247</v>
      </c>
      <c r="E232" s="1" t="n">
        <v>46303</v>
      </c>
      <c r="F232" t="inlineStr">
        <is>
          <t>KALMAR LÄN</t>
        </is>
      </c>
      <c r="G232" t="inlineStr">
        <is>
          <t>HÖGSBY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46303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46303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46303</v>
      </c>
      <c r="F235" t="inlineStr">
        <is>
          <t>KALMAR LÄN</t>
        </is>
      </c>
      <c r="G235" t="inlineStr">
        <is>
          <t>HÖGSBY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63379-2023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45274</v>
      </c>
      <c r="E236" s="1" t="n">
        <v>46303</v>
      </c>
      <c r="F236" t="inlineStr">
        <is>
          <t>KALMAR LÄN</t>
        </is>
      </c>
      <c r="G236" t="inlineStr">
        <is>
          <t>HÖGSBY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45154</v>
      </c>
      <c r="E237" s="1" t="n">
        <v>46303</v>
      </c>
      <c r="F237" t="inlineStr">
        <is>
          <t>KALMAR LÄN</t>
        </is>
      </c>
      <c r="G237" t="inlineStr">
        <is>
          <t>HÖGSBY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46303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46303</v>
      </c>
      <c r="F239" t="inlineStr">
        <is>
          <t>KALMAR LÄN</t>
        </is>
      </c>
      <c r="G239" t="inlineStr">
        <is>
          <t>HÖGSBY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23209-2026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46162</v>
      </c>
      <c r="E240" s="1" t="n">
        <v>46303</v>
      </c>
      <c r="F240" t="inlineStr">
        <is>
          <t>KALMAR LÄN</t>
        </is>
      </c>
      <c r="G240" t="inlineStr">
        <is>
          <t>HÖGSBY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46303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46303</v>
      </c>
      <c r="F242" t="inlineStr">
        <is>
          <t>KALMAR LÄN</t>
        </is>
      </c>
      <c r="G242" t="inlineStr">
        <is>
          <t>HÖGSBY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46303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44760</v>
      </c>
      <c r="E244" s="1" t="n">
        <v>46303</v>
      </c>
      <c r="F244" t="inlineStr">
        <is>
          <t>KALMAR LÄN</t>
        </is>
      </c>
      <c r="G244" t="inlineStr">
        <is>
          <t>HÖGSBY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46303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32049-2023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45119</v>
      </c>
      <c r="E246" s="1" t="n">
        <v>46303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46161</v>
      </c>
      <c r="E247" s="1" t="n">
        <v>46303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62720-2025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46008</v>
      </c>
      <c r="E248" s="1" t="n">
        <v>46303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62722-2025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46008</v>
      </c>
      <c r="E249" s="1" t="n">
        <v>46303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46303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45259</v>
      </c>
      <c r="E251" s="1" t="n">
        <v>46303</v>
      </c>
      <c r="F251" t="inlineStr">
        <is>
          <t>KALMAR LÄN</t>
        </is>
      </c>
      <c r="G251" t="inlineStr">
        <is>
          <t>HÖGSBY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46303</v>
      </c>
      <c r="F252" t="inlineStr">
        <is>
          <t>KALMAR LÄN</t>
        </is>
      </c>
      <c r="G252" t="inlineStr">
        <is>
          <t>HÖGSBY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46303</v>
      </c>
      <c r="F253" t="inlineStr">
        <is>
          <t>KALMAR LÄN</t>
        </is>
      </c>
      <c r="G253" t="inlineStr">
        <is>
          <t>HÖGSBY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44999</v>
      </c>
      <c r="E254" s="1" t="n">
        <v>46303</v>
      </c>
      <c r="F254" t="inlineStr">
        <is>
          <t>KALMAR LÄN</t>
        </is>
      </c>
      <c r="G254" t="inlineStr">
        <is>
          <t>HÖGSBY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23937-2026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46167</v>
      </c>
      <c r="E255" s="1" t="n">
        <v>46303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46303</v>
      </c>
      <c r="F256" t="inlineStr">
        <is>
          <t>KALMAR LÄN</t>
        </is>
      </c>
      <c r="G256" t="inlineStr">
        <is>
          <t>HÖGSBY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46303</v>
      </c>
      <c r="F257" t="inlineStr">
        <is>
          <t>KALMAR LÄN</t>
        </is>
      </c>
      <c r="G257" t="inlineStr">
        <is>
          <t>HÖGSBY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46169</v>
      </c>
      <c r="E258" s="1" t="n">
        <v>46303</v>
      </c>
      <c r="F258" t="inlineStr">
        <is>
          <t>KALMAR LÄN</t>
        </is>
      </c>
      <c r="G258" t="inlineStr">
        <is>
          <t>HÖGSBY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45306</v>
      </c>
      <c r="E259" s="1" t="n">
        <v>46303</v>
      </c>
      <c r="F259" t="inlineStr">
        <is>
          <t>KALMAR LÄN</t>
        </is>
      </c>
      <c r="G259" t="inlineStr">
        <is>
          <t>HÖGSBY</t>
        </is>
      </c>
      <c r="H259" t="inlineStr">
        <is>
          <t>Övriga Aktiebolag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24601-2024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45460</v>
      </c>
      <c r="E260" s="1" t="n">
        <v>46303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14.7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46303</v>
      </c>
      <c r="F261" t="inlineStr">
        <is>
          <t>KALMAR LÄN</t>
        </is>
      </c>
      <c r="G261" t="inlineStr">
        <is>
          <t>HÖGSBY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46303</v>
      </c>
      <c r="F262" t="inlineStr">
        <is>
          <t>KALMAR LÄN</t>
        </is>
      </c>
      <c r="G262" t="inlineStr">
        <is>
          <t>HÖGSBY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46176</v>
      </c>
      <c r="E263" s="1" t="n">
        <v>46303</v>
      </c>
      <c r="F263" t="inlineStr">
        <is>
          <t>KALMAR LÄN</t>
        </is>
      </c>
      <c r="G263" t="inlineStr">
        <is>
          <t>HÖGSBY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74478-2021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44559</v>
      </c>
      <c r="E264" s="1" t="n">
        <v>46303</v>
      </c>
      <c r="F264" t="inlineStr">
        <is>
          <t>KALMAR LÄN</t>
        </is>
      </c>
      <c r="G264" t="inlineStr">
        <is>
          <t>HÖGSBY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46037</v>
      </c>
      <c r="E265" s="1" t="n">
        <v>46303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46181</v>
      </c>
      <c r="E266" s="1" t="n">
        <v>46303</v>
      </c>
      <c r="F266" t="inlineStr">
        <is>
          <t>KALMAR LÄN</t>
        </is>
      </c>
      <c r="G266" t="inlineStr">
        <is>
          <t>HÖGSBY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46303</v>
      </c>
      <c r="F267" t="inlineStr">
        <is>
          <t>KALMAR LÄN</t>
        </is>
      </c>
      <c r="G267" t="inlineStr">
        <is>
          <t>HÖGSBY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46303</v>
      </c>
      <c r="F268" t="inlineStr">
        <is>
          <t>KALMAR LÄN</t>
        </is>
      </c>
      <c r="G268" t="inlineStr">
        <is>
          <t>HÖGSBY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46303</v>
      </c>
      <c r="F269" t="inlineStr">
        <is>
          <t>KALMAR LÄN</t>
        </is>
      </c>
      <c r="G269" t="inlineStr">
        <is>
          <t>HÖGSBY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46303</v>
      </c>
      <c r="F270" t="inlineStr">
        <is>
          <t>KALMAR LÄN</t>
        </is>
      </c>
      <c r="G270" t="inlineStr">
        <is>
          <t>HÖGSBY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46303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26764-2026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46303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56705-2023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45244</v>
      </c>
      <c r="E273" s="1" t="n">
        <v>46303</v>
      </c>
      <c r="F273" t="inlineStr">
        <is>
          <t>KALMAR LÄN</t>
        </is>
      </c>
      <c r="G273" t="inlineStr">
        <is>
          <t>HÖGSBY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46303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38824-2024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45547</v>
      </c>
      <c r="E275" s="1" t="n">
        <v>46303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46303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46303</v>
      </c>
      <c r="F277" t="inlineStr">
        <is>
          <t>KALMAR LÄN</t>
        </is>
      </c>
      <c r="G277" t="inlineStr">
        <is>
          <t>HÖGSBY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45329</v>
      </c>
      <c r="E278" s="1" t="n">
        <v>46303</v>
      </c>
      <c r="F278" t="inlineStr">
        <is>
          <t>KALMAR LÄN</t>
        </is>
      </c>
      <c r="G278" t="inlineStr">
        <is>
          <t>HÖGSBY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46303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7443-2026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46059</v>
      </c>
      <c r="E280" s="1" t="n">
        <v>46303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46303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49486-2022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44861</v>
      </c>
      <c r="E282" s="1" t="n">
        <v>46303</v>
      </c>
      <c r="F282" t="inlineStr">
        <is>
          <t>KALMAR LÄN</t>
        </is>
      </c>
      <c r="G282" t="inlineStr">
        <is>
          <t>HÖGSBY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54735-2025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46303</v>
      </c>
      <c r="F283" t="inlineStr">
        <is>
          <t>KALMAR LÄN</t>
        </is>
      </c>
      <c r="G283" t="inlineStr">
        <is>
          <t>HÖGSBY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45093</v>
      </c>
      <c r="E284" s="1" t="n">
        <v>46303</v>
      </c>
      <c r="F284" t="inlineStr">
        <is>
          <t>KALMAR LÄN</t>
        </is>
      </c>
      <c r="G284" t="inlineStr">
        <is>
          <t>HÖGSBY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28573-2026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46303</v>
      </c>
      <c r="F285" t="inlineStr">
        <is>
          <t>KALMAR LÄN</t>
        </is>
      </c>
      <c r="G285" t="inlineStr">
        <is>
          <t>HÖGSBY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46303</v>
      </c>
      <c r="F286" t="inlineStr">
        <is>
          <t>KALMAR LÄN</t>
        </is>
      </c>
      <c r="G286" t="inlineStr">
        <is>
          <t>HÖGSBY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71635-2021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44543</v>
      </c>
      <c r="E287" s="1" t="n">
        <v>46303</v>
      </c>
      <c r="F287" t="inlineStr">
        <is>
          <t>KALMAR LÄN</t>
        </is>
      </c>
      <c r="G287" t="inlineStr">
        <is>
          <t>HÖGSBY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8613-2022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44613</v>
      </c>
      <c r="E288" s="1" t="n">
        <v>46303</v>
      </c>
      <c r="F288" t="inlineStr">
        <is>
          <t>KALMAR LÄN</t>
        </is>
      </c>
      <c r="G288" t="inlineStr">
        <is>
          <t>HÖGSBY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28265-2026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46303</v>
      </c>
      <c r="F289" t="inlineStr">
        <is>
          <t>KALMAR LÄN</t>
        </is>
      </c>
      <c r="G289" t="inlineStr">
        <is>
          <t>HÖGSBY</t>
        </is>
      </c>
      <c r="H289" t="inlineStr">
        <is>
          <t>Kommuner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44953</v>
      </c>
      <c r="E290" s="1" t="n">
        <v>46303</v>
      </c>
      <c r="F290" t="inlineStr">
        <is>
          <t>KALMAR LÄN</t>
        </is>
      </c>
      <c r="G290" t="inlineStr">
        <is>
          <t>HÖGSBY</t>
        </is>
      </c>
      <c r="H290" t="inlineStr">
        <is>
          <t>Övriga Aktiebolag</t>
        </is>
      </c>
      <c r="I290" t="n">
        <v>15.2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44601</v>
      </c>
      <c r="E291" s="1" t="n">
        <v>46303</v>
      </c>
      <c r="F291" t="inlineStr">
        <is>
          <t>KALMAR LÄN</t>
        </is>
      </c>
      <c r="G291" t="inlineStr">
        <is>
          <t>HÖGSBY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46079</v>
      </c>
      <c r="E292" s="1" t="n">
        <v>46303</v>
      </c>
      <c r="F292" t="inlineStr">
        <is>
          <t>KALMAR LÄN</t>
        </is>
      </c>
      <c r="G292" t="inlineStr">
        <is>
          <t>HÖGSBY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46303</v>
      </c>
      <c r="F293" t="inlineStr">
        <is>
          <t>KALMAR LÄN</t>
        </is>
      </c>
      <c r="G293" t="inlineStr">
        <is>
          <t>HÖGSBY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46303</v>
      </c>
      <c r="F294" t="inlineStr">
        <is>
          <t>KALMAR LÄN</t>
        </is>
      </c>
      <c r="G294" t="inlineStr">
        <is>
          <t>HÖGSBY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28702-2026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46198</v>
      </c>
      <c r="E295" s="1" t="n">
        <v>46303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28692-2026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46198</v>
      </c>
      <c r="E296" s="1" t="n">
        <v>46303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28713-2026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46198</v>
      </c>
      <c r="E297" s="1" t="n">
        <v>46303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46199</v>
      </c>
      <c r="E298" s="1" t="n">
        <v>46303</v>
      </c>
      <c r="F298" t="inlineStr">
        <is>
          <t>KALMAR LÄN</t>
        </is>
      </c>
      <c r="G298" t="inlineStr">
        <is>
          <t>HÖGSBY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46303</v>
      </c>
      <c r="F299" t="inlineStr">
        <is>
          <t>KALMAR LÄN</t>
        </is>
      </c>
      <c r="G299" t="inlineStr">
        <is>
          <t>HÖGSBY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46303</v>
      </c>
      <c r="F300" t="inlineStr">
        <is>
          <t>KALMAR LÄN</t>
        </is>
      </c>
      <c r="G300" t="inlineStr">
        <is>
          <t>HÖGSBY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28808-2026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46303</v>
      </c>
      <c r="F301" t="inlineStr">
        <is>
          <t>KALMAR LÄN</t>
        </is>
      </c>
      <c r="G301" t="inlineStr">
        <is>
          <t>HÖGSBY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28691-2026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46198</v>
      </c>
      <c r="E302" s="1" t="n">
        <v>46303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28697-2026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46303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46303</v>
      </c>
      <c r="F304" t="inlineStr">
        <is>
          <t>KALMAR LÄN</t>
        </is>
      </c>
      <c r="G304" t="inlineStr">
        <is>
          <t>HÖGSBY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45447</v>
      </c>
      <c r="E305" s="1" t="n">
        <v>46303</v>
      </c>
      <c r="F305" t="inlineStr">
        <is>
          <t>KALMAR LÄN</t>
        </is>
      </c>
      <c r="G305" t="inlineStr">
        <is>
          <t>HÖGSBY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46303</v>
      </c>
      <c r="F306" t="inlineStr">
        <is>
          <t>KALMAR LÄN</t>
        </is>
      </c>
      <c r="G306" t="inlineStr">
        <is>
          <t>HÖGSBY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46303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15034-2023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45015</v>
      </c>
      <c r="E308" s="1" t="n">
        <v>46303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58753-2022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44903</v>
      </c>
      <c r="E309" s="1" t="n">
        <v>46303</v>
      </c>
      <c r="F309" t="inlineStr">
        <is>
          <t>KALMAR LÄN</t>
        </is>
      </c>
      <c r="G309" t="inlineStr">
        <is>
          <t>HÖGSBY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46303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12.7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46303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46303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46206</v>
      </c>
      <c r="E313" s="1" t="n">
        <v>46303</v>
      </c>
      <c r="F313" t="inlineStr">
        <is>
          <t>KALMAR LÄN</t>
        </is>
      </c>
      <c r="G313" t="inlineStr">
        <is>
          <t>HÖGSBY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14894-2025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45743</v>
      </c>
      <c r="E314" s="1" t="n">
        <v>46303</v>
      </c>
      <c r="F314" t="inlineStr">
        <is>
          <t>KALMAR LÄN</t>
        </is>
      </c>
      <c r="G314" t="inlineStr">
        <is>
          <t>HÖGSBY</t>
        </is>
      </c>
      <c r="H314" t="inlineStr">
        <is>
          <t>Kommuner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46303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45217</v>
      </c>
      <c r="E316" s="1" t="n">
        <v>46303</v>
      </c>
      <c r="F316" t="inlineStr">
        <is>
          <t>KALMAR LÄN</t>
        </is>
      </c>
      <c r="G316" t="inlineStr">
        <is>
          <t>HÖGSBY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46107</v>
      </c>
      <c r="E317" s="1" t="n">
        <v>46303</v>
      </c>
      <c r="F317" t="inlineStr">
        <is>
          <t>KALMAR LÄN</t>
        </is>
      </c>
      <c r="G317" t="inlineStr">
        <is>
          <t>HÖGSBY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46303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46303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46303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44725</v>
      </c>
      <c r="E321" s="1" t="n">
        <v>46303</v>
      </c>
      <c r="F321" t="inlineStr">
        <is>
          <t>KALMAR LÄN</t>
        </is>
      </c>
      <c r="G321" t="inlineStr">
        <is>
          <t>HÖGSBY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46303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44981</v>
      </c>
      <c r="E323" s="1" t="n">
        <v>46303</v>
      </c>
      <c r="F323" t="inlineStr">
        <is>
          <t>KALMAR LÄN</t>
        </is>
      </c>
      <c r="G323" t="inlineStr">
        <is>
          <t>HÖGSBY</t>
        </is>
      </c>
      <c r="H323" t="inlineStr">
        <is>
          <t>Övriga Aktiebolag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46303</v>
      </c>
      <c r="F324" t="inlineStr">
        <is>
          <t>KALMAR LÄN</t>
        </is>
      </c>
      <c r="G324" t="inlineStr">
        <is>
          <t>HÖGSBY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45183</v>
      </c>
      <c r="E325" s="1" t="n">
        <v>46303</v>
      </c>
      <c r="F325" t="inlineStr">
        <is>
          <t>KALMAR LÄN</t>
        </is>
      </c>
      <c r="G325" t="inlineStr">
        <is>
          <t>HÖGSBY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46303</v>
      </c>
      <c r="F326" t="inlineStr">
        <is>
          <t>KALMAR LÄN</t>
        </is>
      </c>
      <c r="G326" t="inlineStr">
        <is>
          <t>HÖGSBY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17934-2026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46303</v>
      </c>
      <c r="F327" t="inlineStr">
        <is>
          <t>KALMAR LÄN</t>
        </is>
      </c>
      <c r="G327" t="inlineStr">
        <is>
          <t>HÖGSBY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46303</v>
      </c>
      <c r="F328" t="inlineStr">
        <is>
          <t>KALMAR LÄN</t>
        </is>
      </c>
      <c r="G328" t="inlineStr">
        <is>
          <t>HÖGSBY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44950</v>
      </c>
      <c r="E329" s="1" t="n">
        <v>46303</v>
      </c>
      <c r="F329" t="inlineStr">
        <is>
          <t>KALMAR LÄN</t>
        </is>
      </c>
      <c r="G329" t="inlineStr">
        <is>
          <t>HÖGSBY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46303</v>
      </c>
      <c r="F330" t="inlineStr">
        <is>
          <t>KALMAR LÄN</t>
        </is>
      </c>
      <c r="G330" t="inlineStr">
        <is>
          <t>HÖGSBY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19484-2026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46303</v>
      </c>
      <c r="F331" t="inlineStr">
        <is>
          <t>KALMAR LÄN</t>
        </is>
      </c>
      <c r="G331" t="inlineStr">
        <is>
          <t>HÖGSBY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46303</v>
      </c>
      <c r="F332" t="inlineStr">
        <is>
          <t>KALMAR LÄN</t>
        </is>
      </c>
      <c r="G332" t="inlineStr">
        <is>
          <t>HÖGSBY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45727</v>
      </c>
      <c r="E333" s="1" t="n">
        <v>46303</v>
      </c>
      <c r="F333" t="inlineStr">
        <is>
          <t>KALMAR LÄN</t>
        </is>
      </c>
      <c r="G333" t="inlineStr">
        <is>
          <t>HÖGSBY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43544-2025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45911</v>
      </c>
      <c r="E334" s="1" t="n">
        <v>46303</v>
      </c>
      <c r="F334" t="inlineStr">
        <is>
          <t>KALMAR LÄN</t>
        </is>
      </c>
      <c r="G334" t="inlineStr">
        <is>
          <t>HÖGSBY</t>
        </is>
      </c>
      <c r="H334" t="inlineStr">
        <is>
          <t>Kommuner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46303</v>
      </c>
      <c r="F335" t="inlineStr">
        <is>
          <t>KALMAR LÄN</t>
        </is>
      </c>
      <c r="G335" t="inlineStr">
        <is>
          <t>HÖGSBY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14394-2023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46303</v>
      </c>
      <c r="F336" t="inlineStr">
        <is>
          <t>KALMAR LÄN</t>
        </is>
      </c>
      <c r="G336" t="inlineStr">
        <is>
          <t>HÖGSBY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35914-2026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46266</v>
      </c>
      <c r="E337" s="1" t="n">
        <v>46303</v>
      </c>
      <c r="F337" t="inlineStr">
        <is>
          <t>KALMAR LÄN</t>
        </is>
      </c>
      <c r="G337" t="inlineStr">
        <is>
          <t>HÖGSBY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45126</v>
      </c>
      <c r="E338" s="1" t="n">
        <v>46303</v>
      </c>
      <c r="F338" t="inlineStr">
        <is>
          <t>KALMAR LÄN</t>
        </is>
      </c>
      <c r="G338" t="inlineStr">
        <is>
          <t>HÖGSBY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43557-2025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46303</v>
      </c>
      <c r="F339" t="inlineStr">
        <is>
          <t>KALMAR LÄN</t>
        </is>
      </c>
      <c r="G339" t="inlineStr">
        <is>
          <t>HÖGSBY</t>
        </is>
      </c>
      <c r="H339" t="inlineStr">
        <is>
          <t>Kommuner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45793</v>
      </c>
      <c r="E340" s="1" t="n">
        <v>46303</v>
      </c>
      <c r="F340" t="inlineStr">
        <is>
          <t>KALMAR LÄN</t>
        </is>
      </c>
      <c r="G340" t="inlineStr">
        <is>
          <t>HÖGSBY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51724-2025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45951</v>
      </c>
      <c r="E341" s="1" t="n">
        <v>46303</v>
      </c>
      <c r="F341" t="inlineStr">
        <is>
          <t>KALMAR LÄN</t>
        </is>
      </c>
      <c r="G341" t="inlineStr">
        <is>
          <t>HÖGSBY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46303</v>
      </c>
      <c r="F342" t="inlineStr">
        <is>
          <t>KALMAR LÄN</t>
        </is>
      </c>
      <c r="G342" t="inlineStr">
        <is>
          <t>HÖGSBY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46303</v>
      </c>
      <c r="F343" t="inlineStr">
        <is>
          <t>KALMAR LÄN</t>
        </is>
      </c>
      <c r="G343" t="inlineStr">
        <is>
          <t>HÖGSBY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45901</v>
      </c>
      <c r="E344" s="1" t="n">
        <v>46303</v>
      </c>
      <c r="F344" t="inlineStr">
        <is>
          <t>KALMAR LÄN</t>
        </is>
      </c>
      <c r="G344" t="inlineStr">
        <is>
          <t>HÖGSBY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37497-2022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44809</v>
      </c>
      <c r="E345" s="1" t="n">
        <v>46303</v>
      </c>
      <c r="F345" t="inlineStr">
        <is>
          <t>KALMAR LÄN</t>
        </is>
      </c>
      <c r="G345" t="inlineStr">
        <is>
          <t>HÖGSBY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44981</v>
      </c>
      <c r="E346" s="1" t="n">
        <v>46303</v>
      </c>
      <c r="F346" t="inlineStr">
        <is>
          <t>KALMAR LÄN</t>
        </is>
      </c>
      <c r="G346" t="inlineStr">
        <is>
          <t>HÖGSBY</t>
        </is>
      </c>
      <c r="H346" t="inlineStr">
        <is>
          <t>Övriga Aktiebolag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47797-2024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45588</v>
      </c>
      <c r="E347" s="1" t="n">
        <v>46303</v>
      </c>
      <c r="F347" t="inlineStr">
        <is>
          <t>KALMAR LÄN</t>
        </is>
      </c>
      <c r="G347" t="inlineStr">
        <is>
          <t>HÖGSBY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35910-2026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46266</v>
      </c>
      <c r="E348" s="1" t="n">
        <v>46303</v>
      </c>
      <c r="F348" t="inlineStr">
        <is>
          <t>KALMAR LÄN</t>
        </is>
      </c>
      <c r="G348" t="inlineStr">
        <is>
          <t>HÖGSBY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45727</v>
      </c>
      <c r="E349" s="1" t="n">
        <v>46303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45707</v>
      </c>
      <c r="E350" s="1" t="n">
        <v>46303</v>
      </c>
      <c r="F350" t="inlineStr">
        <is>
          <t>KALMAR LÄN</t>
        </is>
      </c>
      <c r="G350" t="inlineStr">
        <is>
          <t>HÖGSBY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45692</v>
      </c>
      <c r="E351" s="1" t="n">
        <v>46303</v>
      </c>
      <c r="F351" t="inlineStr">
        <is>
          <t>KALMAR LÄN</t>
        </is>
      </c>
      <c r="G351" t="inlineStr">
        <is>
          <t>HÖGSBY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46267</v>
      </c>
      <c r="E352" s="1" t="n">
        <v>46303</v>
      </c>
      <c r="F352" t="inlineStr">
        <is>
          <t>KALMAR LÄN</t>
        </is>
      </c>
      <c r="G352" t="inlineStr">
        <is>
          <t>HÖGSBY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46267</v>
      </c>
      <c r="E353" s="1" t="n">
        <v>46303</v>
      </c>
      <c r="F353" t="inlineStr">
        <is>
          <t>KALMAR LÄN</t>
        </is>
      </c>
      <c r="G353" t="inlineStr">
        <is>
          <t>HÖGSBY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36404-2026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46268</v>
      </c>
      <c r="E354" s="1" t="n">
        <v>46303</v>
      </c>
      <c r="F354" t="inlineStr">
        <is>
          <t>KALMAR LÄN</t>
        </is>
      </c>
      <c r="G354" t="inlineStr">
        <is>
          <t>HÖGSBY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36258-2026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46268</v>
      </c>
      <c r="E355" s="1" t="n">
        <v>46303</v>
      </c>
      <c r="F355" t="inlineStr">
        <is>
          <t>KALMAR LÄN</t>
        </is>
      </c>
      <c r="G355" t="inlineStr">
        <is>
          <t>HÖGSBY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46266</v>
      </c>
      <c r="E356" s="1" t="n">
        <v>46303</v>
      </c>
      <c r="F356" t="inlineStr">
        <is>
          <t>KALMAR LÄN</t>
        </is>
      </c>
      <c r="G356" t="inlineStr">
        <is>
          <t>HÖGSBY</t>
        </is>
      </c>
      <c r="I356" t="n">
        <v>9.6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46303</v>
      </c>
      <c r="F357" t="inlineStr">
        <is>
          <t>KALMAR LÄN</t>
        </is>
      </c>
      <c r="G357" t="inlineStr">
        <is>
          <t>HÖGSBY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45337</v>
      </c>
      <c r="E358" s="1" t="n">
        <v>46303</v>
      </c>
      <c r="F358" t="inlineStr">
        <is>
          <t>KALMAR LÄN</t>
        </is>
      </c>
      <c r="G358" t="inlineStr">
        <is>
          <t>HÖGSBY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12757-2023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45001</v>
      </c>
      <c r="E359" s="1" t="n">
        <v>46303</v>
      </c>
      <c r="F359" t="inlineStr">
        <is>
          <t>KALMAR LÄN</t>
        </is>
      </c>
      <c r="G359" t="inlineStr">
        <is>
          <t>HÖGSBY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36442-2026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46269</v>
      </c>
      <c r="E360" s="1" t="n">
        <v>46303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45279</v>
      </c>
      <c r="E361" s="1" t="n">
        <v>46303</v>
      </c>
      <c r="F361" t="inlineStr">
        <is>
          <t>KALMAR LÄN</t>
        </is>
      </c>
      <c r="G361" t="inlineStr">
        <is>
          <t>HÖGSBY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45153</v>
      </c>
      <c r="E362" s="1" t="n">
        <v>46303</v>
      </c>
      <c r="F362" t="inlineStr">
        <is>
          <t>KALMAR LÄN</t>
        </is>
      </c>
      <c r="G362" t="inlineStr">
        <is>
          <t>HÖGSBY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10412-2022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44623</v>
      </c>
      <c r="E363" s="1" t="n">
        <v>46303</v>
      </c>
      <c r="F363" t="inlineStr">
        <is>
          <t>KALMAR LÄN</t>
        </is>
      </c>
      <c r="G363" t="inlineStr">
        <is>
          <t>HÖGSBY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36445-2026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46269</v>
      </c>
      <c r="E364" s="1" t="n">
        <v>46303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24.4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44879</v>
      </c>
      <c r="E365" s="1" t="n">
        <v>46303</v>
      </c>
      <c r="F365" t="inlineStr">
        <is>
          <t>KALMAR LÄN</t>
        </is>
      </c>
      <c r="G365" t="inlineStr">
        <is>
          <t>HÖGSBY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45103</v>
      </c>
      <c r="E366" s="1" t="n">
        <v>46303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37194-2026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46274</v>
      </c>
      <c r="E367" s="1" t="n">
        <v>46303</v>
      </c>
      <c r="F367" t="inlineStr">
        <is>
          <t>KALMAR LÄN</t>
        </is>
      </c>
      <c r="G367" t="inlineStr">
        <is>
          <t>HÖGSBY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59408-2022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44907</v>
      </c>
      <c r="E368" s="1" t="n">
        <v>46303</v>
      </c>
      <c r="F368" t="inlineStr">
        <is>
          <t>KALMAR LÄN</t>
        </is>
      </c>
      <c r="G368" t="inlineStr">
        <is>
          <t>HÖGSBY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46303</v>
      </c>
      <c r="F369" t="inlineStr">
        <is>
          <t>KALMAR LÄN</t>
        </is>
      </c>
      <c r="G369" t="inlineStr">
        <is>
          <t>HÖGSBY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45203</v>
      </c>
      <c r="E370" s="1" t="n">
        <v>46303</v>
      </c>
      <c r="F370" t="inlineStr">
        <is>
          <t>KALMAR LÄN</t>
        </is>
      </c>
      <c r="G370" t="inlineStr">
        <is>
          <t>HÖGSBY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7438-2023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44966</v>
      </c>
      <c r="E371" s="1" t="n">
        <v>46303</v>
      </c>
      <c r="F371" t="inlineStr">
        <is>
          <t>KALMAR LÄN</t>
        </is>
      </c>
      <c r="G371" t="inlineStr">
        <is>
          <t>HÖGSBY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46274</v>
      </c>
      <c r="E372" s="1" t="n">
        <v>46303</v>
      </c>
      <c r="F372" t="inlineStr">
        <is>
          <t>KALMAR LÄN</t>
        </is>
      </c>
      <c r="G372" t="inlineStr">
        <is>
          <t>HÖGSBY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46275</v>
      </c>
      <c r="E373" s="1" t="n">
        <v>46303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11.2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37338-2026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46275</v>
      </c>
      <c r="E374" s="1" t="n">
        <v>46303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32228-2026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46237</v>
      </c>
      <c r="E375" s="1" t="n">
        <v>46303</v>
      </c>
      <c r="F375" t="inlineStr">
        <is>
          <t>KALMAR LÄN</t>
        </is>
      </c>
      <c r="G375" t="inlineStr">
        <is>
          <t>HÖGSBY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38185-2026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46281</v>
      </c>
      <c r="E376" s="1" t="n">
        <v>46303</v>
      </c>
      <c r="F376" t="inlineStr">
        <is>
          <t>KALMAR LÄN</t>
        </is>
      </c>
      <c r="G376" t="inlineStr">
        <is>
          <t>HÖGSBY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38821-2026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46286</v>
      </c>
      <c r="E377" s="1" t="n">
        <v>46303</v>
      </c>
      <c r="F377" t="inlineStr">
        <is>
          <t>KALMAR LÄN</t>
        </is>
      </c>
      <c r="G377" t="inlineStr">
        <is>
          <t>HÖGSBY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46287</v>
      </c>
      <c r="E378" s="1" t="n">
        <v>46303</v>
      </c>
      <c r="F378" t="inlineStr">
        <is>
          <t>KALMAR LÄN</t>
        </is>
      </c>
      <c r="G378" t="inlineStr">
        <is>
          <t>HÖGSBY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33788-2026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46251</v>
      </c>
      <c r="E379" s="1" t="n">
        <v>46303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25352-2026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46303</v>
      </c>
      <c r="F380" t="inlineStr">
        <is>
          <t>KALMAR LÄN</t>
        </is>
      </c>
      <c r="G380" t="inlineStr">
        <is>
          <t>HÖGSBY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41019-2026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46297</v>
      </c>
      <c r="E381" s="1" t="n">
        <v>46303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41021-2026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46297</v>
      </c>
      <c r="E382" s="1" t="n">
        <v>46303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41118-2026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46300</v>
      </c>
      <c r="E383" s="1" t="n">
        <v>46303</v>
      </c>
      <c r="F383" t="inlineStr">
        <is>
          <t>KALMAR LÄN</t>
        </is>
      </c>
      <c r="G383" t="inlineStr">
        <is>
          <t>HÖGSBY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46297</v>
      </c>
      <c r="E384" s="1" t="n">
        <v>46303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46293</v>
      </c>
      <c r="E385" s="1" t="n">
        <v>46303</v>
      </c>
      <c r="F385" t="inlineStr">
        <is>
          <t>KALMAR LÄN</t>
        </is>
      </c>
      <c r="G385" t="inlineStr">
        <is>
          <t>HÖGSBY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50428-2024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45600</v>
      </c>
      <c r="E386" s="1" t="n">
        <v>46303</v>
      </c>
      <c r="F386" t="inlineStr">
        <is>
          <t>KALMAR LÄN</t>
        </is>
      </c>
      <c r="G386" t="inlineStr">
        <is>
          <t>HÖGSBY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28160-2026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46303</v>
      </c>
      <c r="F387" t="inlineStr">
        <is>
          <t>KALMAR LÄN</t>
        </is>
      </c>
      <c r="G387" t="inlineStr">
        <is>
          <t>HÖGSBY</t>
        </is>
      </c>
      <c r="H387" t="inlineStr">
        <is>
          <t>Kommuner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46303</v>
      </c>
      <c r="F388" t="inlineStr">
        <is>
          <t>KALMAR LÄN</t>
        </is>
      </c>
      <c r="G388" t="inlineStr">
        <is>
          <t>HÖGSBY</t>
        </is>
      </c>
      <c r="H388" t="inlineStr">
        <is>
          <t>Kommuner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26963-2026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46303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46303</v>
      </c>
      <c r="F390" t="inlineStr">
        <is>
          <t>KALMAR LÄN</t>
        </is>
      </c>
      <c r="G390" t="inlineStr">
        <is>
          <t>HÖGSBY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561-2022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44592</v>
      </c>
      <c r="E391" s="1" t="n">
        <v>46303</v>
      </c>
      <c r="F391" t="inlineStr">
        <is>
          <t>KALMAR LÄN</t>
        </is>
      </c>
      <c r="G391" t="inlineStr">
        <is>
          <t>HÖGSBY</t>
        </is>
      </c>
      <c r="I391" t="n">
        <v>30.3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46303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46303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46303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46303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46303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46303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46303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46303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5035-2024</t>
        </is>
      </c>
      <c r="B400" t="inlineStr">
        <is>
          <t>samrådsanmälan</t>
        </is>
      </c>
      <c r="C400" t="inlineStr">
        <is>
          <t>Stubbskörd</t>
        </is>
      </c>
      <c r="D400" s="1" t="n">
        <v>45636</v>
      </c>
      <c r="E400" s="1" t="n">
        <v>46303</v>
      </c>
      <c r="F400" t="inlineStr">
        <is>
          <t>KALMAR LÄN</t>
        </is>
      </c>
      <c r="G400" t="inlineStr">
        <is>
          <t>HÖGSBY</t>
        </is>
      </c>
      <c r="I400" t="n">
        <v>14.2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2021-2025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45835</v>
      </c>
      <c r="E401" s="1" t="n">
        <v>46303</v>
      </c>
      <c r="F401" t="inlineStr">
        <is>
          <t>KALMAR LÄN</t>
        </is>
      </c>
      <c r="G401" t="inlineStr">
        <is>
          <t>HÖGSBY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379-2023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44958</v>
      </c>
      <c r="E402" s="1" t="n">
        <v>46303</v>
      </c>
      <c r="F402" t="inlineStr">
        <is>
          <t>KALMAR LÄN</t>
        </is>
      </c>
      <c r="G402" t="inlineStr">
        <is>
          <t>HÖGSBY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351-2023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44958</v>
      </c>
      <c r="E403" s="1" t="n">
        <v>46303</v>
      </c>
      <c r="F403" t="inlineStr">
        <is>
          <t>KALMAR LÄN</t>
        </is>
      </c>
      <c r="G403" t="inlineStr">
        <is>
          <t>HÖGSBY</t>
        </is>
      </c>
      <c r="I403" t="n">
        <v>21.3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2809-2025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45938</v>
      </c>
      <c r="E404" s="1" t="n">
        <v>46303</v>
      </c>
      <c r="F404" t="inlineStr">
        <is>
          <t>KALMAR LÄN</t>
        </is>
      </c>
      <c r="G404" t="inlineStr">
        <is>
          <t>HÖGSBY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1031-2026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46125</v>
      </c>
      <c r="E405" s="1" t="n">
        <v>46303</v>
      </c>
      <c r="F405" t="inlineStr">
        <is>
          <t>KALMAR LÄN</t>
        </is>
      </c>
      <c r="G405" t="inlineStr">
        <is>
          <t>HÖGSBY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1417-2026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46155</v>
      </c>
      <c r="E406" s="1" t="n">
        <v>46303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1418-2026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46155</v>
      </c>
      <c r="E407" s="1" t="n">
        <v>46303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1846-2026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46303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1866-2026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46199</v>
      </c>
      <c r="E409" s="1" t="n">
        <v>46303</v>
      </c>
      <c r="F409" t="inlineStr">
        <is>
          <t>KALMAR LÄN</t>
        </is>
      </c>
      <c r="G409" t="inlineStr">
        <is>
          <t>HÖGSBY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1848-2026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46303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1847-2026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46303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1938-2026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46203</v>
      </c>
      <c r="E412" s="1" t="n">
        <v>46303</v>
      </c>
      <c r="F412" t="inlineStr">
        <is>
          <t>KALMAR LÄN</t>
        </is>
      </c>
      <c r="G412" t="inlineStr">
        <is>
          <t>HÖGSBY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2165-2026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46251</v>
      </c>
      <c r="E413" s="1" t="n">
        <v>46303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2589-2026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46297</v>
      </c>
      <c r="E414" s="1" t="n">
        <v>46303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2026-10-08T02:07:31Z</dcterms:created>
  <dcterms:modified xmlns:dcterms="http://purl.org/dc/terms/" xmlns:xsi="http://www.w3.org/2001/XMLSchema-instance" xsi:type="dcterms:W3CDTF">2026-10-08T02:07:31Z</dcterms:modified>
</cp:coreProperties>
</file>