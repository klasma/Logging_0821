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46232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46232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46232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46232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46232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46232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46232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46232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46232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46232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46232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46232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46232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46232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22559-2026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46232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1.5</v>
      </c>
      <c r="J18" t="n">
        <v>2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Svartoxe
Talltita
Bergsslok
Blåsippa</t>
        </is>
      </c>
      <c r="W18">
        <f>HYPERLINK("https://klasma.github.io/Logging_0821/artfynd/A 22559-2026 artfynd.xlsx", "A 22559-2026")</f>
        <v/>
      </c>
      <c r="X18">
        <f>HYPERLINK("https://klasma.github.io/Logging_0821/kartor/A 22559-2026 karta.png", "A 22559-2026")</f>
        <v/>
      </c>
      <c r="Y18">
        <f>HYPERLINK("https://klasma.github.io/Logging_0821/kartor_geotiff/A 22559-2026 georefererad karta.tif", "A 22559-2026")</f>
        <v/>
      </c>
      <c r="AA18">
        <f>HYPERLINK("https://klasma.github.io/Logging_0821/klagomål/A 22559-2026 FSC-klagomål.docx", "A 22559-2026")</f>
        <v/>
      </c>
      <c r="AB18">
        <f>HYPERLINK("https://klasma.github.io/Logging_0821/klagomålsmail/A 22559-2026 FSC-klagomål mail.docx", "A 22559-2026")</f>
        <v/>
      </c>
      <c r="AC18">
        <f>HYPERLINK("https://klasma.github.io/Logging_0821/tillsyn/A 22559-2026 tillsynsbegäran.docx", "A 22559-2026")</f>
        <v/>
      </c>
      <c r="AD18">
        <f>HYPERLINK("https://klasma.github.io/Logging_0821/tillsynsmail/A 22559-2026 tillsynsbegäran mail.docx", "A 22559-2026")</f>
        <v/>
      </c>
      <c r="AE18">
        <f>HYPERLINK("https://klasma.github.io/Logging_0821/fåglar/A 22559-2026 prioriterade fågelarter.docx", "A 22559-2026")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46232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46232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46232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46232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46232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46232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46232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46232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46232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46232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46232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46232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46232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46232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46232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9616-2022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46232</v>
      </c>
      <c r="F34" t="inlineStr">
        <is>
          <t>KALMAR LÄN</t>
        </is>
      </c>
      <c r="G34" t="inlineStr">
        <is>
          <t>HÖGSBY</t>
        </is>
      </c>
      <c r="I34" t="n">
        <v>6.4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Knippnejlika
Solvända</t>
        </is>
      </c>
      <c r="W34">
        <f>HYPERLINK("https://klasma.github.io/Logging_0821/artfynd/A 9616-2022 artfynd.xlsx", "A 9616-2022")</f>
        <v/>
      </c>
      <c r="X34">
        <f>HYPERLINK("https://klasma.github.io/Logging_0821/kartor/A 9616-2022 karta.png", "A 9616-2022")</f>
        <v/>
      </c>
      <c r="Y34">
        <f>HYPERLINK("https://klasma.github.io/Logging_0821/kartor_geotiff/A 9616-2022 georefererad karta.tif", "A 9616-2022")</f>
        <v/>
      </c>
      <c r="AA34">
        <f>HYPERLINK("https://klasma.github.io/Logging_0821/klagomål/A 9616-2022 FSC-klagomål.docx", "A 9616-2022")</f>
        <v/>
      </c>
      <c r="AB34">
        <f>HYPERLINK("https://klasma.github.io/Logging_0821/klagomålsmail/A 9616-2022 FSC-klagomål mail.docx", "A 9616-2022")</f>
        <v/>
      </c>
      <c r="AC34">
        <f>HYPERLINK("https://klasma.github.io/Logging_0821/tillsyn/A 9616-2022 tillsynsbegäran.docx", "A 9616-2022")</f>
        <v/>
      </c>
      <c r="AD34">
        <f>HYPERLINK("https://klasma.github.io/Logging_0821/tillsynsmail/A 9616-2022 tillsynsbegäran mail.docx", "A 9616-2022")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46232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46232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Vårärt
Blåsippa</t>
        </is>
      </c>
      <c r="W36">
        <f>HYPERLINK("https://klasma.github.io/Logging_0821/artfynd/A 26775-2026 artfynd.xlsx", "A 26775-2026")</f>
        <v/>
      </c>
      <c r="X36">
        <f>HYPERLINK("https://klasma.github.io/Logging_0821/kartor/A 26775-2026 karta.png", "A 26775-2026")</f>
        <v/>
      </c>
      <c r="Y36">
        <f>HYPERLINK("https://klasma.github.io/Logging_0821/kartor_geotiff/A 26775-2026 georefererad karta.tif", "A 26775-2026")</f>
        <v/>
      </c>
      <c r="AA36">
        <f>HYPERLINK("https://klasma.github.io/Logging_0821/klagomål/A 26775-2026 FSC-klagomål.docx", "A 26775-2026")</f>
        <v/>
      </c>
      <c r="AB36">
        <f>HYPERLINK("https://klasma.github.io/Logging_0821/klagomålsmail/A 26775-2026 FSC-klagomål mail.docx", "A 26775-2026")</f>
        <v/>
      </c>
      <c r="AC36">
        <f>HYPERLINK("https://klasma.github.io/Logging_0821/tillsyn/A 26775-2026 tillsynsbegäran.docx", "A 26775-2026")</f>
        <v/>
      </c>
      <c r="AD36">
        <f>HYPERLINK("https://klasma.github.io/Logging_0821/tillsynsmail/A 26775-2026 tillsynsbegäran mail.docx", "A 26775-2026")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46232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46232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46232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46232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46232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46232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46232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46232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59700-2023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45256</v>
      </c>
      <c r="E47" s="1" t="n">
        <v>46232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59700-2023 artfynd.xlsx", "A 59700-2023")</f>
        <v/>
      </c>
      <c r="X47">
        <f>HYPERLINK("https://klasma.github.io/Logging_0821/kartor/A 59700-2023 karta.png", "A 59700-2023")</f>
        <v/>
      </c>
      <c r="Y47">
        <f>HYPERLINK("https://klasma.github.io/Logging_0821/kartor_geotiff/A 59700-2023 georefererad karta.tif", "A 59700-2023")</f>
        <v/>
      </c>
      <c r="AA47">
        <f>HYPERLINK("https://klasma.github.io/Logging_0821/klagomål/A 59700-2023 FSC-klagomål.docx", "A 59700-2023")</f>
        <v/>
      </c>
      <c r="AB47">
        <f>HYPERLINK("https://klasma.github.io/Logging_0821/klagomålsmail/A 59700-2023 FSC-klagomål mail.docx", "A 59700-2023")</f>
        <v/>
      </c>
      <c r="AC47">
        <f>HYPERLINK("https://klasma.github.io/Logging_0821/tillsyn/A 59700-2023 tillsynsbegäran.docx", "A 59700-2023")</f>
        <v/>
      </c>
      <c r="AD47">
        <f>HYPERLINK("https://klasma.github.io/Logging_0821/tillsynsmail/A 59700-2023 tillsynsbegäran mail.docx", "A 59700-2023")</f>
        <v/>
      </c>
      <c r="AE47">
        <f>HYPERLINK("https://klasma.github.io/Logging_0821/fåglar/A 59700-2023 prioriterade fågelarter.docx", "A 59700-2023")</f>
        <v/>
      </c>
    </row>
    <row r="48" ht="15" customHeight="1">
      <c r="A48" t="inlineStr">
        <is>
          <t>A 35072-2023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46232</v>
      </c>
      <c r="F48" t="inlineStr">
        <is>
          <t>KALMAR LÄN</t>
        </is>
      </c>
      <c r="G48" t="inlineStr">
        <is>
          <t>HÖGSBY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35072-2023 artfynd.xlsx", "A 35072-2023")</f>
        <v/>
      </c>
      <c r="X48">
        <f>HYPERLINK("https://klasma.github.io/Logging_0821/kartor/A 35072-2023 karta.png", "A 35072-2023")</f>
        <v/>
      </c>
      <c r="Y48">
        <f>HYPERLINK("https://klasma.github.io/Logging_0821/kartor_geotiff/A 35072-2023 georefererad karta.tif", "A 35072-2023")</f>
        <v/>
      </c>
      <c r="AA48">
        <f>HYPERLINK("https://klasma.github.io/Logging_0821/klagomål/A 35072-2023 FSC-klagomål.docx", "A 35072-2023")</f>
        <v/>
      </c>
      <c r="AB48">
        <f>HYPERLINK("https://klasma.github.io/Logging_0821/klagomålsmail/A 35072-2023 FSC-klagomål mail.docx", "A 35072-2023")</f>
        <v/>
      </c>
      <c r="AC48">
        <f>HYPERLINK("https://klasma.github.io/Logging_0821/tillsyn/A 35072-2023 tillsynsbegäran.docx", "A 35072-2023")</f>
        <v/>
      </c>
      <c r="AD48">
        <f>HYPERLINK("https://klasma.github.io/Logging_0821/tillsynsmail/A 35072-2023 tillsynsbegäran mail.docx", "A 35072-2023")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46232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HYPERLINK("https://klasma.github.io/Logging_0821/artfynd/A 28894-2026 artfynd.xlsx", "A 28894-2026")</f>
        <v/>
      </c>
      <c r="X49">
        <f>HYPERLINK("https://klasma.github.io/Logging_0821/kartor/A 28894-2026 karta.png", "A 28894-2026")</f>
        <v/>
      </c>
      <c r="Y49">
        <f>HYPERLINK("https://klasma.github.io/Logging_0821/kartor_geotiff/A 28894-2026 georefererad karta.tif", "A 28894-2026")</f>
        <v/>
      </c>
      <c r="AA49">
        <f>HYPERLINK("https://klasma.github.io/Logging_0821/klagomål/A 28894-2026 FSC-klagomål.docx", "A 28894-2026")</f>
        <v/>
      </c>
      <c r="AB49">
        <f>HYPERLINK("https://klasma.github.io/Logging_0821/klagomålsmail/A 28894-2026 FSC-klagomål mail.docx", "A 28894-2026")</f>
        <v/>
      </c>
      <c r="AC49">
        <f>HYPERLINK("https://klasma.github.io/Logging_0821/tillsyn/A 28894-2026 tillsynsbegäran.docx", "A 28894-2026")</f>
        <v/>
      </c>
      <c r="AD49">
        <f>HYPERLINK("https://klasma.github.io/Logging_0821/tillsynsmail/A 28894-2026 tillsynsbegäran mail.docx", "A 28894-2026")</f>
        <v/>
      </c>
      <c r="AE49">
        <f>HYPERLINK("https://klasma.github.io/Logging_0821/fåglar/A 28894-2026 prioriterade fågelarter.docx", "A 28894-2026")</f>
        <v/>
      </c>
    </row>
    <row r="50" ht="15" customHeight="1">
      <c r="A50" t="inlineStr">
        <is>
          <t>A 58792-2022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44903</v>
      </c>
      <c r="E50" s="1" t="n">
        <v>46232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58792-2022 artfynd.xlsx", "A 58792-2022")</f>
        <v/>
      </c>
      <c r="X50">
        <f>HYPERLINK("https://klasma.github.io/Logging_0821/kartor/A 58792-2022 karta.png", "A 58792-2022")</f>
        <v/>
      </c>
      <c r="Y50">
        <f>HYPERLINK("https://klasma.github.io/Logging_0821/kartor_geotiff/A 58792-2022 georefererad karta.tif", "A 58792-2022")</f>
        <v/>
      </c>
      <c r="AA50">
        <f>HYPERLINK("https://klasma.github.io/Logging_0821/klagomål/A 58792-2022 FSC-klagomål.docx", "A 58792-2022")</f>
        <v/>
      </c>
      <c r="AB50">
        <f>HYPERLINK("https://klasma.github.io/Logging_0821/klagomålsmail/A 58792-2022 FSC-klagomål mail.docx", "A 58792-2022")</f>
        <v/>
      </c>
      <c r="AC50">
        <f>HYPERLINK("https://klasma.github.io/Logging_0821/tillsyn/A 58792-2022 tillsynsbegäran.docx", "A 58792-2022")</f>
        <v/>
      </c>
      <c r="AD50">
        <f>HYPERLINK("https://klasma.github.io/Logging_0821/tillsynsmail/A 58792-2022 tillsynsbegäran mail.docx", "A 58792-2022")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46232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HYPERLINK("https://klasma.github.io/Logging_0821/artfynd/A 30186-2026 artfynd.xlsx", "A 30186-2026")</f>
        <v/>
      </c>
      <c r="X51">
        <f>HYPERLINK("https://klasma.github.io/Logging_0821/kartor/A 30186-2026 karta.png", "A 30186-2026")</f>
        <v/>
      </c>
      <c r="Y51">
        <f>HYPERLINK("https://klasma.github.io/Logging_0821/kartor_geotiff/A 30186-2026 georefererad karta.tif", "A 30186-2026")</f>
        <v/>
      </c>
      <c r="AA51">
        <f>HYPERLINK("https://klasma.github.io/Logging_0821/klagomål/A 30186-2026 FSC-klagomål.docx", "A 30186-2026")</f>
        <v/>
      </c>
      <c r="AB51">
        <f>HYPERLINK("https://klasma.github.io/Logging_0821/klagomålsmail/A 30186-2026 FSC-klagomål mail.docx", "A 30186-2026")</f>
        <v/>
      </c>
      <c r="AC51">
        <f>HYPERLINK("https://klasma.github.io/Logging_0821/tillsyn/A 30186-2026 tillsynsbegäran.docx", "A 30186-2026")</f>
        <v/>
      </c>
      <c r="AD51">
        <f>HYPERLINK("https://klasma.github.io/Logging_0821/tillsynsmail/A 30186-2026 tillsynsbegäran mail.docx", "A 30186-2026")</f>
        <v/>
      </c>
    </row>
    <row r="52" ht="15" customHeight="1">
      <c r="A52" t="inlineStr">
        <is>
          <t>A 23859-2026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46232</v>
      </c>
      <c r="F52" t="inlineStr">
        <is>
          <t>KALMAR LÄN</t>
        </is>
      </c>
      <c r="G52" t="inlineStr">
        <is>
          <t>HÖGSBY</t>
        </is>
      </c>
      <c r="I52" t="n">
        <v>3.8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Rödlånke</t>
        </is>
      </c>
      <c r="W52">
        <f>HYPERLINK("https://klasma.github.io/Logging_0821/artfynd/A 23859-2026 artfynd.xlsx", "A 23859-2026")</f>
        <v/>
      </c>
      <c r="X52">
        <f>HYPERLINK("https://klasma.github.io/Logging_0821/kartor/A 23859-2026 karta.png", "A 23859-2026")</f>
        <v/>
      </c>
      <c r="Y52">
        <f>HYPERLINK("https://klasma.github.io/Logging_0821/kartor_geotiff/A 23859-2026 georefererad karta.tif", "A 23859-2026")</f>
        <v/>
      </c>
      <c r="AA52">
        <f>HYPERLINK("https://klasma.github.io/Logging_0821/klagomål/A 23859-2026 FSC-klagomål.docx", "A 23859-2026")</f>
        <v/>
      </c>
      <c r="AB52">
        <f>HYPERLINK("https://klasma.github.io/Logging_0821/klagomålsmail/A 23859-2026 FSC-klagomål mail.docx", "A 23859-2026")</f>
        <v/>
      </c>
      <c r="AC52">
        <f>HYPERLINK("https://klasma.github.io/Logging_0821/tillsyn/A 23859-2026 tillsynsbegäran.docx", "A 23859-2026")</f>
        <v/>
      </c>
      <c r="AD52">
        <f>HYPERLINK("https://klasma.github.io/Logging_0821/tillsynsmail/A 23859-2026 tillsynsbegäran mail.docx", "A 23859-2026")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46232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Nordfladdermus</t>
        </is>
      </c>
      <c r="W53">
        <f>HYPERLINK("https://klasma.github.io/Logging_0821/artfynd/A 52177-2022 artfynd.xlsx", "A 52177-2022")</f>
        <v/>
      </c>
      <c r="X53">
        <f>HYPERLINK("https://klasma.github.io/Logging_0821/kartor/A 52177-2022 karta.png", "A 52177-2022")</f>
        <v/>
      </c>
      <c r="Y53">
        <f>HYPERLINK("https://klasma.github.io/Logging_0821/kartor_geotiff/A 52177-2022 georefererad karta.tif", "A 52177-2022")</f>
        <v/>
      </c>
      <c r="AA53">
        <f>HYPERLINK("https://klasma.github.io/Logging_0821/klagomål/A 52177-2022 FSC-klagomål.docx", "A 52177-2022")</f>
        <v/>
      </c>
      <c r="AB53">
        <f>HYPERLINK("https://klasma.github.io/Logging_0821/klagomålsmail/A 52177-2022 FSC-klagomål mail.docx", "A 52177-2022")</f>
        <v/>
      </c>
      <c r="AC53">
        <f>HYPERLINK("https://klasma.github.io/Logging_0821/tillsyn/A 52177-2022 tillsynsbegäran.docx", "A 52177-2022")</f>
        <v/>
      </c>
      <c r="AD53">
        <f>HYPERLINK("https://klasma.github.io/Logging_0821/tillsynsmail/A 52177-2022 tillsynsbegäran mail.docx", "A 52177-2022")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46232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HYPERLINK("https://klasma.github.io/Logging_0821/artfynd/A 30800-2026 artfynd.xlsx", "A 30800-2026")</f>
        <v/>
      </c>
      <c r="X54">
        <f>HYPERLINK("https://klasma.github.io/Logging_0821/kartor/A 30800-2026 karta.png", "A 30800-2026")</f>
        <v/>
      </c>
      <c r="Y54">
        <f>HYPERLINK("https://klasma.github.io/Logging_0821/kartor_geotiff/A 30800-2026 georefererad karta.tif", "A 30800-2026")</f>
        <v/>
      </c>
      <c r="AA54">
        <f>HYPERLINK("https://klasma.github.io/Logging_0821/klagomål/A 30800-2026 FSC-klagomål.docx", "A 30800-2026")</f>
        <v/>
      </c>
      <c r="AB54">
        <f>HYPERLINK("https://klasma.github.io/Logging_0821/klagomålsmail/A 30800-2026 FSC-klagomål mail.docx", "A 30800-2026")</f>
        <v/>
      </c>
      <c r="AC54">
        <f>HYPERLINK("https://klasma.github.io/Logging_0821/tillsyn/A 30800-2026 tillsynsbegäran.docx", "A 30800-2026")</f>
        <v/>
      </c>
      <c r="AD54">
        <f>HYPERLINK("https://klasma.github.io/Logging_0821/tillsynsmail/A 30800-2026 tillsynsbegäran mail.docx", "A 30800-2026")</f>
        <v/>
      </c>
    </row>
    <row r="55" ht="15" customHeight="1">
      <c r="A55" t="inlineStr">
        <is>
          <t>A 26145-2026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46232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Gullviva</t>
        </is>
      </c>
      <c r="W55">
        <f>HYPERLINK("https://klasma.github.io/Logging_0821/artfynd/A 26145-2026 artfynd.xlsx", "A 26145-2026")</f>
        <v/>
      </c>
      <c r="X55">
        <f>HYPERLINK("https://klasma.github.io/Logging_0821/kartor/A 26145-2026 karta.png", "A 26145-2026")</f>
        <v/>
      </c>
      <c r="Y55">
        <f>HYPERLINK("https://klasma.github.io/Logging_0821/kartor_geotiff/A 26145-2026 georefererad karta.tif", "A 26145-2026")</f>
        <v/>
      </c>
      <c r="AA55">
        <f>HYPERLINK("https://klasma.github.io/Logging_0821/klagomål/A 26145-2026 FSC-klagomål.docx", "A 26145-2026")</f>
        <v/>
      </c>
      <c r="AB55">
        <f>HYPERLINK("https://klasma.github.io/Logging_0821/klagomålsmail/A 26145-2026 FSC-klagomål mail.docx", "A 26145-2026")</f>
        <v/>
      </c>
      <c r="AC55">
        <f>HYPERLINK("https://klasma.github.io/Logging_0821/tillsyn/A 26145-2026 tillsynsbegäran.docx", "A 26145-2026")</f>
        <v/>
      </c>
      <c r="AD55">
        <f>HYPERLINK("https://klasma.github.io/Logging_0821/tillsynsmail/A 26145-2026 tillsynsbegäran mail.docx", "A 26145-2026")</f>
        <v/>
      </c>
    </row>
    <row r="56" ht="15" customHeight="1">
      <c r="A56" t="inlineStr">
        <is>
          <t>A 59407-2022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44907</v>
      </c>
      <c r="E56" s="1" t="n">
        <v>46232</v>
      </c>
      <c r="F56" t="inlineStr">
        <is>
          <t>KALMAR LÄN</t>
        </is>
      </c>
      <c r="G56" t="inlineStr">
        <is>
          <t>HÖGSBY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Blåsippa</t>
        </is>
      </c>
      <c r="W56">
        <f>HYPERLINK("https://klasma.github.io/Logging_0821/artfynd/A 59407-2022 artfynd.xlsx", "A 59407-2022")</f>
        <v/>
      </c>
      <c r="X56">
        <f>HYPERLINK("https://klasma.github.io/Logging_0821/kartor/A 59407-2022 karta.png", "A 59407-2022")</f>
        <v/>
      </c>
      <c r="Y56">
        <f>HYPERLINK("https://klasma.github.io/Logging_0821/kartor_geotiff/A 59407-2022 georefererad karta.tif", "A 59407-2022")</f>
        <v/>
      </c>
      <c r="AA56">
        <f>HYPERLINK("https://klasma.github.io/Logging_0821/klagomål/A 59407-2022 FSC-klagomål.docx", "A 59407-2022")</f>
        <v/>
      </c>
      <c r="AB56">
        <f>HYPERLINK("https://klasma.github.io/Logging_0821/klagomålsmail/A 59407-2022 FSC-klagomål mail.docx", "A 59407-2022")</f>
        <v/>
      </c>
      <c r="AC56">
        <f>HYPERLINK("https://klasma.github.io/Logging_0821/tillsyn/A 59407-2022 tillsynsbegäran.docx", "A 59407-2022")</f>
        <v/>
      </c>
      <c r="AD56">
        <f>HYPERLINK("https://klasma.github.io/Logging_0821/tillsynsmail/A 59407-2022 tillsynsbegäran mail.docx", "A 59407-2022")</f>
        <v/>
      </c>
    </row>
    <row r="57" ht="15" customHeight="1">
      <c r="A57" t="inlineStr">
        <is>
          <t>A 27366-2026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46232</v>
      </c>
      <c r="F57" t="inlineStr">
        <is>
          <t>KALMAR LÄN</t>
        </is>
      </c>
      <c r="G57" t="inlineStr">
        <is>
          <t>HÖGSBY</t>
        </is>
      </c>
      <c r="I57" t="n">
        <v>4.4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Nattviol</t>
        </is>
      </c>
      <c r="W57">
        <f>HYPERLINK("https://klasma.github.io/Logging_0821/artfynd/A 27366-2026 artfynd.xlsx", "A 27366-2026")</f>
        <v/>
      </c>
      <c r="X57">
        <f>HYPERLINK("https://klasma.github.io/Logging_0821/kartor/A 27366-2026 karta.png", "A 27366-2026")</f>
        <v/>
      </c>
      <c r="Y57">
        <f>HYPERLINK("https://klasma.github.io/Logging_0821/kartor_geotiff/A 27366-2026 georefererad karta.tif", "A 27366-2026")</f>
        <v/>
      </c>
      <c r="AA57">
        <f>HYPERLINK("https://klasma.github.io/Logging_0821/klagomål/A 27366-2026 FSC-klagomål.docx", "A 27366-2026")</f>
        <v/>
      </c>
      <c r="AB57">
        <f>HYPERLINK("https://klasma.github.io/Logging_0821/klagomålsmail/A 27366-2026 FSC-klagomål mail.docx", "A 27366-2026")</f>
        <v/>
      </c>
      <c r="AC57">
        <f>HYPERLINK("https://klasma.github.io/Logging_0821/tillsyn/A 27366-2026 tillsynsbegäran.docx", "A 27366-2026")</f>
        <v/>
      </c>
      <c r="AD57">
        <f>HYPERLINK("https://klasma.github.io/Logging_0821/tillsynsmail/A 27366-2026 tillsynsbegäran mail.docx", "A 27366-2026")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46232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46232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46232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46232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46232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46232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46232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46232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46232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46232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46232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46232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46232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46232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46232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46232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46232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46232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46232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46232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46232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46232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46232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46232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46232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46232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46232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46232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46232</v>
      </c>
      <c r="F87" t="inlineStr">
        <is>
          <t>KALMAR LÄN</t>
        </is>
      </c>
      <c r="G87" t="inlineStr">
        <is>
          <t>HÖGSBY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46232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46232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46232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46232</v>
      </c>
      <c r="F91" t="inlineStr">
        <is>
          <t>KALMAR LÄN</t>
        </is>
      </c>
      <c r="G91" t="inlineStr">
        <is>
          <t>HÖGSBY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46232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46232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46232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46232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46232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46232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46232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46232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46232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46232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18099-2023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46232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46232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46232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44895</v>
      </c>
      <c r="E105" s="1" t="n">
        <v>46232</v>
      </c>
      <c r="F105" t="inlineStr">
        <is>
          <t>KALMAR LÄN</t>
        </is>
      </c>
      <c r="G105" t="inlineStr">
        <is>
          <t>HÖGSBY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46232</v>
      </c>
      <c r="F106" t="inlineStr">
        <is>
          <t>KALMAR LÄN</t>
        </is>
      </c>
      <c r="G106" t="inlineStr">
        <is>
          <t>HÖGSBY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46232</v>
      </c>
      <c r="F107" t="inlineStr">
        <is>
          <t>KALMAR LÄN</t>
        </is>
      </c>
      <c r="G107" t="inlineStr">
        <is>
          <t>HÖGSBY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38797-2024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45547</v>
      </c>
      <c r="E108" s="1" t="n">
        <v>46232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46232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46232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46232</v>
      </c>
      <c r="F111" t="inlineStr">
        <is>
          <t>KALMAR LÄN</t>
        </is>
      </c>
      <c r="G111" t="inlineStr">
        <is>
          <t>HÖGSBY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45306</v>
      </c>
      <c r="E112" s="1" t="n">
        <v>46232</v>
      </c>
      <c r="F112" t="inlineStr">
        <is>
          <t>KALMAR LÄN</t>
        </is>
      </c>
      <c r="G112" t="inlineStr">
        <is>
          <t>HÖGSBY</t>
        </is>
      </c>
      <c r="H112" t="inlineStr">
        <is>
          <t>Övriga Aktiebolag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46232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46232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46232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46232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44886</v>
      </c>
      <c r="E117" s="1" t="n">
        <v>46232</v>
      </c>
      <c r="F117" t="inlineStr">
        <is>
          <t>KALMAR LÄN</t>
        </is>
      </c>
      <c r="G117" t="inlineStr">
        <is>
          <t>HÖGSBY</t>
        </is>
      </c>
      <c r="H117" t="inlineStr">
        <is>
          <t>Kyrkan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37811-2024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45544</v>
      </c>
      <c r="E118" s="1" t="n">
        <v>46232</v>
      </c>
      <c r="F118" t="inlineStr">
        <is>
          <t>KALMAR LÄN</t>
        </is>
      </c>
      <c r="G118" t="inlineStr">
        <is>
          <t>HÖGSBY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46232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46232</v>
      </c>
      <c r="F120" t="inlineStr">
        <is>
          <t>KALMAR LÄN</t>
        </is>
      </c>
      <c r="G120" t="inlineStr">
        <is>
          <t>HÖGSBY</t>
        </is>
      </c>
      <c r="I120" t="n">
        <v>11.5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46232</v>
      </c>
      <c r="F121" t="inlineStr">
        <is>
          <t>KALMAR LÄN</t>
        </is>
      </c>
      <c r="G121" t="inlineStr">
        <is>
          <t>HÖGSBY</t>
        </is>
      </c>
      <c r="H121" t="inlineStr">
        <is>
          <t>Övriga Aktiebolag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46232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46232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46232</v>
      </c>
      <c r="F124" t="inlineStr">
        <is>
          <t>KALMAR LÄN</t>
        </is>
      </c>
      <c r="G124" t="inlineStr">
        <is>
          <t>HÖGSBY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46232</v>
      </c>
      <c r="F125" t="inlineStr">
        <is>
          <t>KALMAR LÄN</t>
        </is>
      </c>
      <c r="G125" t="inlineStr">
        <is>
          <t>HÖGSBY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49338-2022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44861</v>
      </c>
      <c r="E126" s="1" t="n">
        <v>46232</v>
      </c>
      <c r="F126" t="inlineStr">
        <is>
          <t>KALMAR LÄN</t>
        </is>
      </c>
      <c r="G126" t="inlineStr">
        <is>
          <t>HÖGSBY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46232</v>
      </c>
      <c r="F127" t="inlineStr">
        <is>
          <t>KALMAR LÄN</t>
        </is>
      </c>
      <c r="G127" t="inlineStr">
        <is>
          <t>HÖGSBY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45688</v>
      </c>
      <c r="E128" s="1" t="n">
        <v>46232</v>
      </c>
      <c r="F128" t="inlineStr">
        <is>
          <t>KALMAR LÄN</t>
        </is>
      </c>
      <c r="G128" t="inlineStr">
        <is>
          <t>HÖGSBY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46232</v>
      </c>
      <c r="F129" t="inlineStr">
        <is>
          <t>KALMAR LÄN</t>
        </is>
      </c>
      <c r="G129" t="inlineStr">
        <is>
          <t>HÖGSBY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46232</v>
      </c>
      <c r="F130" t="inlineStr">
        <is>
          <t>KALMAR LÄN</t>
        </is>
      </c>
      <c r="G130" t="inlineStr">
        <is>
          <t>HÖGSBY</t>
        </is>
      </c>
      <c r="H130" t="inlineStr">
        <is>
          <t>Kommuner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46232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46232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46232</v>
      </c>
      <c r="F133" t="inlineStr">
        <is>
          <t>KALMAR LÄN</t>
        </is>
      </c>
      <c r="G133" t="inlineStr">
        <is>
          <t>HÖGSBY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46232</v>
      </c>
      <c r="F134" t="inlineStr">
        <is>
          <t>KALMAR LÄN</t>
        </is>
      </c>
      <c r="G134" t="inlineStr">
        <is>
          <t>HÖGSBY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46232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9.199999999999999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46232</v>
      </c>
      <c r="F136" t="inlineStr">
        <is>
          <t>KALMAR LÄN</t>
        </is>
      </c>
      <c r="G136" t="inlineStr">
        <is>
          <t>HÖGSBY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46232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45239</v>
      </c>
      <c r="E138" s="1" t="n">
        <v>46232</v>
      </c>
      <c r="F138" t="inlineStr">
        <is>
          <t>KALMAR LÄN</t>
        </is>
      </c>
      <c r="G138" t="inlineStr">
        <is>
          <t>HÖGSBY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46232</v>
      </c>
      <c r="F139" t="inlineStr">
        <is>
          <t>KALMAR LÄN</t>
        </is>
      </c>
      <c r="G139" t="inlineStr">
        <is>
          <t>HÖGSBY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44677</v>
      </c>
      <c r="E140" s="1" t="n">
        <v>46232</v>
      </c>
      <c r="F140" t="inlineStr">
        <is>
          <t>KALMAR LÄN</t>
        </is>
      </c>
      <c r="G140" t="inlineStr">
        <is>
          <t>HÖGSBY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46232</v>
      </c>
      <c r="F141" t="inlineStr">
        <is>
          <t>KALMAR LÄN</t>
        </is>
      </c>
      <c r="G141" t="inlineStr">
        <is>
          <t>HÖGSBY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45749</v>
      </c>
      <c r="E142" s="1" t="n">
        <v>46232</v>
      </c>
      <c r="F142" t="inlineStr">
        <is>
          <t>KALMAR LÄN</t>
        </is>
      </c>
      <c r="G142" t="inlineStr">
        <is>
          <t>HÖGSBY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46232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46232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46232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45532</v>
      </c>
      <c r="E146" s="1" t="n">
        <v>46232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46232</v>
      </c>
      <c r="F147" t="inlineStr">
        <is>
          <t>KALMAR LÄN</t>
        </is>
      </c>
      <c r="G147" t="inlineStr">
        <is>
          <t>HÖGSBY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45847</v>
      </c>
      <c r="E148" s="1" t="n">
        <v>46232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46232</v>
      </c>
      <c r="F149" t="inlineStr">
        <is>
          <t>KALMAR LÄN</t>
        </is>
      </c>
      <c r="G149" t="inlineStr">
        <is>
          <t>HÖGSBY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45847</v>
      </c>
      <c r="E150" s="1" t="n">
        <v>46232</v>
      </c>
      <c r="F150" t="inlineStr">
        <is>
          <t>KALMAR LÄN</t>
        </is>
      </c>
      <c r="G150" t="inlineStr">
        <is>
          <t>HÖGSBY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46232</v>
      </c>
      <c r="F151" t="inlineStr">
        <is>
          <t>KALMAR LÄN</t>
        </is>
      </c>
      <c r="G151" t="inlineStr">
        <is>
          <t>HÖGSBY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46232</v>
      </c>
      <c r="F152" t="inlineStr">
        <is>
          <t>KALMAR LÄN</t>
        </is>
      </c>
      <c r="G152" t="inlineStr">
        <is>
          <t>HÖGSBY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46232</v>
      </c>
      <c r="F153" t="inlineStr">
        <is>
          <t>KALMAR LÄN</t>
        </is>
      </c>
      <c r="G153" t="inlineStr">
        <is>
          <t>HÖGSBY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45154</v>
      </c>
      <c r="E154" s="1" t="n">
        <v>46232</v>
      </c>
      <c r="F154" t="inlineStr">
        <is>
          <t>KALMAR LÄN</t>
        </is>
      </c>
      <c r="G154" t="inlineStr">
        <is>
          <t>HÖGSBY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46232</v>
      </c>
      <c r="F155" t="inlineStr">
        <is>
          <t>KALMAR LÄN</t>
        </is>
      </c>
      <c r="G155" t="inlineStr">
        <is>
          <t>HÖGSBY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46232</v>
      </c>
      <c r="F156" t="inlineStr">
        <is>
          <t>KALMAR LÄN</t>
        </is>
      </c>
      <c r="G156" t="inlineStr">
        <is>
          <t>HÖGSBY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32049-2023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45119</v>
      </c>
      <c r="E157" s="1" t="n">
        <v>46232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45348</v>
      </c>
      <c r="E158" s="1" t="n">
        <v>46232</v>
      </c>
      <c r="F158" t="inlineStr">
        <is>
          <t>KALMAR LÄN</t>
        </is>
      </c>
      <c r="G158" t="inlineStr">
        <is>
          <t>HÖGSBY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38068-2025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45882</v>
      </c>
      <c r="E159" s="1" t="n">
        <v>46232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38824-2024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45547</v>
      </c>
      <c r="E160" s="1" t="n">
        <v>46232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46232</v>
      </c>
      <c r="F161" t="inlineStr">
        <is>
          <t>KALMAR LÄN</t>
        </is>
      </c>
      <c r="G161" t="inlineStr">
        <is>
          <t>HÖGSBY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46232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46058</v>
      </c>
      <c r="E163" s="1" t="n">
        <v>46232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46232</v>
      </c>
      <c r="F164" t="inlineStr">
        <is>
          <t>KALMAR LÄN</t>
        </is>
      </c>
      <c r="G164" t="inlineStr">
        <is>
          <t>HÖGSBY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46232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46232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7443-2026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46059</v>
      </c>
      <c r="E167" s="1" t="n">
        <v>46232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45950</v>
      </c>
      <c r="E168" s="1" t="n">
        <v>46232</v>
      </c>
      <c r="F168" t="inlineStr">
        <is>
          <t>KALMAR LÄN</t>
        </is>
      </c>
      <c r="G168" t="inlineStr">
        <is>
          <t>HÖGSBY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28648-2023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45103</v>
      </c>
      <c r="E169" s="1" t="n">
        <v>46232</v>
      </c>
      <c r="F169" t="inlineStr">
        <is>
          <t>KALMAR LÄN</t>
        </is>
      </c>
      <c r="G169" t="inlineStr">
        <is>
          <t>HÖGSBY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46232</v>
      </c>
      <c r="F170" t="inlineStr">
        <is>
          <t>KALMAR LÄN</t>
        </is>
      </c>
      <c r="G170" t="inlineStr">
        <is>
          <t>HÖGSBY</t>
        </is>
      </c>
      <c r="H170" t="inlineStr">
        <is>
          <t>Kyrkan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46232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39235-2021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44413</v>
      </c>
      <c r="E172" s="1" t="n">
        <v>46232</v>
      </c>
      <c r="F172" t="inlineStr">
        <is>
          <t>KALMAR LÄN</t>
        </is>
      </c>
      <c r="G172" t="inlineStr">
        <is>
          <t>HÖGSBY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46232</v>
      </c>
      <c r="F173" t="inlineStr">
        <is>
          <t>KALMAR LÄN</t>
        </is>
      </c>
      <c r="G173" t="inlineStr">
        <is>
          <t>HÖGSBY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46232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73709-2021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46232</v>
      </c>
      <c r="F175" t="inlineStr">
        <is>
          <t>KALMAR LÄN</t>
        </is>
      </c>
      <c r="G175" t="inlineStr">
        <is>
          <t>HÖGSBY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46232</v>
      </c>
      <c r="F176" t="inlineStr">
        <is>
          <t>KALMAR LÄN</t>
        </is>
      </c>
      <c r="G176" t="inlineStr">
        <is>
          <t>HÖGSBY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46232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45320</v>
      </c>
      <c r="E178" s="1" t="n">
        <v>46232</v>
      </c>
      <c r="F178" t="inlineStr">
        <is>
          <t>KALMAR LÄN</t>
        </is>
      </c>
      <c r="G178" t="inlineStr">
        <is>
          <t>HÖGSBY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46232</v>
      </c>
      <c r="F179" t="inlineStr">
        <is>
          <t>KALMAR LÄN</t>
        </is>
      </c>
      <c r="G179" t="inlineStr">
        <is>
          <t>HÖGSBY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46232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46232</v>
      </c>
      <c r="F181" t="inlineStr">
        <is>
          <t>KALMAR LÄN</t>
        </is>
      </c>
      <c r="G181" t="inlineStr">
        <is>
          <t>HÖGSBY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46232</v>
      </c>
      <c r="F182" t="inlineStr">
        <is>
          <t>KALMAR LÄN</t>
        </is>
      </c>
      <c r="G182" t="inlineStr">
        <is>
          <t>HÖGSBY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56705-2023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45244</v>
      </c>
      <c r="E183" s="1" t="n">
        <v>46232</v>
      </c>
      <c r="F183" t="inlineStr">
        <is>
          <t>KALMAR LÄN</t>
        </is>
      </c>
      <c r="G183" t="inlineStr">
        <is>
          <t>HÖGSBY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46232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46232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46232</v>
      </c>
      <c r="F186" t="inlineStr">
        <is>
          <t>KALMAR LÄN</t>
        </is>
      </c>
      <c r="G186" t="inlineStr">
        <is>
          <t>HÖGSBY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11029-2026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46232</v>
      </c>
      <c r="F187" t="inlineStr">
        <is>
          <t>KALMAR LÄN</t>
        </is>
      </c>
      <c r="G187" t="inlineStr">
        <is>
          <t>HÖGSBY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46232</v>
      </c>
      <c r="F188" t="inlineStr">
        <is>
          <t>KALMAR LÄN</t>
        </is>
      </c>
      <c r="G188" t="inlineStr">
        <is>
          <t>HÖGSBY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58017-2025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45982</v>
      </c>
      <c r="E189" s="1" t="n">
        <v>46232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46232</v>
      </c>
      <c r="F190" t="inlineStr">
        <is>
          <t>KALMAR LÄN</t>
        </is>
      </c>
      <c r="G190" t="inlineStr">
        <is>
          <t>HÖGSBY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46232</v>
      </c>
      <c r="F191" t="inlineStr">
        <is>
          <t>KALMAR LÄN</t>
        </is>
      </c>
      <c r="G191" t="inlineStr">
        <is>
          <t>HÖGSBY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46232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46232</v>
      </c>
      <c r="F193" t="inlineStr">
        <is>
          <t>KALMAR LÄN</t>
        </is>
      </c>
      <c r="G193" t="inlineStr">
        <is>
          <t>HÖGSBY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71635-2021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44543</v>
      </c>
      <c r="E194" s="1" t="n">
        <v>46232</v>
      </c>
      <c r="F194" t="inlineStr">
        <is>
          <t>KALMAR LÄN</t>
        </is>
      </c>
      <c r="G194" t="inlineStr">
        <is>
          <t>HÖGSBY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45228</v>
      </c>
      <c r="E195" s="1" t="n">
        <v>46232</v>
      </c>
      <c r="F195" t="inlineStr">
        <is>
          <t>KALMAR LÄN</t>
        </is>
      </c>
      <c r="G195" t="inlineStr">
        <is>
          <t>HÖGSBY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46001</v>
      </c>
      <c r="E196" s="1" t="n">
        <v>46232</v>
      </c>
      <c r="F196" t="inlineStr">
        <is>
          <t>KALMAR LÄN</t>
        </is>
      </c>
      <c r="G196" t="inlineStr">
        <is>
          <t>HÖGSBY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46232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61484-2025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46232</v>
      </c>
      <c r="F198" t="inlineStr">
        <is>
          <t>KALMAR LÄN</t>
        </is>
      </c>
      <c r="G198" t="inlineStr">
        <is>
          <t>HÖGSBY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45999</v>
      </c>
      <c r="E199" s="1" t="n">
        <v>46232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46232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46232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46232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46232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55902-2024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46232</v>
      </c>
      <c r="F204" t="inlineStr">
        <is>
          <t>KALMAR LÄN</t>
        </is>
      </c>
      <c r="G204" t="inlineStr">
        <is>
          <t>HÖGSBY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46232</v>
      </c>
      <c r="F205" t="inlineStr">
        <is>
          <t>KALMAR LÄN</t>
        </is>
      </c>
      <c r="G205" t="inlineStr">
        <is>
          <t>HÖGSBY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46232</v>
      </c>
      <c r="F206" t="inlineStr">
        <is>
          <t>KALMAR LÄN</t>
        </is>
      </c>
      <c r="G206" t="inlineStr">
        <is>
          <t>HÖGSBY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46232</v>
      </c>
      <c r="F207" t="inlineStr">
        <is>
          <t>KALMAR LÄN</t>
        </is>
      </c>
      <c r="G207" t="inlineStr">
        <is>
          <t>HÖGSBY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62720-2025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46008</v>
      </c>
      <c r="E208" s="1" t="n">
        <v>46232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62722-2025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46008</v>
      </c>
      <c r="E209" s="1" t="n">
        <v>46232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46232</v>
      </c>
      <c r="F210" t="inlineStr">
        <is>
          <t>KALMAR LÄN</t>
        </is>
      </c>
      <c r="G210" t="inlineStr">
        <is>
          <t>HÖGSBY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44993</v>
      </c>
      <c r="E211" s="1" t="n">
        <v>46232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7325-2025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45702</v>
      </c>
      <c r="E212" s="1" t="n">
        <v>46232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46232</v>
      </c>
      <c r="F213" t="inlineStr">
        <is>
          <t>KALMAR LÄN</t>
        </is>
      </c>
      <c r="G213" t="inlineStr">
        <is>
          <t>HÖGSBY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44725</v>
      </c>
      <c r="E214" s="1" t="n">
        <v>46232</v>
      </c>
      <c r="F214" t="inlineStr">
        <is>
          <t>KALMAR LÄN</t>
        </is>
      </c>
      <c r="G214" t="inlineStr">
        <is>
          <t>HÖGSBY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44625</v>
      </c>
      <c r="E215" s="1" t="n">
        <v>46232</v>
      </c>
      <c r="F215" t="inlineStr">
        <is>
          <t>KALMAR LÄN</t>
        </is>
      </c>
      <c r="G215" t="inlineStr">
        <is>
          <t>HÖGSBY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44625</v>
      </c>
      <c r="E216" s="1" t="n">
        <v>46232</v>
      </c>
      <c r="F216" t="inlineStr">
        <is>
          <t>KALMAR LÄN</t>
        </is>
      </c>
      <c r="G216" t="inlineStr">
        <is>
          <t>HÖGSBY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14894-2025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45743</v>
      </c>
      <c r="E217" s="1" t="n">
        <v>46232</v>
      </c>
      <c r="F217" t="inlineStr">
        <is>
          <t>KALMAR LÄN</t>
        </is>
      </c>
      <c r="G217" t="inlineStr">
        <is>
          <t>HÖGSBY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45204</v>
      </c>
      <c r="E218" s="1" t="n">
        <v>46232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46232</v>
      </c>
      <c r="F219" t="inlineStr">
        <is>
          <t>KALMAR LÄN</t>
        </is>
      </c>
      <c r="G219" t="inlineStr">
        <is>
          <t>HÖGSBY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46232</v>
      </c>
      <c r="F220" t="inlineStr">
        <is>
          <t>KALMAR LÄN</t>
        </is>
      </c>
      <c r="G220" t="inlineStr">
        <is>
          <t>HÖGSBY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45217</v>
      </c>
      <c r="E221" s="1" t="n">
        <v>46232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45393</v>
      </c>
      <c r="E222" s="1" t="n">
        <v>46232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46232</v>
      </c>
      <c r="F223" t="inlineStr">
        <is>
          <t>KALMAR LÄN</t>
        </is>
      </c>
      <c r="G223" t="inlineStr">
        <is>
          <t>HÖGSBY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46232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44809</v>
      </c>
      <c r="E225" s="1" t="n">
        <v>46232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46232</v>
      </c>
      <c r="F226" t="inlineStr">
        <is>
          <t>KALMAR LÄN</t>
        </is>
      </c>
      <c r="G226" t="inlineStr">
        <is>
          <t>HÖGSBY</t>
        </is>
      </c>
      <c r="H226" t="inlineStr">
        <is>
          <t>Övriga Aktiebolag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46232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46114</v>
      </c>
      <c r="E228" s="1" t="n">
        <v>46232</v>
      </c>
      <c r="F228" t="inlineStr">
        <is>
          <t>KALMAR LÄN</t>
        </is>
      </c>
      <c r="G228" t="inlineStr">
        <is>
          <t>HÖGSBY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46232</v>
      </c>
      <c r="F229" t="inlineStr">
        <is>
          <t>KALMAR LÄN</t>
        </is>
      </c>
      <c r="G229" t="inlineStr">
        <is>
          <t>HÖGSBY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45247</v>
      </c>
      <c r="E230" s="1" t="n">
        <v>46232</v>
      </c>
      <c r="F230" t="inlineStr">
        <is>
          <t>KALMAR LÄN</t>
        </is>
      </c>
      <c r="G230" t="inlineStr">
        <is>
          <t>HÖGSBY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44861</v>
      </c>
      <c r="E231" s="1" t="n">
        <v>46232</v>
      </c>
      <c r="F231" t="inlineStr">
        <is>
          <t>KALMAR LÄN</t>
        </is>
      </c>
      <c r="G231" t="inlineStr">
        <is>
          <t>HÖGSBY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46232</v>
      </c>
      <c r="F232" t="inlineStr">
        <is>
          <t>KALMAR LÄN</t>
        </is>
      </c>
      <c r="G232" t="inlineStr">
        <is>
          <t>HÖGSBY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46122</v>
      </c>
      <c r="E233" s="1" t="n">
        <v>46232</v>
      </c>
      <c r="F233" t="inlineStr">
        <is>
          <t>KALMAR LÄN</t>
        </is>
      </c>
      <c r="G233" t="inlineStr">
        <is>
          <t>HÖGSBY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17250-2024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45414</v>
      </c>
      <c r="E234" s="1" t="n">
        <v>46232</v>
      </c>
      <c r="F234" t="inlineStr">
        <is>
          <t>KALMAR LÄN</t>
        </is>
      </c>
      <c r="G234" t="inlineStr">
        <is>
          <t>HÖGSBY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46232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46232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46232</v>
      </c>
      <c r="F237" t="inlineStr">
        <is>
          <t>KALMAR LÄN</t>
        </is>
      </c>
      <c r="G237" t="inlineStr">
        <is>
          <t>HÖGSBY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46232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45071</v>
      </c>
      <c r="E239" s="1" t="n">
        <v>46232</v>
      </c>
      <c r="F239" t="inlineStr">
        <is>
          <t>KALMAR LÄN</t>
        </is>
      </c>
      <c r="G239" t="inlineStr">
        <is>
          <t>HÖGSBY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46232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46232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19484-2026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46232</v>
      </c>
      <c r="F242" t="inlineStr">
        <is>
          <t>KALMAR LÄN</t>
        </is>
      </c>
      <c r="G242" t="inlineStr">
        <is>
          <t>HÖGSBY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46232</v>
      </c>
      <c r="F243" t="inlineStr">
        <is>
          <t>KALMAR LÄN</t>
        </is>
      </c>
      <c r="G243" t="inlineStr">
        <is>
          <t>HÖGSBY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46232</v>
      </c>
      <c r="F244" t="inlineStr">
        <is>
          <t>KALMAR LÄN</t>
        </is>
      </c>
      <c r="G244" t="inlineStr">
        <is>
          <t>HÖGSBY</t>
        </is>
      </c>
      <c r="H244" t="inlineStr">
        <is>
          <t>Kommuner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46232</v>
      </c>
      <c r="F245" t="inlineStr">
        <is>
          <t>KALMAR LÄN</t>
        </is>
      </c>
      <c r="G245" t="inlineStr">
        <is>
          <t>HÖGSBY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57006-2024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45626</v>
      </c>
      <c r="E246" s="1" t="n">
        <v>46232</v>
      </c>
      <c r="F246" t="inlineStr">
        <is>
          <t>KALMAR LÄN</t>
        </is>
      </c>
      <c r="G246" t="inlineStr">
        <is>
          <t>HÖGSBY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46232</v>
      </c>
      <c r="F247" t="inlineStr">
        <is>
          <t>KALMAR LÄN</t>
        </is>
      </c>
      <c r="G247" t="inlineStr">
        <is>
          <t>HÖGSBY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60853-2021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44496</v>
      </c>
      <c r="E248" s="1" t="n">
        <v>46232</v>
      </c>
      <c r="F248" t="inlineStr">
        <is>
          <t>KALMAR LÄN</t>
        </is>
      </c>
      <c r="G248" t="inlineStr">
        <is>
          <t>HÖGSBY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44876</v>
      </c>
      <c r="E249" s="1" t="n">
        <v>46232</v>
      </c>
      <c r="F249" t="inlineStr">
        <is>
          <t>KALMAR LÄN</t>
        </is>
      </c>
      <c r="G249" t="inlineStr">
        <is>
          <t>HÖGSBY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46232</v>
      </c>
      <c r="F250" t="inlineStr">
        <is>
          <t>KALMAR LÄN</t>
        </is>
      </c>
      <c r="G250" t="inlineStr">
        <is>
          <t>HÖGSBY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45758</v>
      </c>
      <c r="E251" s="1" t="n">
        <v>46232</v>
      </c>
      <c r="F251" t="inlineStr">
        <is>
          <t>KALMAR LÄN</t>
        </is>
      </c>
      <c r="G251" t="inlineStr">
        <is>
          <t>HÖGSBY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45727</v>
      </c>
      <c r="E252" s="1" t="n">
        <v>46232</v>
      </c>
      <c r="F252" t="inlineStr">
        <is>
          <t>KALMAR LÄN</t>
        </is>
      </c>
      <c r="G252" t="inlineStr">
        <is>
          <t>HÖGSBY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45274</v>
      </c>
      <c r="E253" s="1" t="n">
        <v>46232</v>
      </c>
      <c r="F253" t="inlineStr">
        <is>
          <t>KALMAR LÄN</t>
        </is>
      </c>
      <c r="G253" t="inlineStr">
        <is>
          <t>HÖGSBY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44470</v>
      </c>
      <c r="E254" s="1" t="n">
        <v>46232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14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45793</v>
      </c>
      <c r="E255" s="1" t="n">
        <v>46232</v>
      </c>
      <c r="F255" t="inlineStr">
        <is>
          <t>KALMAR LÄN</t>
        </is>
      </c>
      <c r="G255" t="inlineStr">
        <is>
          <t>HÖGSBY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44413</v>
      </c>
      <c r="E256" s="1" t="n">
        <v>46232</v>
      </c>
      <c r="F256" t="inlineStr">
        <is>
          <t>KALMAR LÄN</t>
        </is>
      </c>
      <c r="G256" t="inlineStr">
        <is>
          <t>HÖGSBY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46232</v>
      </c>
      <c r="F257" t="inlineStr">
        <is>
          <t>KALMAR LÄN</t>
        </is>
      </c>
      <c r="G257" t="inlineStr">
        <is>
          <t>HÖGSBY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46232</v>
      </c>
      <c r="F258" t="inlineStr">
        <is>
          <t>KALMAR LÄN</t>
        </is>
      </c>
      <c r="G258" t="inlineStr">
        <is>
          <t>HÖGSBY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46232</v>
      </c>
      <c r="F259" t="inlineStr">
        <is>
          <t>KALMAR LÄN</t>
        </is>
      </c>
      <c r="G259" t="inlineStr">
        <is>
          <t>HÖGSBY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51724-2025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46232</v>
      </c>
      <c r="F260" t="inlineStr">
        <is>
          <t>KALMAR LÄN</t>
        </is>
      </c>
      <c r="G260" t="inlineStr">
        <is>
          <t>HÖGSBY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37497-2022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44809</v>
      </c>
      <c r="E261" s="1" t="n">
        <v>46232</v>
      </c>
      <c r="F261" t="inlineStr">
        <is>
          <t>KALMAR LÄN</t>
        </is>
      </c>
      <c r="G261" t="inlineStr">
        <is>
          <t>HÖGSBY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46232</v>
      </c>
      <c r="F262" t="inlineStr">
        <is>
          <t>KALMAR LÄN</t>
        </is>
      </c>
      <c r="G262" t="inlineStr">
        <is>
          <t>HÖGSBY</t>
        </is>
      </c>
      <c r="H262" t="inlineStr">
        <is>
          <t>Kommuner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46232</v>
      </c>
      <c r="F263" t="inlineStr">
        <is>
          <t>KALMAR LÄN</t>
        </is>
      </c>
      <c r="G263" t="inlineStr">
        <is>
          <t>HÖGSBY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46232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46232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50414-2024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46232</v>
      </c>
      <c r="F266" t="inlineStr">
        <is>
          <t>KALMAR LÄN</t>
        </is>
      </c>
      <c r="G266" t="inlineStr">
        <is>
          <t>HÖGSBY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46232</v>
      </c>
      <c r="F267" t="inlineStr">
        <is>
          <t>KALMAR LÄN</t>
        </is>
      </c>
      <c r="G267" t="inlineStr">
        <is>
          <t>HÖGSBY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46232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13808-2024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45391</v>
      </c>
      <c r="E269" s="1" t="n">
        <v>46232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45553</v>
      </c>
      <c r="E270" s="1" t="n">
        <v>46232</v>
      </c>
      <c r="F270" t="inlineStr">
        <is>
          <t>KALMAR LÄN</t>
        </is>
      </c>
      <c r="G270" t="inlineStr">
        <is>
          <t>HÖGSBY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20770-2023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45058</v>
      </c>
      <c r="E271" s="1" t="n">
        <v>46232</v>
      </c>
      <c r="F271" t="inlineStr">
        <is>
          <t>KALMAR LÄN</t>
        </is>
      </c>
      <c r="G271" t="inlineStr">
        <is>
          <t>HÖGSBY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46232</v>
      </c>
      <c r="F272" t="inlineStr">
        <is>
          <t>KALMAR LÄN</t>
        </is>
      </c>
      <c r="G272" t="inlineStr">
        <is>
          <t>HÖGSBY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8613-2022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44613</v>
      </c>
      <c r="E273" s="1" t="n">
        <v>46232</v>
      </c>
      <c r="F273" t="inlineStr">
        <is>
          <t>KALMAR LÄN</t>
        </is>
      </c>
      <c r="G273" t="inlineStr">
        <is>
          <t>HÖGSBY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45469</v>
      </c>
      <c r="E274" s="1" t="n">
        <v>46232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46232</v>
      </c>
      <c r="F275" t="inlineStr">
        <is>
          <t>KALMAR LÄN</t>
        </is>
      </c>
      <c r="G275" t="inlineStr">
        <is>
          <t>HÖGSBY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46232</v>
      </c>
      <c r="F276" t="inlineStr">
        <is>
          <t>KALMAR LÄN</t>
        </is>
      </c>
      <c r="G276" t="inlineStr">
        <is>
          <t>HÖGSBY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46232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27812-2026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46232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8463-2023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46232</v>
      </c>
      <c r="F279" t="inlineStr">
        <is>
          <t>KALMAR LÄN</t>
        </is>
      </c>
      <c r="G279" t="inlineStr">
        <is>
          <t>HÖGSBY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30890-2023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45113</v>
      </c>
      <c r="E280" s="1" t="n">
        <v>46232</v>
      </c>
      <c r="F280" t="inlineStr">
        <is>
          <t>KALMAR LÄN</t>
        </is>
      </c>
      <c r="G280" t="inlineStr">
        <is>
          <t>HÖGSBY</t>
        </is>
      </c>
      <c r="I280" t="n">
        <v>11.6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53327-2022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44879</v>
      </c>
      <c r="E281" s="1" t="n">
        <v>46232</v>
      </c>
      <c r="F281" t="inlineStr">
        <is>
          <t>KALMAR LÄN</t>
        </is>
      </c>
      <c r="G281" t="inlineStr">
        <is>
          <t>HÖGSBY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45360</v>
      </c>
      <c r="E282" s="1" t="n">
        <v>46232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46232</v>
      </c>
      <c r="F283" t="inlineStr">
        <is>
          <t>KALMAR LÄN</t>
        </is>
      </c>
      <c r="G283" t="inlineStr">
        <is>
          <t>HÖGSBY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47797-2024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45588</v>
      </c>
      <c r="E284" s="1" t="n">
        <v>46232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45447</v>
      </c>
      <c r="E285" s="1" t="n">
        <v>46232</v>
      </c>
      <c r="F285" t="inlineStr">
        <is>
          <t>KALMAR LÄN</t>
        </is>
      </c>
      <c r="G285" t="inlineStr">
        <is>
          <t>HÖGSBY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46232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21801-2026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46232</v>
      </c>
      <c r="F287" t="inlineStr">
        <is>
          <t>KALMAR LÄN</t>
        </is>
      </c>
      <c r="G287" t="inlineStr">
        <is>
          <t>HÖGSBY</t>
        </is>
      </c>
      <c r="H287" t="inlineStr">
        <is>
          <t>Kommuner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45126</v>
      </c>
      <c r="E288" s="1" t="n">
        <v>46232</v>
      </c>
      <c r="F288" t="inlineStr">
        <is>
          <t>KALMAR LÄN</t>
        </is>
      </c>
      <c r="G288" t="inlineStr">
        <is>
          <t>HÖGSBY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46232</v>
      </c>
      <c r="F289" t="inlineStr">
        <is>
          <t>KALMAR LÄN</t>
        </is>
      </c>
      <c r="G289" t="inlineStr">
        <is>
          <t>HÖGSBY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22562-2026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46155</v>
      </c>
      <c r="E290" s="1" t="n">
        <v>46232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22564-2026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46155</v>
      </c>
      <c r="E291" s="1" t="n">
        <v>46232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46232</v>
      </c>
      <c r="F292" t="inlineStr">
        <is>
          <t>KALMAR LÄN</t>
        </is>
      </c>
      <c r="G292" t="inlineStr">
        <is>
          <t>HÖGSBY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45624</v>
      </c>
      <c r="E293" s="1" t="n">
        <v>46232</v>
      </c>
      <c r="F293" t="inlineStr">
        <is>
          <t>KALMAR LÄN</t>
        </is>
      </c>
      <c r="G293" t="inlineStr">
        <is>
          <t>HÖGSBY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46232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45160</v>
      </c>
      <c r="E295" s="1" t="n">
        <v>46232</v>
      </c>
      <c r="F295" t="inlineStr">
        <is>
          <t>KALMAR LÄN</t>
        </is>
      </c>
      <c r="G295" t="inlineStr">
        <is>
          <t>HÖGSBY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46232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28574-2026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46232</v>
      </c>
      <c r="F297" t="inlineStr">
        <is>
          <t>KALMAR LÄN</t>
        </is>
      </c>
      <c r="G297" t="inlineStr">
        <is>
          <t>HÖGSBY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46232</v>
      </c>
      <c r="F298" t="inlineStr">
        <is>
          <t>KALMAR LÄN</t>
        </is>
      </c>
      <c r="G298" t="inlineStr">
        <is>
          <t>HÖGSBY</t>
        </is>
      </c>
      <c r="H298" t="inlineStr">
        <is>
          <t>Kommuner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47503-2023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46232</v>
      </c>
      <c r="F299" t="inlineStr">
        <is>
          <t>KALMAR LÄN</t>
        </is>
      </c>
      <c r="G299" t="inlineStr">
        <is>
          <t>HÖGSBY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46232</v>
      </c>
      <c r="F300" t="inlineStr">
        <is>
          <t>KALMAR LÄN</t>
        </is>
      </c>
      <c r="G300" t="inlineStr">
        <is>
          <t>HÖGSBY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28815-2026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46232</v>
      </c>
      <c r="F301" t="inlineStr">
        <is>
          <t>KALMAR LÄN</t>
        </is>
      </c>
      <c r="G301" t="inlineStr">
        <is>
          <t>HÖGSBY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46232</v>
      </c>
      <c r="F302" t="inlineStr">
        <is>
          <t>KALMAR LÄN</t>
        </is>
      </c>
      <c r="G302" t="inlineStr">
        <is>
          <t>HÖGSBY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28692-2026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46198</v>
      </c>
      <c r="E303" s="1" t="n">
        <v>46232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28697-2026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46232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28702-2026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46198</v>
      </c>
      <c r="E305" s="1" t="n">
        <v>46232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46199</v>
      </c>
      <c r="E306" s="1" t="n">
        <v>46232</v>
      </c>
      <c r="F306" t="inlineStr">
        <is>
          <t>KALMAR LÄN</t>
        </is>
      </c>
      <c r="G306" t="inlineStr">
        <is>
          <t>HÖGSBY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46232</v>
      </c>
      <c r="F307" t="inlineStr">
        <is>
          <t>KALMAR LÄN</t>
        </is>
      </c>
      <c r="G307" t="inlineStr">
        <is>
          <t>HÖGSBY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28691-2026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46198</v>
      </c>
      <c r="E308" s="1" t="n">
        <v>46232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46232</v>
      </c>
      <c r="F309" t="inlineStr">
        <is>
          <t>KALMAR LÄN</t>
        </is>
      </c>
      <c r="G309" t="inlineStr">
        <is>
          <t>HÖGSBY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28713-2026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46198</v>
      </c>
      <c r="E310" s="1" t="n">
        <v>46232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46232</v>
      </c>
      <c r="F311" t="inlineStr">
        <is>
          <t>KALMAR LÄN</t>
        </is>
      </c>
      <c r="G311" t="inlineStr">
        <is>
          <t>HÖGSBY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22755-2026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46157</v>
      </c>
      <c r="E312" s="1" t="n">
        <v>46232</v>
      </c>
      <c r="F312" t="inlineStr">
        <is>
          <t>KALMAR LÄN</t>
        </is>
      </c>
      <c r="G312" t="inlineStr">
        <is>
          <t>HÖGSBY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46232</v>
      </c>
      <c r="F313" t="inlineStr">
        <is>
          <t>KALMAR LÄN</t>
        </is>
      </c>
      <c r="G313" t="inlineStr">
        <is>
          <t>HÖGSBY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38802-2024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45547</v>
      </c>
      <c r="E314" s="1" t="n">
        <v>46232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46157</v>
      </c>
      <c r="E315" s="1" t="n">
        <v>46232</v>
      </c>
      <c r="F315" t="inlineStr">
        <is>
          <t>KALMAR LÄN</t>
        </is>
      </c>
      <c r="G315" t="inlineStr">
        <is>
          <t>HÖGSBY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46232</v>
      </c>
      <c r="F316" t="inlineStr">
        <is>
          <t>KALMAR LÄN</t>
        </is>
      </c>
      <c r="G316" t="inlineStr">
        <is>
          <t>HÖGSBY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44866</v>
      </c>
      <c r="E317" s="1" t="n">
        <v>46232</v>
      </c>
      <c r="F317" t="inlineStr">
        <is>
          <t>KALMAR LÄN</t>
        </is>
      </c>
      <c r="G317" t="inlineStr">
        <is>
          <t>HÖGSBY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46232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46232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46232</v>
      </c>
      <c r="F320" t="inlineStr">
        <is>
          <t>KALMAR LÄN</t>
        </is>
      </c>
      <c r="G320" t="inlineStr">
        <is>
          <t>HÖGSBY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60555-2021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44496</v>
      </c>
      <c r="E321" s="1" t="n">
        <v>46232</v>
      </c>
      <c r="F321" t="inlineStr">
        <is>
          <t>KALMAR LÄN</t>
        </is>
      </c>
      <c r="G321" t="inlineStr">
        <is>
          <t>HÖGSBY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30294-2022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44760</v>
      </c>
      <c r="E322" s="1" t="n">
        <v>46232</v>
      </c>
      <c r="F322" t="inlineStr">
        <is>
          <t>KALMAR LÄN</t>
        </is>
      </c>
      <c r="G322" t="inlineStr">
        <is>
          <t>HÖGSBY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44879</v>
      </c>
      <c r="E323" s="1" t="n">
        <v>46232</v>
      </c>
      <c r="F323" t="inlineStr">
        <is>
          <t>KALMAR LÄN</t>
        </is>
      </c>
      <c r="G323" t="inlineStr">
        <is>
          <t>HÖGSBY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46232</v>
      </c>
      <c r="F324" t="inlineStr">
        <is>
          <t>KALMAR LÄN</t>
        </is>
      </c>
      <c r="G324" t="inlineStr">
        <is>
          <t>HÖGSBY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46232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23937-2026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46167</v>
      </c>
      <c r="E326" s="1" t="n">
        <v>46232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46232</v>
      </c>
      <c r="F327" t="inlineStr">
        <is>
          <t>KALMAR LÄN</t>
        </is>
      </c>
      <c r="G327" t="inlineStr">
        <is>
          <t>HÖGSBY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44987</v>
      </c>
      <c r="E328" s="1" t="n">
        <v>46232</v>
      </c>
      <c r="F328" t="inlineStr">
        <is>
          <t>KALMAR LÄN</t>
        </is>
      </c>
      <c r="G328" t="inlineStr">
        <is>
          <t>HÖGSBY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46232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46232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14193-2024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45393</v>
      </c>
      <c r="E331" s="1" t="n">
        <v>46232</v>
      </c>
      <c r="F331" t="inlineStr">
        <is>
          <t>KALMAR LÄN</t>
        </is>
      </c>
      <c r="G331" t="inlineStr">
        <is>
          <t>HÖGSBY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44924</v>
      </c>
      <c r="E332" s="1" t="n">
        <v>46232</v>
      </c>
      <c r="F332" t="inlineStr">
        <is>
          <t>KALMAR LÄN</t>
        </is>
      </c>
      <c r="G332" t="inlineStr">
        <is>
          <t>HÖGSBY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46232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46232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45254</v>
      </c>
      <c r="E335" s="1" t="n">
        <v>46232</v>
      </c>
      <c r="F335" t="inlineStr">
        <is>
          <t>KALMAR LÄN</t>
        </is>
      </c>
      <c r="G335" t="inlineStr">
        <is>
          <t>HÖGSBY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46232</v>
      </c>
      <c r="F336" t="inlineStr">
        <is>
          <t>KALMAR LÄN</t>
        </is>
      </c>
      <c r="G336" t="inlineStr">
        <is>
          <t>HÖGSBY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45552</v>
      </c>
      <c r="E337" s="1" t="n">
        <v>46232</v>
      </c>
      <c r="F337" t="inlineStr">
        <is>
          <t>KALMAR LÄN</t>
        </is>
      </c>
      <c r="G337" t="inlineStr">
        <is>
          <t>HÖGSBY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44999</v>
      </c>
      <c r="E338" s="1" t="n">
        <v>46232</v>
      </c>
      <c r="F338" t="inlineStr">
        <is>
          <t>KALMAR LÄN</t>
        </is>
      </c>
      <c r="G338" t="inlineStr">
        <is>
          <t>HÖGSBY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44981</v>
      </c>
      <c r="E339" s="1" t="n">
        <v>46232</v>
      </c>
      <c r="F339" t="inlineStr">
        <is>
          <t>KALMAR LÄN</t>
        </is>
      </c>
      <c r="G339" t="inlineStr">
        <is>
          <t>HÖGSBY</t>
        </is>
      </c>
      <c r="H339" t="inlineStr">
        <is>
          <t>Övriga Aktiebolag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46232</v>
      </c>
      <c r="F340" t="inlineStr">
        <is>
          <t>KALMAR LÄN</t>
        </is>
      </c>
      <c r="G340" t="inlineStr">
        <is>
          <t>HÖGSBY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24601-2024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45460</v>
      </c>
      <c r="E341" s="1" t="n">
        <v>46232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45546</v>
      </c>
      <c r="E342" s="1" t="n">
        <v>46232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46232</v>
      </c>
      <c r="F343" t="inlineStr">
        <is>
          <t>KALMAR LÄN</t>
        </is>
      </c>
      <c r="G343" t="inlineStr">
        <is>
          <t>HÖGSBY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45247</v>
      </c>
      <c r="E344" s="1" t="n">
        <v>46232</v>
      </c>
      <c r="F344" t="inlineStr">
        <is>
          <t>KALMAR LÄN</t>
        </is>
      </c>
      <c r="G344" t="inlineStr">
        <is>
          <t>HÖGSBY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65130-2023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45288</v>
      </c>
      <c r="E345" s="1" t="n">
        <v>46232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25355-2026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46176</v>
      </c>
      <c r="E346" s="1" t="n">
        <v>46232</v>
      </c>
      <c r="F346" t="inlineStr">
        <is>
          <t>KALMAR LÄN</t>
        </is>
      </c>
      <c r="G346" t="inlineStr">
        <is>
          <t>HÖGSBY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45341</v>
      </c>
      <c r="E347" s="1" t="n">
        <v>46232</v>
      </c>
      <c r="F347" t="inlineStr">
        <is>
          <t>KALMAR LÄN</t>
        </is>
      </c>
      <c r="G347" t="inlineStr">
        <is>
          <t>HÖGSBY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49486-2022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44861</v>
      </c>
      <c r="E348" s="1" t="n">
        <v>46232</v>
      </c>
      <c r="F348" t="inlineStr">
        <is>
          <t>KALMAR LÄN</t>
        </is>
      </c>
      <c r="G348" t="inlineStr">
        <is>
          <t>HÖGSBY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46232</v>
      </c>
      <c r="F349" t="inlineStr">
        <is>
          <t>KALMAR LÄN</t>
        </is>
      </c>
      <c r="G349" t="inlineStr">
        <is>
          <t>HÖGSBY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25352-2026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46176</v>
      </c>
      <c r="E350" s="1" t="n">
        <v>46232</v>
      </c>
      <c r="F350" t="inlineStr">
        <is>
          <t>KALMAR LÄN</t>
        </is>
      </c>
      <c r="G350" t="inlineStr">
        <is>
          <t>HÖGSBY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46232</v>
      </c>
      <c r="F351" t="inlineStr">
        <is>
          <t>KALMAR LÄN</t>
        </is>
      </c>
      <c r="G351" t="inlineStr">
        <is>
          <t>HÖGSBY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46232</v>
      </c>
      <c r="F352" t="inlineStr">
        <is>
          <t>KALMAR LÄN</t>
        </is>
      </c>
      <c r="G352" t="inlineStr">
        <is>
          <t>HÖGSBY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46232</v>
      </c>
      <c r="F353" t="inlineStr">
        <is>
          <t>KALMAR LÄN</t>
        </is>
      </c>
      <c r="G353" t="inlineStr">
        <is>
          <t>HÖGSBY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46232</v>
      </c>
      <c r="F354" t="inlineStr">
        <is>
          <t>KALMAR LÄN</t>
        </is>
      </c>
      <c r="G354" t="inlineStr">
        <is>
          <t>HÖGSBY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44907</v>
      </c>
      <c r="E355" s="1" t="n">
        <v>46232</v>
      </c>
      <c r="F355" t="inlineStr">
        <is>
          <t>KALMAR LÄN</t>
        </is>
      </c>
      <c r="G355" t="inlineStr">
        <is>
          <t>HÖGSBY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46232</v>
      </c>
      <c r="F356" t="inlineStr">
        <is>
          <t>KALMAR LÄN</t>
        </is>
      </c>
      <c r="G356" t="inlineStr">
        <is>
          <t>HÖGSBY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45608</v>
      </c>
      <c r="E357" s="1" t="n">
        <v>46232</v>
      </c>
      <c r="F357" t="inlineStr">
        <is>
          <t>KALMAR LÄN</t>
        </is>
      </c>
      <c r="G357" t="inlineStr">
        <is>
          <t>HÖGSBY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26752-2026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46184</v>
      </c>
      <c r="E358" s="1" t="n">
        <v>46232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26757-2026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46184</v>
      </c>
      <c r="E359" s="1" t="n">
        <v>46232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46232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46232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45624</v>
      </c>
      <c r="E362" s="1" t="n">
        <v>46232</v>
      </c>
      <c r="F362" t="inlineStr">
        <is>
          <t>KALMAR LÄN</t>
        </is>
      </c>
      <c r="G362" t="inlineStr">
        <is>
          <t>HÖGSBY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46184</v>
      </c>
      <c r="E363" s="1" t="n">
        <v>46232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46184</v>
      </c>
      <c r="E364" s="1" t="n">
        <v>46232</v>
      </c>
      <c r="F364" t="inlineStr">
        <is>
          <t>KALMAR LÄN</t>
        </is>
      </c>
      <c r="G364" t="inlineStr">
        <is>
          <t>HÖGSBY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46184</v>
      </c>
      <c r="E365" s="1" t="n">
        <v>46232</v>
      </c>
      <c r="F365" t="inlineStr">
        <is>
          <t>KALMAR LÄN</t>
        </is>
      </c>
      <c r="G365" t="inlineStr">
        <is>
          <t>HÖGSBY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46232</v>
      </c>
      <c r="F366" t="inlineStr">
        <is>
          <t>KALMAR LÄN</t>
        </is>
      </c>
      <c r="G366" t="inlineStr">
        <is>
          <t>HÖGSBY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44953</v>
      </c>
      <c r="E367" s="1" t="n">
        <v>46232</v>
      </c>
      <c r="F367" t="inlineStr">
        <is>
          <t>KALMAR LÄN</t>
        </is>
      </c>
      <c r="G367" t="inlineStr">
        <is>
          <t>HÖGSBY</t>
        </is>
      </c>
      <c r="H367" t="inlineStr">
        <is>
          <t>Övriga Aktiebolag</t>
        </is>
      </c>
      <c r="I367" t="n">
        <v>15.2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46232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46232</v>
      </c>
      <c r="F369" t="inlineStr">
        <is>
          <t>KALMAR LÄN</t>
        </is>
      </c>
      <c r="G369" t="inlineStr">
        <is>
          <t>HÖGSBY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47571-2023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45203</v>
      </c>
      <c r="E370" s="1" t="n">
        <v>46232</v>
      </c>
      <c r="F370" t="inlineStr">
        <is>
          <t>KALMAR LÄN</t>
        </is>
      </c>
      <c r="G370" t="inlineStr">
        <is>
          <t>HÖGSBY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44939</v>
      </c>
      <c r="E371" s="1" t="n">
        <v>46232</v>
      </c>
      <c r="F371" t="inlineStr">
        <is>
          <t>KALMAR LÄN</t>
        </is>
      </c>
      <c r="G371" t="inlineStr">
        <is>
          <t>HÖGSBY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46232</v>
      </c>
      <c r="F372" t="inlineStr">
        <is>
          <t>KALMAR LÄN</t>
        </is>
      </c>
      <c r="G372" t="inlineStr">
        <is>
          <t>HÖGSBY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46232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8.699999999999999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46329-2024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45581</v>
      </c>
      <c r="E374" s="1" t="n">
        <v>46232</v>
      </c>
      <c r="F374" t="inlineStr">
        <is>
          <t>KALMAR LÄN</t>
        </is>
      </c>
      <c r="G374" t="inlineStr">
        <is>
          <t>HÖGSBY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46232</v>
      </c>
      <c r="F375" t="inlineStr">
        <is>
          <t>KALMAR LÄN</t>
        </is>
      </c>
      <c r="G375" t="inlineStr">
        <is>
          <t>HÖGSBY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27689-2026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46232</v>
      </c>
      <c r="F376" t="inlineStr">
        <is>
          <t>KALMAR LÄN</t>
        </is>
      </c>
      <c r="G376" t="inlineStr">
        <is>
          <t>HÖGSBY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50367-2022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44866</v>
      </c>
      <c r="E377" s="1" t="n">
        <v>46232</v>
      </c>
      <c r="F377" t="inlineStr">
        <is>
          <t>KALMAR LÄN</t>
        </is>
      </c>
      <c r="G377" t="inlineStr">
        <is>
          <t>HÖGSBY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46232</v>
      </c>
      <c r="F378" t="inlineStr">
        <is>
          <t>KALMAR LÄN</t>
        </is>
      </c>
      <c r="G378" t="inlineStr">
        <is>
          <t>HÖGSBY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45307</v>
      </c>
      <c r="E379" s="1" t="n">
        <v>46232</v>
      </c>
      <c r="F379" t="inlineStr">
        <is>
          <t>KALMAR LÄN</t>
        </is>
      </c>
      <c r="G379" t="inlineStr">
        <is>
          <t>HÖGSBY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46232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46232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46232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46232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24378-2025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46232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45796</v>
      </c>
      <c r="E385" s="1" t="n">
        <v>46232</v>
      </c>
      <c r="F385" t="inlineStr">
        <is>
          <t>KALMAR LÄN</t>
        </is>
      </c>
      <c r="G385" t="inlineStr">
        <is>
          <t>HÖGSBY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46232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46232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46232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46232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46232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46232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46232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46232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46232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46232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46232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46232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46232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46232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46232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46232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46232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46232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46232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46232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46232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46232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46232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2026-07-29T01:51:18Z</dcterms:created>
  <dcterms:modified xmlns:dcterms="http://purl.org/dc/terms/" xmlns:xsi="http://www.w3.org/2001/XMLSchema-instance" xsi:type="dcterms:W3CDTF">2026-07-29T01:51:18Z</dcterms:modified>
</cp:coreProperties>
</file>