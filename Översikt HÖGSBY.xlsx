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46281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46281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46281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46281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46281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46281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46281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46281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46281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46281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46281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46281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46281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46281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46281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46281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46281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58017-2025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45982</v>
      </c>
      <c r="E19" s="1" t="n">
        <v>46281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8.4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Backvickermal
Björksplintborre
Blåmossa
Kornknutmossa</t>
        </is>
      </c>
      <c r="W19">
        <f>HYPERLINK("https://klasma.github.io/Logging_0821/artfynd/A 58017-2025 artfynd.xlsx", "A 58017-2025")</f>
        <v/>
      </c>
      <c r="X19">
        <f>HYPERLINK("https://klasma.github.io/Logging_0821/kartor/A 58017-2025 karta.png", "A 58017-2025")</f>
        <v/>
      </c>
      <c r="Y19">
        <f>HYPERLINK("https://klasma.github.io/Logging_0821/kartor_geotiff/A 58017-2025 georefererad karta.tif", "A 58017-2025")</f>
        <v/>
      </c>
      <c r="AA19">
        <f>HYPERLINK("https://klasma.github.io/Logging_0821/klagomål/A 58017-2025 FSC-klagomål.docx", "A 58017-2025")</f>
        <v/>
      </c>
      <c r="AB19">
        <f>HYPERLINK("https://klasma.github.io/Logging_0821/klagomålsmail/A 58017-2025 FSC-klagomål mail.docx", "A 58017-2025")</f>
        <v/>
      </c>
      <c r="AC19">
        <f>HYPERLINK("https://klasma.github.io/Logging_0821/tillsyn/A 58017-2025 tillsynsbegäran.docx", "A 58017-2025")</f>
        <v/>
      </c>
      <c r="AD19">
        <f>HYPERLINK("https://klasma.github.io/Logging_0821/tillsynsmail/A 58017-2025 tillsynsbegäran mail.docx", "A 58017-2025")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46281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46281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46281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46281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46281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46281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46281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46281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46281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46281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46281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46281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46281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46281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46281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30203-2023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45110</v>
      </c>
      <c r="E35" s="1" t="n">
        <v>46281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3.4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6</v>
      </c>
      <c r="U35" t="n">
        <v>1</v>
      </c>
      <c r="V35" s="2" t="inlineStr">
        <is>
          <t>Mistel
Gullviva</t>
        </is>
      </c>
      <c r="W35">
        <f>HYPERLINK("https://klasma.github.io/Logging_0821/artfynd/A 30203-2023 artfynd.xlsx", "A 30203-2023")</f>
        <v/>
      </c>
      <c r="X35">
        <f>HYPERLINK("https://klasma.github.io/Logging_0821/kartor/A 30203-2023 karta.png", "A 30203-2023")</f>
        <v/>
      </c>
      <c r="Y35">
        <f>HYPERLINK("https://klasma.github.io/Logging_0821/kartor_geotiff/A 30203-2023 georefererad karta.tif", "A 30203-2023")</f>
        <v/>
      </c>
      <c r="AA35">
        <f>HYPERLINK("https://klasma.github.io/Logging_0821/klagomål/A 30203-2023 FSC-klagomål.docx", "A 30203-2023")</f>
        <v/>
      </c>
      <c r="AB35">
        <f>HYPERLINK("https://klasma.github.io/Logging_0821/klagomålsmail/A 30203-2023 FSC-klagomål mail.docx", "A 30203-2023")</f>
        <v/>
      </c>
      <c r="AC35">
        <f>HYPERLINK("https://klasma.github.io/Logging_0821/tillsyn/A 30203-2023 tillsynsbegäran.docx", "A 30203-2023")</f>
        <v/>
      </c>
      <c r="AD35">
        <f>HYPERLINK("https://klasma.github.io/Logging_0821/tillsynsmail/A 30203-2023 tillsynsbegäran mail.docx", "A 30203-2023")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46281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46281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46281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46281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35072-2023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46281</v>
      </c>
      <c r="F40" t="inlineStr">
        <is>
          <t>KALMAR LÄN</t>
        </is>
      </c>
      <c r="G40" t="inlineStr">
        <is>
          <t>HÖGSBY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35072-2023 artfynd.xlsx", "A 35072-2023")</f>
        <v/>
      </c>
      <c r="X40">
        <f>HYPERLINK("https://klasma.github.io/Logging_0821/kartor/A 35072-2023 karta.png", "A 35072-2023")</f>
        <v/>
      </c>
      <c r="Y40">
        <f>HYPERLINK("https://klasma.github.io/Logging_0821/kartor_geotiff/A 35072-2023 georefererad karta.tif", "A 35072-2023")</f>
        <v/>
      </c>
      <c r="AA40">
        <f>HYPERLINK("https://klasma.github.io/Logging_0821/klagomål/A 35072-2023 FSC-klagomål.docx", "A 35072-2023")</f>
        <v/>
      </c>
      <c r="AB40">
        <f>HYPERLINK("https://klasma.github.io/Logging_0821/klagomålsmail/A 35072-2023 FSC-klagomål mail.docx", "A 35072-2023")</f>
        <v/>
      </c>
      <c r="AC40">
        <f>HYPERLINK("https://klasma.github.io/Logging_0821/tillsyn/A 35072-2023 tillsynsbegäran.docx", "A 35072-2023")</f>
        <v/>
      </c>
      <c r="AD40">
        <f>HYPERLINK("https://klasma.github.io/Logging_0821/tillsynsmail/A 35072-2023 tillsynsbegäran mail.docx", "A 35072-2023")</f>
        <v/>
      </c>
    </row>
    <row r="41" ht="15" customHeight="1">
      <c r="A41" t="inlineStr">
        <is>
          <t>A 19519-2025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46281</v>
      </c>
      <c r="F41" t="inlineStr">
        <is>
          <t>KALMAR LÄN</t>
        </is>
      </c>
      <c r="G41" t="inlineStr">
        <is>
          <t>HÖGSBY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Dropptaggsvamp</t>
        </is>
      </c>
      <c r="W41">
        <f>HYPERLINK("https://klasma.github.io/Logging_0821/artfynd/A 19519-2025 artfynd.xlsx", "A 19519-2025")</f>
        <v/>
      </c>
      <c r="X41">
        <f>HYPERLINK("https://klasma.github.io/Logging_0821/kartor/A 19519-2025 karta.png", "A 19519-2025")</f>
        <v/>
      </c>
      <c r="Y41">
        <f>HYPERLINK("https://klasma.github.io/Logging_0821/kartor_geotiff/A 19519-2025 georefererad karta.tif", "A 19519-2025")</f>
        <v/>
      </c>
      <c r="AA41">
        <f>HYPERLINK("https://klasma.github.io/Logging_0821/klagomål/A 19519-2025 FSC-klagomål.docx", "A 19519-2025")</f>
        <v/>
      </c>
      <c r="AB41">
        <f>HYPERLINK("https://klasma.github.io/Logging_0821/klagomålsmail/A 19519-2025 FSC-klagomål mail.docx", "A 19519-2025")</f>
        <v/>
      </c>
      <c r="AC41">
        <f>HYPERLINK("https://klasma.github.io/Logging_0821/tillsyn/A 19519-2025 tillsynsbegäran.docx", "A 19519-2025")</f>
        <v/>
      </c>
      <c r="AD41">
        <f>HYPERLINK("https://klasma.github.io/Logging_0821/tillsynsmail/A 19519-2025 tillsynsbegäran mail.docx", "A 19519-2025")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46281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46281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46281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46281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59700-2023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45256</v>
      </c>
      <c r="E46" s="1" t="n">
        <v>46281</v>
      </c>
      <c r="F46" t="inlineStr">
        <is>
          <t>KALMAR LÄN</t>
        </is>
      </c>
      <c r="G46" t="inlineStr">
        <is>
          <t>HÖGSBY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HYPERLINK("https://klasma.github.io/Logging_0821/artfynd/A 59700-2023 artfynd.xlsx", "A 59700-2023")</f>
        <v/>
      </c>
      <c r="X46">
        <f>HYPERLINK("https://klasma.github.io/Logging_0821/kartor/A 59700-2023 karta.png", "A 59700-2023")</f>
        <v/>
      </c>
      <c r="Y46">
        <f>HYPERLINK("https://klasma.github.io/Logging_0821/kartor_geotiff/A 59700-2023 georefererad karta.tif", "A 59700-2023")</f>
        <v/>
      </c>
      <c r="AA46">
        <f>HYPERLINK("https://klasma.github.io/Logging_0821/klagomål/A 59700-2023 FSC-klagomål.docx", "A 59700-2023")</f>
        <v/>
      </c>
      <c r="AB46">
        <f>HYPERLINK("https://klasma.github.io/Logging_0821/klagomålsmail/A 59700-2023 FSC-klagomål mail.docx", "A 59700-2023")</f>
        <v/>
      </c>
      <c r="AC46">
        <f>HYPERLINK("https://klasma.github.io/Logging_0821/tillsyn/A 59700-2023 tillsynsbegäran.docx", "A 59700-2023")</f>
        <v/>
      </c>
      <c r="AD46">
        <f>HYPERLINK("https://klasma.github.io/Logging_0821/tillsynsmail/A 59700-2023 tillsynsbegäran mail.docx", "A 59700-2023")</f>
        <v/>
      </c>
      <c r="AE46">
        <f>HYPERLINK("https://klasma.github.io/Logging_0821/fåglar/A 59700-2023 prioriterade fågelarter.docx", "A 59700-2023")</f>
        <v/>
      </c>
    </row>
    <row r="47" ht="15" customHeight="1">
      <c r="A47" t="inlineStr">
        <is>
          <t>A 24911-2023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46281</v>
      </c>
      <c r="F47" t="inlineStr">
        <is>
          <t>KALMAR LÄN</t>
        </is>
      </c>
      <c r="G47" t="inlineStr">
        <is>
          <t>HÖGSBY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Sotlav</t>
        </is>
      </c>
      <c r="W47">
        <f>HYPERLINK("https://klasma.github.io/Logging_0821/artfynd/A 24911-2023 artfynd.xlsx", "A 24911-2023")</f>
        <v/>
      </c>
      <c r="X47">
        <f>HYPERLINK("https://klasma.github.io/Logging_0821/kartor/A 24911-2023 karta.png", "A 24911-2023")</f>
        <v/>
      </c>
      <c r="Y47">
        <f>HYPERLINK("https://klasma.github.io/Logging_0821/kartor_geotiff/A 24911-2023 georefererad karta.tif", "A 24911-2023")</f>
        <v/>
      </c>
      <c r="AA47">
        <f>HYPERLINK("https://klasma.github.io/Logging_0821/klagomål/A 24911-2023 FSC-klagomål.docx", "A 24911-2023")</f>
        <v/>
      </c>
      <c r="AB47">
        <f>HYPERLINK("https://klasma.github.io/Logging_0821/klagomålsmail/A 24911-2023 FSC-klagomål mail.docx", "A 24911-2023")</f>
        <v/>
      </c>
      <c r="AC47">
        <f>HYPERLINK("https://klasma.github.io/Logging_0821/tillsyn/A 24911-2023 tillsynsbegäran.docx", "A 24911-2023")</f>
        <v/>
      </c>
      <c r="AD47">
        <f>HYPERLINK("https://klasma.github.io/Logging_0821/tillsynsmail/A 24911-2023 tillsynsbegäran mail.docx", "A 24911-2023")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46281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52177-2022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46281</v>
      </c>
      <c r="F49" t="inlineStr">
        <is>
          <t>KALMAR LÄN</t>
        </is>
      </c>
      <c r="G49" t="inlineStr">
        <is>
          <t>HÖGSBY</t>
        </is>
      </c>
      <c r="I49" t="n">
        <v>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Nordfladdermus</t>
        </is>
      </c>
      <c r="W49">
        <f>HYPERLINK("https://klasma.github.io/Logging_0821/artfynd/A 52177-2022 artfynd.xlsx", "A 52177-2022")</f>
        <v/>
      </c>
      <c r="X49">
        <f>HYPERLINK("https://klasma.github.io/Logging_0821/kartor/A 52177-2022 karta.png", "A 52177-2022")</f>
        <v/>
      </c>
      <c r="Y49">
        <f>HYPERLINK("https://klasma.github.io/Logging_0821/kartor_geotiff/A 52177-2022 georefererad karta.tif", "A 52177-2022")</f>
        <v/>
      </c>
      <c r="AA49">
        <f>HYPERLINK("https://klasma.github.io/Logging_0821/klagomål/A 52177-2022 FSC-klagomål.docx", "A 52177-2022")</f>
        <v/>
      </c>
      <c r="AB49">
        <f>HYPERLINK("https://klasma.github.io/Logging_0821/klagomålsmail/A 52177-2022 FSC-klagomål mail.docx", "A 52177-2022")</f>
        <v/>
      </c>
      <c r="AC49">
        <f>HYPERLINK("https://klasma.github.io/Logging_0821/tillsyn/A 52177-2022 tillsynsbegäran.docx", "A 52177-2022")</f>
        <v/>
      </c>
      <c r="AD49">
        <f>HYPERLINK("https://klasma.github.io/Logging_0821/tillsynsmail/A 52177-2022 tillsynsbegäran mail.docx", "A 52177-2022")</f>
        <v/>
      </c>
    </row>
    <row r="50" ht="15" customHeight="1">
      <c r="A50" t="inlineStr">
        <is>
          <t>A 58792-2022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46281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58792-2022 artfynd.xlsx", "A 58792-2022")</f>
        <v/>
      </c>
      <c r="X50">
        <f>HYPERLINK("https://klasma.github.io/Logging_0821/kartor/A 58792-2022 karta.png", "A 58792-2022")</f>
        <v/>
      </c>
      <c r="Y50">
        <f>HYPERLINK("https://klasma.github.io/Logging_0821/kartor_geotiff/A 58792-2022 georefererad karta.tif", "A 58792-2022")</f>
        <v/>
      </c>
      <c r="AA50">
        <f>HYPERLINK("https://klasma.github.io/Logging_0821/klagomål/A 58792-2022 FSC-klagomål.docx", "A 58792-2022")</f>
        <v/>
      </c>
      <c r="AB50">
        <f>HYPERLINK("https://klasma.github.io/Logging_0821/klagomålsmail/A 58792-2022 FSC-klagomål mail.docx", "A 58792-2022")</f>
        <v/>
      </c>
      <c r="AC50">
        <f>HYPERLINK("https://klasma.github.io/Logging_0821/tillsyn/A 58792-2022 tillsynsbegäran.docx", "A 58792-2022")</f>
        <v/>
      </c>
      <c r="AD50">
        <f>HYPERLINK("https://klasma.github.io/Logging_0821/tillsynsmail/A 58792-2022 tillsynsbegäran mail.docx", "A 58792-2022")</f>
        <v/>
      </c>
    </row>
    <row r="51" ht="15" customHeight="1">
      <c r="A51" t="inlineStr">
        <is>
          <t>A 26145-2026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46281</v>
      </c>
      <c r="F51" t="inlineStr">
        <is>
          <t>KALMAR LÄN</t>
        </is>
      </c>
      <c r="G51" t="inlineStr">
        <is>
          <t>HÖGSBY</t>
        </is>
      </c>
      <c r="I51" t="n">
        <v>1.6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0</v>
      </c>
      <c r="V51" s="2" t="inlineStr">
        <is>
          <t>Gullviva</t>
        </is>
      </c>
      <c r="W51">
        <f>HYPERLINK("https://klasma.github.io/Logging_0821/artfynd/A 26145-2026 artfynd.xlsx", "A 26145-2026")</f>
        <v/>
      </c>
      <c r="X51">
        <f>HYPERLINK("https://klasma.github.io/Logging_0821/kartor/A 26145-2026 karta.png", "A 26145-2026")</f>
        <v/>
      </c>
      <c r="Y51">
        <f>HYPERLINK("https://klasma.github.io/Logging_0821/kartor_geotiff/A 26145-2026 georefererad karta.tif", "A 26145-2026")</f>
        <v/>
      </c>
      <c r="AA51">
        <f>HYPERLINK("https://klasma.github.io/Logging_0821/klagomål/A 26145-2026 FSC-klagomål.docx", "A 26145-2026")</f>
        <v/>
      </c>
      <c r="AB51">
        <f>HYPERLINK("https://klasma.github.io/Logging_0821/klagomålsmail/A 26145-2026 FSC-klagomål mail.docx", "A 26145-2026")</f>
        <v/>
      </c>
      <c r="AC51">
        <f>HYPERLINK("https://klasma.github.io/Logging_0821/tillsyn/A 26145-2026 tillsynsbegäran.docx", "A 26145-2026")</f>
        <v/>
      </c>
      <c r="AD51">
        <f>HYPERLINK("https://klasma.github.io/Logging_0821/tillsynsmail/A 26145-2026 tillsynsbegäran mail.docx", "A 26145-2026")</f>
        <v/>
      </c>
    </row>
    <row r="52" ht="15" customHeight="1">
      <c r="A52" t="inlineStr">
        <is>
          <t>A 27366-2026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46281</v>
      </c>
      <c r="F52" t="inlineStr">
        <is>
          <t>KALMAR LÄN</t>
        </is>
      </c>
      <c r="G52" t="inlineStr">
        <is>
          <t>HÖGSBY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HYPERLINK("https://klasma.github.io/Logging_0821/artfynd/A 27366-2026 artfynd.xlsx", "A 27366-2026")</f>
        <v/>
      </c>
      <c r="X52">
        <f>HYPERLINK("https://klasma.github.io/Logging_0821/kartor/A 27366-2026 karta.png", "A 27366-2026")</f>
        <v/>
      </c>
      <c r="Y52">
        <f>HYPERLINK("https://klasma.github.io/Logging_0821/kartor_geotiff/A 27366-2026 georefererad karta.tif", "A 27366-2026")</f>
        <v/>
      </c>
      <c r="AA52">
        <f>HYPERLINK("https://klasma.github.io/Logging_0821/klagomål/A 27366-2026 FSC-klagomål.docx", "A 27366-2026")</f>
        <v/>
      </c>
      <c r="AB52">
        <f>HYPERLINK("https://klasma.github.io/Logging_0821/klagomålsmail/A 27366-2026 FSC-klagomål mail.docx", "A 27366-2026")</f>
        <v/>
      </c>
      <c r="AC52">
        <f>HYPERLINK("https://klasma.github.io/Logging_0821/tillsyn/A 27366-2026 tillsynsbegäran.docx", "A 27366-2026")</f>
        <v/>
      </c>
      <c r="AD52">
        <f>HYPERLINK("https://klasma.github.io/Logging_0821/tillsynsmail/A 27366-2026 tillsynsbegäran mail.docx", "A 27366-2026")</f>
        <v/>
      </c>
    </row>
    <row r="53" ht="15" customHeight="1">
      <c r="A53" t="inlineStr">
        <is>
          <t>A 59407-2022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46281</v>
      </c>
      <c r="F53" t="inlineStr">
        <is>
          <t>KALMAR LÄN</t>
        </is>
      </c>
      <c r="G53" t="inlineStr">
        <is>
          <t>HÖGSBY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1</v>
      </c>
      <c r="V53" s="2" t="inlineStr">
        <is>
          <t>Blåsippa</t>
        </is>
      </c>
      <c r="W53">
        <f>HYPERLINK("https://klasma.github.io/Logging_0821/artfynd/A 59407-2022 artfynd.xlsx", "A 59407-2022")</f>
        <v/>
      </c>
      <c r="X53">
        <f>HYPERLINK("https://klasma.github.io/Logging_0821/kartor/A 59407-2022 karta.png", "A 59407-2022")</f>
        <v/>
      </c>
      <c r="Y53">
        <f>HYPERLINK("https://klasma.github.io/Logging_0821/kartor_geotiff/A 59407-2022 georefererad karta.tif", "A 59407-2022")</f>
        <v/>
      </c>
      <c r="AA53">
        <f>HYPERLINK("https://klasma.github.io/Logging_0821/klagomål/A 59407-2022 FSC-klagomål.docx", "A 59407-2022")</f>
        <v/>
      </c>
      <c r="AB53">
        <f>HYPERLINK("https://klasma.github.io/Logging_0821/klagomålsmail/A 59407-2022 FSC-klagomål mail.docx", "A 59407-2022")</f>
        <v/>
      </c>
      <c r="AC53">
        <f>HYPERLINK("https://klasma.github.io/Logging_0821/tillsyn/A 59407-2022 tillsynsbegäran.docx", "A 59407-2022")</f>
        <v/>
      </c>
      <c r="AD53">
        <f>HYPERLINK("https://klasma.github.io/Logging_0821/tillsynsmail/A 59407-2022 tillsynsbegäran mail.docx", "A 59407-2022")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46281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Spillkråka</t>
        </is>
      </c>
      <c r="W54">
        <f>HYPERLINK("https://klasma.github.io/Logging_0821/artfynd/A 28894-2026 artfynd.xlsx", "A 28894-2026")</f>
        <v/>
      </c>
      <c r="X54">
        <f>HYPERLINK("https://klasma.github.io/Logging_0821/kartor/A 28894-2026 karta.png", "A 28894-2026")</f>
        <v/>
      </c>
      <c r="Y54">
        <f>HYPERLINK("https://klasma.github.io/Logging_0821/kartor_geotiff/A 28894-2026 georefererad karta.tif", "A 28894-2026")</f>
        <v/>
      </c>
      <c r="AA54">
        <f>HYPERLINK("https://klasma.github.io/Logging_0821/klagomål/A 28894-2026 FSC-klagomål.docx", "A 28894-2026")</f>
        <v/>
      </c>
      <c r="AB54">
        <f>HYPERLINK("https://klasma.github.io/Logging_0821/klagomålsmail/A 28894-2026 FSC-klagomål mail.docx", "A 28894-2026")</f>
        <v/>
      </c>
      <c r="AC54">
        <f>HYPERLINK("https://klasma.github.io/Logging_0821/tillsyn/A 28894-2026 tillsynsbegäran.docx", "A 28894-2026")</f>
        <v/>
      </c>
      <c r="AD54">
        <f>HYPERLINK("https://klasma.github.io/Logging_0821/tillsynsmail/A 28894-2026 tillsynsbegäran mail.docx", "A 28894-2026")</f>
        <v/>
      </c>
      <c r="AE54">
        <f>HYPERLINK("https://klasma.github.io/Logging_0821/fåglar/A 28894-2026 prioriterade fågelarter.docx", "A 28894-2026")</f>
        <v/>
      </c>
    </row>
    <row r="55" ht="15" customHeight="1">
      <c r="A55" t="inlineStr">
        <is>
          <t>A 35075-2023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46281</v>
      </c>
      <c r="F55" t="inlineStr">
        <is>
          <t>KALMAR LÄN</t>
        </is>
      </c>
      <c r="G55" t="inlineStr">
        <is>
          <t>HÖGSBY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35075-2023 artfynd.xlsx", "A 35075-2023")</f>
        <v/>
      </c>
      <c r="X55">
        <f>HYPERLINK("https://klasma.github.io/Logging_0821/kartor/A 35075-2023 karta.png", "A 35075-2023")</f>
        <v/>
      </c>
      <c r="Y55">
        <f>HYPERLINK("https://klasma.github.io/Logging_0821/kartor_geotiff/A 35075-2023 georefererad karta.tif", "A 35075-2023")</f>
        <v/>
      </c>
      <c r="AA55">
        <f>HYPERLINK("https://klasma.github.io/Logging_0821/klagomål/A 35075-2023 FSC-klagomål.docx", "A 35075-2023")</f>
        <v/>
      </c>
      <c r="AB55">
        <f>HYPERLINK("https://klasma.github.io/Logging_0821/klagomålsmail/A 35075-2023 FSC-klagomål mail.docx", "A 35075-2023")</f>
        <v/>
      </c>
      <c r="AC55">
        <f>HYPERLINK("https://klasma.github.io/Logging_0821/tillsyn/A 35075-2023 tillsynsbegäran.docx", "A 35075-2023")</f>
        <v/>
      </c>
      <c r="AD55">
        <f>HYPERLINK("https://klasma.github.io/Logging_0821/tillsynsmail/A 35075-2023 tillsynsbegäran mail.docx", "A 35075-2023")</f>
        <v/>
      </c>
    </row>
    <row r="56" ht="15" customHeight="1">
      <c r="A56" t="inlineStr">
        <is>
          <t>A 1519-2022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46281</v>
      </c>
      <c r="F56" t="inlineStr">
        <is>
          <t>KALMAR LÄN</t>
        </is>
      </c>
      <c r="G56" t="inlineStr">
        <is>
          <t>HÖGSBY</t>
        </is>
      </c>
      <c r="I56" t="n">
        <v>2.6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HYPERLINK("https://klasma.github.io/Logging_0821/artfynd/A 1519-2022 artfynd.xlsx", "A 1519-2022")</f>
        <v/>
      </c>
      <c r="X56">
        <f>HYPERLINK("https://klasma.github.io/Logging_0821/kartor/A 1519-2022 karta.png", "A 1519-2022")</f>
        <v/>
      </c>
      <c r="Y56">
        <f>HYPERLINK("https://klasma.github.io/Logging_0821/kartor_geotiff/A 1519-2022 georefererad karta.tif", "A 1519-2022")</f>
        <v/>
      </c>
      <c r="AA56">
        <f>HYPERLINK("https://klasma.github.io/Logging_0821/klagomål/A 1519-2022 FSC-klagomål.docx", "A 1519-2022")</f>
        <v/>
      </c>
      <c r="AB56">
        <f>HYPERLINK("https://klasma.github.io/Logging_0821/klagomålsmail/A 1519-2022 FSC-klagomål mail.docx", "A 1519-2022")</f>
        <v/>
      </c>
      <c r="AC56">
        <f>HYPERLINK("https://klasma.github.io/Logging_0821/tillsyn/A 1519-2022 tillsynsbegäran.docx", "A 1519-2022")</f>
        <v/>
      </c>
      <c r="AD56">
        <f>HYPERLINK("https://klasma.github.io/Logging_0821/tillsynsmail/A 1519-2022 tillsynsbegäran mail.docx", "A 1519-2022")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46281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46281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46281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46281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46281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46281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46281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46281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46281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46281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46281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46281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46281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46281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46281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46281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46281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46281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46281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46281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46281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46281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46281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46281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46281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46281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46281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46281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46281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46281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46281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46281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46281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46281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46281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45145</v>
      </c>
      <c r="E92" s="1" t="n">
        <v>46281</v>
      </c>
      <c r="F92" t="inlineStr">
        <is>
          <t>KALMAR LÄN</t>
        </is>
      </c>
      <c r="G92" t="inlineStr">
        <is>
          <t>HÖGSBY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46281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46281</v>
      </c>
      <c r="F94" t="inlineStr">
        <is>
          <t>KALMAR LÄN</t>
        </is>
      </c>
      <c r="G94" t="inlineStr">
        <is>
          <t>HÖGSBY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63379-2023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46281</v>
      </c>
      <c r="F95" t="inlineStr">
        <is>
          <t>KALMAR LÄN</t>
        </is>
      </c>
      <c r="G95" t="inlineStr">
        <is>
          <t>HÖGSBY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46281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36909-2023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45154</v>
      </c>
      <c r="E97" s="1" t="n">
        <v>46281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72059-2021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44542</v>
      </c>
      <c r="E98" s="1" t="n">
        <v>46281</v>
      </c>
      <c r="F98" t="inlineStr">
        <is>
          <t>KALMAR LÄN</t>
        </is>
      </c>
      <c r="G98" t="inlineStr">
        <is>
          <t>HÖGSBY</t>
        </is>
      </c>
      <c r="I98" t="n">
        <v>16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72066-2021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44542</v>
      </c>
      <c r="E99" s="1" t="n">
        <v>46281</v>
      </c>
      <c r="F99" t="inlineStr">
        <is>
          <t>KALMAR LÄN</t>
        </is>
      </c>
      <c r="G99" t="inlineStr">
        <is>
          <t>HÖGSBY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46281</v>
      </c>
      <c r="F100" t="inlineStr">
        <is>
          <t>KALMAR LÄN</t>
        </is>
      </c>
      <c r="G100" t="inlineStr">
        <is>
          <t>HÖGSBY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46281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44634</v>
      </c>
      <c r="E102" s="1" t="n">
        <v>46281</v>
      </c>
      <c r="F102" t="inlineStr">
        <is>
          <t>KALMAR LÄN</t>
        </is>
      </c>
      <c r="G102" t="inlineStr">
        <is>
          <t>HÖGSBY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30294-2022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46281</v>
      </c>
      <c r="F103" t="inlineStr">
        <is>
          <t>KALMAR LÄN</t>
        </is>
      </c>
      <c r="G103" t="inlineStr">
        <is>
          <t>HÖGSBY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46281</v>
      </c>
      <c r="F104" t="inlineStr">
        <is>
          <t>KALMAR LÄN</t>
        </is>
      </c>
      <c r="G104" t="inlineStr">
        <is>
          <t>HÖGSBY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46281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45259</v>
      </c>
      <c r="E106" s="1" t="n">
        <v>46281</v>
      </c>
      <c r="F106" t="inlineStr">
        <is>
          <t>KALMAR LÄN</t>
        </is>
      </c>
      <c r="G106" t="inlineStr">
        <is>
          <t>HÖGSBY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45720</v>
      </c>
      <c r="E107" s="1" t="n">
        <v>46281</v>
      </c>
      <c r="F107" t="inlineStr">
        <is>
          <t>KALMAR LÄN</t>
        </is>
      </c>
      <c r="G107" t="inlineStr">
        <is>
          <t>HÖGSBY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45546</v>
      </c>
      <c r="E108" s="1" t="n">
        <v>46281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14193-2024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46281</v>
      </c>
      <c r="F109" t="inlineStr">
        <is>
          <t>KALMAR LÄN</t>
        </is>
      </c>
      <c r="G109" t="inlineStr">
        <is>
          <t>HÖGSBY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38068-2025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45882</v>
      </c>
      <c r="E110" s="1" t="n">
        <v>46281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37320-2022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44809</v>
      </c>
      <c r="E111" s="1" t="n">
        <v>46281</v>
      </c>
      <c r="F111" t="inlineStr">
        <is>
          <t>KALMAR LÄN</t>
        </is>
      </c>
      <c r="G111" t="inlineStr">
        <is>
          <t>HÖGSBY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46281</v>
      </c>
      <c r="F112" t="inlineStr">
        <is>
          <t>KALMAR LÄN</t>
        </is>
      </c>
      <c r="G112" t="inlineStr">
        <is>
          <t>HÖGSBY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22688-2025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46281</v>
      </c>
      <c r="F113" t="inlineStr">
        <is>
          <t>KALMAR LÄN</t>
        </is>
      </c>
      <c r="G113" t="inlineStr">
        <is>
          <t>HÖGSBY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46281</v>
      </c>
      <c r="F114" t="inlineStr">
        <is>
          <t>KALMAR LÄN</t>
        </is>
      </c>
      <c r="G114" t="inlineStr">
        <is>
          <t>HÖGSBY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45707</v>
      </c>
      <c r="E115" s="1" t="n">
        <v>46281</v>
      </c>
      <c r="F115" t="inlineStr">
        <is>
          <t>KALMAR LÄN</t>
        </is>
      </c>
      <c r="G115" t="inlineStr">
        <is>
          <t>HÖGSBY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46281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45306</v>
      </c>
      <c r="E117" s="1" t="n">
        <v>46281</v>
      </c>
      <c r="F117" t="inlineStr">
        <is>
          <t>KALMAR LÄN</t>
        </is>
      </c>
      <c r="G117" t="inlineStr">
        <is>
          <t>HÖGSBY</t>
        </is>
      </c>
      <c r="H117" t="inlineStr">
        <is>
          <t>Övriga Aktiebolag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44866</v>
      </c>
      <c r="E118" s="1" t="n">
        <v>46281</v>
      </c>
      <c r="F118" t="inlineStr">
        <is>
          <t>KALMAR LÄN</t>
        </is>
      </c>
      <c r="G118" t="inlineStr">
        <is>
          <t>HÖGSBY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26545-2024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45469</v>
      </c>
      <c r="E119" s="1" t="n">
        <v>46281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74478-2021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44559</v>
      </c>
      <c r="E120" s="1" t="n">
        <v>46281</v>
      </c>
      <c r="F120" t="inlineStr">
        <is>
          <t>KALMAR LÄN</t>
        </is>
      </c>
      <c r="G120" t="inlineStr">
        <is>
          <t>HÖGSBY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45320</v>
      </c>
      <c r="E121" s="1" t="n">
        <v>46281</v>
      </c>
      <c r="F121" t="inlineStr">
        <is>
          <t>KALMAR LÄN</t>
        </is>
      </c>
      <c r="G121" t="inlineStr">
        <is>
          <t>HÖGSBY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46079</v>
      </c>
      <c r="E122" s="1" t="n">
        <v>46281</v>
      </c>
      <c r="F122" t="inlineStr">
        <is>
          <t>KALMAR LÄN</t>
        </is>
      </c>
      <c r="G122" t="inlineStr">
        <is>
          <t>HÖGSBY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46281</v>
      </c>
      <c r="F123" t="inlineStr">
        <is>
          <t>KALMAR LÄN</t>
        </is>
      </c>
      <c r="G123" t="inlineStr">
        <is>
          <t>HÖGSBY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46281</v>
      </c>
      <c r="F124" t="inlineStr">
        <is>
          <t>KALMAR LÄN</t>
        </is>
      </c>
      <c r="G124" t="inlineStr">
        <is>
          <t>HÖGSBY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44886</v>
      </c>
      <c r="E125" s="1" t="n">
        <v>46281</v>
      </c>
      <c r="F125" t="inlineStr">
        <is>
          <t>KALMAR LÄN</t>
        </is>
      </c>
      <c r="G125" t="inlineStr">
        <is>
          <t>HÖGSBY</t>
        </is>
      </c>
      <c r="H125" t="inlineStr">
        <is>
          <t>Kyrkan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44902</v>
      </c>
      <c r="E126" s="1" t="n">
        <v>46281</v>
      </c>
      <c r="F126" t="inlineStr">
        <is>
          <t>KALMAR LÄN</t>
        </is>
      </c>
      <c r="G126" t="inlineStr">
        <is>
          <t>HÖGSBY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45176</v>
      </c>
      <c r="E127" s="1" t="n">
        <v>46281</v>
      </c>
      <c r="F127" t="inlineStr">
        <is>
          <t>KALMAR LÄN</t>
        </is>
      </c>
      <c r="G127" t="inlineStr">
        <is>
          <t>HÖGSBY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46281</v>
      </c>
      <c r="F128" t="inlineStr">
        <is>
          <t>KALMAR LÄN</t>
        </is>
      </c>
      <c r="G128" t="inlineStr">
        <is>
          <t>HÖGSBY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46281</v>
      </c>
      <c r="F129" t="inlineStr">
        <is>
          <t>KALMAR LÄN</t>
        </is>
      </c>
      <c r="G129" t="inlineStr">
        <is>
          <t>HÖGSBY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45729</v>
      </c>
      <c r="E130" s="1" t="n">
        <v>46281</v>
      </c>
      <c r="F130" t="inlineStr">
        <is>
          <t>KALMAR LÄN</t>
        </is>
      </c>
      <c r="G130" t="inlineStr">
        <is>
          <t>HÖGSBY</t>
        </is>
      </c>
      <c r="I130" t="n">
        <v>11.5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45743</v>
      </c>
      <c r="E131" s="1" t="n">
        <v>46281</v>
      </c>
      <c r="F131" t="inlineStr">
        <is>
          <t>KALMAR LÄN</t>
        </is>
      </c>
      <c r="G131" t="inlineStr">
        <is>
          <t>HÖGSBY</t>
        </is>
      </c>
      <c r="H131" t="inlineStr">
        <is>
          <t>Kommuner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46107</v>
      </c>
      <c r="E132" s="1" t="n">
        <v>46281</v>
      </c>
      <c r="F132" t="inlineStr">
        <is>
          <t>KALMAR LÄN</t>
        </is>
      </c>
      <c r="G132" t="inlineStr">
        <is>
          <t>HÖGSBY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57006-2024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45626</v>
      </c>
      <c r="E133" s="1" t="n">
        <v>46281</v>
      </c>
      <c r="F133" t="inlineStr">
        <is>
          <t>KALMAR LÄN</t>
        </is>
      </c>
      <c r="G133" t="inlineStr">
        <is>
          <t>HÖGSBY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46281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46281</v>
      </c>
      <c r="F135" t="inlineStr">
        <is>
          <t>KALMAR LÄN</t>
        </is>
      </c>
      <c r="G135" t="inlineStr">
        <is>
          <t>HÖGSBY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46281</v>
      </c>
      <c r="F136" t="inlineStr">
        <is>
          <t>KALMAR LÄN</t>
        </is>
      </c>
      <c r="G136" t="inlineStr">
        <is>
          <t>HÖGSBY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38596-2024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45546</v>
      </c>
      <c r="E137" s="1" t="n">
        <v>46281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46114</v>
      </c>
      <c r="E138" s="1" t="n">
        <v>46281</v>
      </c>
      <c r="F138" t="inlineStr">
        <is>
          <t>KALMAR LÄN</t>
        </is>
      </c>
      <c r="G138" t="inlineStr">
        <is>
          <t>HÖGSBY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56705-2023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45244</v>
      </c>
      <c r="E139" s="1" t="n">
        <v>46281</v>
      </c>
      <c r="F139" t="inlineStr">
        <is>
          <t>KALMAR LÄN</t>
        </is>
      </c>
      <c r="G139" t="inlineStr">
        <is>
          <t>HÖGSBY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46281</v>
      </c>
      <c r="F140" t="inlineStr">
        <is>
          <t>KALMAR LÄN</t>
        </is>
      </c>
      <c r="G140" t="inlineStr">
        <is>
          <t>HÖGSBY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38824-2024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45547</v>
      </c>
      <c r="E141" s="1" t="n">
        <v>46281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46122</v>
      </c>
      <c r="E142" s="1" t="n">
        <v>46281</v>
      </c>
      <c r="F142" t="inlineStr">
        <is>
          <t>KALMAR LÄN</t>
        </is>
      </c>
      <c r="G142" t="inlineStr">
        <is>
          <t>HÖGSBY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46122</v>
      </c>
      <c r="E143" s="1" t="n">
        <v>46281</v>
      </c>
      <c r="F143" t="inlineStr">
        <is>
          <t>KALMAR LÄN</t>
        </is>
      </c>
      <c r="G143" t="inlineStr">
        <is>
          <t>HÖGSBY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46281</v>
      </c>
      <c r="F144" t="inlineStr">
        <is>
          <t>KALMAR LÄN</t>
        </is>
      </c>
      <c r="G144" t="inlineStr">
        <is>
          <t>HÖGSBY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46134</v>
      </c>
      <c r="E145" s="1" t="n">
        <v>46281</v>
      </c>
      <c r="F145" t="inlineStr">
        <is>
          <t>KALMAR LÄN</t>
        </is>
      </c>
      <c r="G145" t="inlineStr">
        <is>
          <t>HÖGSBY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17864-2025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45758</v>
      </c>
      <c r="E146" s="1" t="n">
        <v>46281</v>
      </c>
      <c r="F146" t="inlineStr">
        <is>
          <t>KALMAR LÄN</t>
        </is>
      </c>
      <c r="G146" t="inlineStr">
        <is>
          <t>HÖGSBY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45727</v>
      </c>
      <c r="E147" s="1" t="n">
        <v>46281</v>
      </c>
      <c r="F147" t="inlineStr">
        <is>
          <t>KALMAR LÄN</t>
        </is>
      </c>
      <c r="G147" t="inlineStr">
        <is>
          <t>HÖGSBY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46281</v>
      </c>
      <c r="F148" t="inlineStr">
        <is>
          <t>KALMAR LÄN</t>
        </is>
      </c>
      <c r="G148" t="inlineStr">
        <is>
          <t>HÖGSBY</t>
        </is>
      </c>
      <c r="H148" t="inlineStr">
        <is>
          <t>Kommuner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45754</v>
      </c>
      <c r="E149" s="1" t="n">
        <v>46281</v>
      </c>
      <c r="F149" t="inlineStr">
        <is>
          <t>KALMAR LÄN</t>
        </is>
      </c>
      <c r="G149" t="inlineStr">
        <is>
          <t>HÖGSBY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46281</v>
      </c>
      <c r="F150" t="inlineStr">
        <is>
          <t>KALMAR LÄN</t>
        </is>
      </c>
      <c r="G150" t="inlineStr">
        <is>
          <t>HÖGSBY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46281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46281</v>
      </c>
      <c r="F152" t="inlineStr">
        <is>
          <t>KALMAR LÄN</t>
        </is>
      </c>
      <c r="G152" t="inlineStr">
        <is>
          <t>HÖGSBY</t>
        </is>
      </c>
      <c r="H152" t="inlineStr">
        <is>
          <t>Kommuner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46281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46281</v>
      </c>
      <c r="F154" t="inlineStr">
        <is>
          <t>KALMAR LÄN</t>
        </is>
      </c>
      <c r="G154" t="inlineStr">
        <is>
          <t>HÖGSBY</t>
        </is>
      </c>
      <c r="I154" t="n">
        <v>12.8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45793</v>
      </c>
      <c r="E155" s="1" t="n">
        <v>46281</v>
      </c>
      <c r="F155" t="inlineStr">
        <is>
          <t>KALMAR LÄN</t>
        </is>
      </c>
      <c r="G155" t="inlineStr">
        <is>
          <t>HÖGSBY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46281</v>
      </c>
      <c r="F156" t="inlineStr">
        <is>
          <t>KALMAR LÄN</t>
        </is>
      </c>
      <c r="G156" t="inlineStr">
        <is>
          <t>HÖGSBY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45804</v>
      </c>
      <c r="E157" s="1" t="n">
        <v>46281</v>
      </c>
      <c r="F157" t="inlineStr">
        <is>
          <t>KALMAR LÄN</t>
        </is>
      </c>
      <c r="G157" t="inlineStr">
        <is>
          <t>HÖGSBY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46281</v>
      </c>
      <c r="F158" t="inlineStr">
        <is>
          <t>KALMAR LÄN</t>
        </is>
      </c>
      <c r="G158" t="inlineStr">
        <is>
          <t>HÖGSBY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41619-2025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46281</v>
      </c>
      <c r="F159" t="inlineStr">
        <is>
          <t>KALMAR LÄN</t>
        </is>
      </c>
      <c r="G159" t="inlineStr">
        <is>
          <t>HÖGSBY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44991</v>
      </c>
      <c r="E160" s="1" t="n">
        <v>46281</v>
      </c>
      <c r="F160" t="inlineStr">
        <is>
          <t>KALMAR LÄN</t>
        </is>
      </c>
      <c r="G160" t="inlineStr">
        <is>
          <t>HÖGSBY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46281</v>
      </c>
      <c r="F161" t="inlineStr">
        <is>
          <t>KALMAR LÄN</t>
        </is>
      </c>
      <c r="G161" t="inlineStr">
        <is>
          <t>HÖGSBY</t>
        </is>
      </c>
      <c r="H161" t="inlineStr">
        <is>
          <t>Kyrkan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45320</v>
      </c>
      <c r="E162" s="1" t="n">
        <v>46281</v>
      </c>
      <c r="F162" t="inlineStr">
        <is>
          <t>KALMAR LÄN</t>
        </is>
      </c>
      <c r="G162" t="inlineStr">
        <is>
          <t>HÖGSBY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44809</v>
      </c>
      <c r="E163" s="1" t="n">
        <v>46281</v>
      </c>
      <c r="F163" t="inlineStr">
        <is>
          <t>KALMAR LÄN</t>
        </is>
      </c>
      <c r="G163" t="inlineStr">
        <is>
          <t>HÖGSBY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46281</v>
      </c>
      <c r="F164" t="inlineStr">
        <is>
          <t>KALMAR LÄN</t>
        </is>
      </c>
      <c r="G164" t="inlineStr">
        <is>
          <t>HÖGSBY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46281</v>
      </c>
      <c r="F165" t="inlineStr">
        <is>
          <t>KALMAR LÄN</t>
        </is>
      </c>
      <c r="G165" t="inlineStr">
        <is>
          <t>HÖGSBY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46281</v>
      </c>
      <c r="F166" t="inlineStr">
        <is>
          <t>KALMAR LÄN</t>
        </is>
      </c>
      <c r="G166" t="inlineStr">
        <is>
          <t>HÖGSBY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45727</v>
      </c>
      <c r="E167" s="1" t="n">
        <v>46281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46281</v>
      </c>
      <c r="F168" t="inlineStr">
        <is>
          <t>KALMAR LÄN</t>
        </is>
      </c>
      <c r="G168" t="inlineStr">
        <is>
          <t>HÖGSBY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45707</v>
      </c>
      <c r="E169" s="1" t="n">
        <v>46281</v>
      </c>
      <c r="F169" t="inlineStr">
        <is>
          <t>KALMAR LÄN</t>
        </is>
      </c>
      <c r="G169" t="inlineStr">
        <is>
          <t>HÖGSBY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46281</v>
      </c>
      <c r="F170" t="inlineStr">
        <is>
          <t>KALMAR LÄN</t>
        </is>
      </c>
      <c r="G170" t="inlineStr">
        <is>
          <t>HÖGSBY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65130-2023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45288</v>
      </c>
      <c r="E171" s="1" t="n">
        <v>46281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45348</v>
      </c>
      <c r="E172" s="1" t="n">
        <v>46281</v>
      </c>
      <c r="F172" t="inlineStr">
        <is>
          <t>KALMAR LÄN</t>
        </is>
      </c>
      <c r="G172" t="inlineStr">
        <is>
          <t>HÖGSBY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57000-2024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45626</v>
      </c>
      <c r="E173" s="1" t="n">
        <v>46281</v>
      </c>
      <c r="F173" t="inlineStr">
        <is>
          <t>KALMAR LÄN</t>
        </is>
      </c>
      <c r="G173" t="inlineStr">
        <is>
          <t>HÖGSBY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46281</v>
      </c>
      <c r="F174" t="inlineStr">
        <is>
          <t>KALMAR LÄN</t>
        </is>
      </c>
      <c r="G174" t="inlineStr">
        <is>
          <t>HÖGSBY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30890-2023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46281</v>
      </c>
      <c r="F175" t="inlineStr">
        <is>
          <t>KALMAR LÄN</t>
        </is>
      </c>
      <c r="G175" t="inlineStr">
        <is>
          <t>HÖGSBY</t>
        </is>
      </c>
      <c r="I175" t="n">
        <v>11.6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44496</v>
      </c>
      <c r="E176" s="1" t="n">
        <v>46281</v>
      </c>
      <c r="F176" t="inlineStr">
        <is>
          <t>KALMAR LÄN</t>
        </is>
      </c>
      <c r="G176" t="inlineStr">
        <is>
          <t>HÖGSBY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46281</v>
      </c>
      <c r="F177" t="inlineStr">
        <is>
          <t>KALMAR LÄN</t>
        </is>
      </c>
      <c r="G177" t="inlineStr">
        <is>
          <t>HÖGSBY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46281</v>
      </c>
      <c r="F178" t="inlineStr">
        <is>
          <t>KALMAR LÄN</t>
        </is>
      </c>
      <c r="G178" t="inlineStr">
        <is>
          <t>HÖGSBY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46281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63508-2025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46281</v>
      </c>
      <c r="F180" t="inlineStr">
        <is>
          <t>KALMAR LÄN</t>
        </is>
      </c>
      <c r="G180" t="inlineStr">
        <is>
          <t>HÖGSBY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46281</v>
      </c>
      <c r="F181" t="inlineStr">
        <is>
          <t>KALMAR LÄN</t>
        </is>
      </c>
      <c r="G181" t="inlineStr">
        <is>
          <t>HÖGSBY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46281</v>
      </c>
      <c r="F182" t="inlineStr">
        <is>
          <t>KALMAR LÄN</t>
        </is>
      </c>
      <c r="G182" t="inlineStr">
        <is>
          <t>HÖGSBY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45093</v>
      </c>
      <c r="E183" s="1" t="n">
        <v>46281</v>
      </c>
      <c r="F183" t="inlineStr">
        <is>
          <t>KALMAR LÄN</t>
        </is>
      </c>
      <c r="G183" t="inlineStr">
        <is>
          <t>HÖGSBY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32049-2023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45119</v>
      </c>
      <c r="E184" s="1" t="n">
        <v>46281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71635-2021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46281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50414-2024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46281</v>
      </c>
      <c r="F186" t="inlineStr">
        <is>
          <t>KALMAR LÄN</t>
        </is>
      </c>
      <c r="G186" t="inlineStr">
        <is>
          <t>HÖGSBY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8613-2022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44613</v>
      </c>
      <c r="E187" s="1" t="n">
        <v>46281</v>
      </c>
      <c r="F187" t="inlineStr">
        <is>
          <t>KALMAR LÄN</t>
        </is>
      </c>
      <c r="G187" t="inlineStr">
        <is>
          <t>HÖGSBY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46281</v>
      </c>
      <c r="F188" t="inlineStr">
        <is>
          <t>KALMAR LÄN</t>
        </is>
      </c>
      <c r="G188" t="inlineStr">
        <is>
          <t>HÖGSBY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46281</v>
      </c>
      <c r="F189" t="inlineStr">
        <is>
          <t>KALMAR LÄN</t>
        </is>
      </c>
      <c r="G189" t="inlineStr">
        <is>
          <t>HÖGSBY</t>
        </is>
      </c>
      <c r="H189" t="inlineStr">
        <is>
          <t>Övriga Aktiebolag</t>
        </is>
      </c>
      <c r="I189" t="n">
        <v>15.2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52116-2024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46281</v>
      </c>
      <c r="F190" t="inlineStr">
        <is>
          <t>KALMAR LÄN</t>
        </is>
      </c>
      <c r="G190" t="inlineStr">
        <is>
          <t>HÖGSBY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46281</v>
      </c>
      <c r="F191" t="inlineStr">
        <is>
          <t>KALMAR LÄN</t>
        </is>
      </c>
      <c r="G191" t="inlineStr">
        <is>
          <t>HÖGSBY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46281</v>
      </c>
      <c r="F192" t="inlineStr">
        <is>
          <t>KALMAR LÄN</t>
        </is>
      </c>
      <c r="G192" t="inlineStr">
        <is>
          <t>HÖGSBY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45614</v>
      </c>
      <c r="E193" s="1" t="n">
        <v>46281</v>
      </c>
      <c r="F193" t="inlineStr">
        <is>
          <t>KALMAR LÄN</t>
        </is>
      </c>
      <c r="G193" t="inlineStr">
        <is>
          <t>HÖGSBY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46281</v>
      </c>
      <c r="F194" t="inlineStr">
        <is>
          <t>KALMAR LÄN</t>
        </is>
      </c>
      <c r="G194" t="inlineStr">
        <is>
          <t>HÖGSBY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59109-2025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45988</v>
      </c>
      <c r="E195" s="1" t="n">
        <v>46281</v>
      </c>
      <c r="F195" t="inlineStr">
        <is>
          <t>KALMAR LÄN</t>
        </is>
      </c>
      <c r="G195" t="inlineStr">
        <is>
          <t>HÖGSBY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46281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44437-2023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46281</v>
      </c>
      <c r="F197" t="inlineStr">
        <is>
          <t>KALMAR LÄN</t>
        </is>
      </c>
      <c r="G197" t="inlineStr">
        <is>
          <t>HÖGSBY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46281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45105</v>
      </c>
      <c r="E199" s="1" t="n">
        <v>46281</v>
      </c>
      <c r="F199" t="inlineStr">
        <is>
          <t>KALMAR LÄN</t>
        </is>
      </c>
      <c r="G199" t="inlineStr">
        <is>
          <t>HÖGSBY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46281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46150</v>
      </c>
      <c r="E201" s="1" t="n">
        <v>46281</v>
      </c>
      <c r="F201" t="inlineStr">
        <is>
          <t>KALMAR LÄN</t>
        </is>
      </c>
      <c r="G201" t="inlineStr">
        <is>
          <t>HÖGSBY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46281</v>
      </c>
      <c r="F202" t="inlineStr">
        <is>
          <t>KALMAR LÄN</t>
        </is>
      </c>
      <c r="G202" t="inlineStr">
        <is>
          <t>HÖGSBY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46281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46281</v>
      </c>
      <c r="F204" t="inlineStr">
        <is>
          <t>KALMAR LÄN</t>
        </is>
      </c>
      <c r="G204" t="inlineStr">
        <is>
          <t>HÖGSBY</t>
        </is>
      </c>
      <c r="I204" t="n">
        <v>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46281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61481-2025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46001</v>
      </c>
      <c r="E206" s="1" t="n">
        <v>46281</v>
      </c>
      <c r="F206" t="inlineStr">
        <is>
          <t>KALMAR LÄN</t>
        </is>
      </c>
      <c r="G206" t="inlineStr">
        <is>
          <t>HÖGSBY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46281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10.9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46281</v>
      </c>
      <c r="F208" t="inlineStr">
        <is>
          <t>KALMAR LÄN</t>
        </is>
      </c>
      <c r="G208" t="inlineStr">
        <is>
          <t>HÖGSBY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38802-2024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45547</v>
      </c>
      <c r="E209" s="1" t="n">
        <v>46281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46281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45552</v>
      </c>
      <c r="E211" s="1" t="n">
        <v>46281</v>
      </c>
      <c r="F211" t="inlineStr">
        <is>
          <t>KALMAR LÄN</t>
        </is>
      </c>
      <c r="G211" t="inlineStr">
        <is>
          <t>HÖGSBY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62720-2025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46008</v>
      </c>
      <c r="E212" s="1" t="n">
        <v>46281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62722-2025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46008</v>
      </c>
      <c r="E213" s="1" t="n">
        <v>46281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45228</v>
      </c>
      <c r="E214" s="1" t="n">
        <v>46281</v>
      </c>
      <c r="F214" t="inlineStr">
        <is>
          <t>KALMAR LÄN</t>
        </is>
      </c>
      <c r="G214" t="inlineStr">
        <is>
          <t>HÖGSBY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46281</v>
      </c>
      <c r="F215" t="inlineStr">
        <is>
          <t>KALMAR LÄN</t>
        </is>
      </c>
      <c r="G215" t="inlineStr">
        <is>
          <t>HÖGSBY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47443-2025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46281</v>
      </c>
      <c r="F216" t="inlineStr">
        <is>
          <t>KALMAR LÄN</t>
        </is>
      </c>
      <c r="G216" t="inlineStr">
        <is>
          <t>HÖGSBY</t>
        </is>
      </c>
      <c r="H216" t="inlineStr">
        <is>
          <t>Kyrkan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44861</v>
      </c>
      <c r="E217" s="1" t="n">
        <v>46281</v>
      </c>
      <c r="F217" t="inlineStr">
        <is>
          <t>KALMAR LÄN</t>
        </is>
      </c>
      <c r="G217" t="inlineStr">
        <is>
          <t>HÖGSBY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46281</v>
      </c>
      <c r="F218" t="inlineStr">
        <is>
          <t>KALMAR LÄN</t>
        </is>
      </c>
      <c r="G218" t="inlineStr">
        <is>
          <t>HÖGSBY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22562-2026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46155</v>
      </c>
      <c r="E219" s="1" t="n">
        <v>46281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22564-2026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46155</v>
      </c>
      <c r="E220" s="1" t="n">
        <v>46281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46281</v>
      </c>
      <c r="F221" t="inlineStr">
        <is>
          <t>KALMAR LÄN</t>
        </is>
      </c>
      <c r="G221" t="inlineStr">
        <is>
          <t>HÖGSBY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46281</v>
      </c>
      <c r="F222" t="inlineStr">
        <is>
          <t>KALMAR LÄN</t>
        </is>
      </c>
      <c r="G222" t="inlineStr">
        <is>
          <t>HÖGSBY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46281</v>
      </c>
      <c r="F223" t="inlineStr">
        <is>
          <t>KALMAR LÄN</t>
        </is>
      </c>
      <c r="G223" t="inlineStr">
        <is>
          <t>HÖGSBY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45071</v>
      </c>
      <c r="E224" s="1" t="n">
        <v>46281</v>
      </c>
      <c r="F224" t="inlineStr">
        <is>
          <t>KALMAR LÄN</t>
        </is>
      </c>
      <c r="G224" t="inlineStr">
        <is>
          <t>HÖGSBY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46281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46281</v>
      </c>
      <c r="F226" t="inlineStr">
        <is>
          <t>KALMAR LÄN</t>
        </is>
      </c>
      <c r="G226" t="inlineStr">
        <is>
          <t>HÖGSBY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45447</v>
      </c>
      <c r="E227" s="1" t="n">
        <v>46281</v>
      </c>
      <c r="F227" t="inlineStr">
        <is>
          <t>KALMAR LÄN</t>
        </is>
      </c>
      <c r="G227" t="inlineStr">
        <is>
          <t>HÖGSBY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53327-2022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46281</v>
      </c>
      <c r="F228" t="inlineStr">
        <is>
          <t>KALMAR LÄN</t>
        </is>
      </c>
      <c r="G228" t="inlineStr">
        <is>
          <t>HÖGSBY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46281</v>
      </c>
      <c r="F229" t="inlineStr">
        <is>
          <t>KALMAR LÄN</t>
        </is>
      </c>
      <c r="G229" t="inlineStr">
        <is>
          <t>HÖGSBY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54238-2021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44470</v>
      </c>
      <c r="E230" s="1" t="n">
        <v>46281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46161</v>
      </c>
      <c r="E231" s="1" t="n">
        <v>46281</v>
      </c>
      <c r="F231" t="inlineStr">
        <is>
          <t>KALMAR LÄN</t>
        </is>
      </c>
      <c r="G231" t="inlineStr">
        <is>
          <t>HÖGSBY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46281</v>
      </c>
      <c r="F232" t="inlineStr">
        <is>
          <t>KALMAR LÄN</t>
        </is>
      </c>
      <c r="G232" t="inlineStr">
        <is>
          <t>HÖGSBY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45244</v>
      </c>
      <c r="E233" s="1" t="n">
        <v>46281</v>
      </c>
      <c r="F233" t="inlineStr">
        <is>
          <t>KALMAR LÄN</t>
        </is>
      </c>
      <c r="G233" t="inlineStr">
        <is>
          <t>HÖGSBY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44924</v>
      </c>
      <c r="E234" s="1" t="n">
        <v>46281</v>
      </c>
      <c r="F234" t="inlineStr">
        <is>
          <t>KALMAR LÄN</t>
        </is>
      </c>
      <c r="G234" t="inlineStr">
        <is>
          <t>HÖGSBY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35723-2024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45532</v>
      </c>
      <c r="E235" s="1" t="n">
        <v>46281</v>
      </c>
      <c r="F235" t="inlineStr">
        <is>
          <t>KALMAR LÄN</t>
        </is>
      </c>
      <c r="G235" t="inlineStr">
        <is>
          <t>HÖGSBY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44861</v>
      </c>
      <c r="E236" s="1" t="n">
        <v>46281</v>
      </c>
      <c r="F236" t="inlineStr">
        <is>
          <t>KALMAR LÄN</t>
        </is>
      </c>
      <c r="G236" t="inlineStr">
        <is>
          <t>HÖGSBY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23937-2026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46167</v>
      </c>
      <c r="E237" s="1" t="n">
        <v>46281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46281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3622-2022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44586</v>
      </c>
      <c r="E239" s="1" t="n">
        <v>46281</v>
      </c>
      <c r="F239" t="inlineStr">
        <is>
          <t>KALMAR LÄN</t>
        </is>
      </c>
      <c r="G239" t="inlineStr">
        <is>
          <t>HÖGSBY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46281</v>
      </c>
      <c r="F240" t="inlineStr">
        <is>
          <t>KALMAR LÄN</t>
        </is>
      </c>
      <c r="G240" t="inlineStr">
        <is>
          <t>HÖGSBY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44981</v>
      </c>
      <c r="E241" s="1" t="n">
        <v>46281</v>
      </c>
      <c r="F241" t="inlineStr">
        <is>
          <t>KALMAR LÄN</t>
        </is>
      </c>
      <c r="G241" t="inlineStr">
        <is>
          <t>HÖGSBY</t>
        </is>
      </c>
      <c r="H241" t="inlineStr">
        <is>
          <t>Övriga Aktiebolag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46281</v>
      </c>
      <c r="F242" t="inlineStr">
        <is>
          <t>KALMAR LÄN</t>
        </is>
      </c>
      <c r="G242" t="inlineStr">
        <is>
          <t>HÖGSBY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46281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45015</v>
      </c>
      <c r="E244" s="1" t="n">
        <v>46281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24601-2024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45460</v>
      </c>
      <c r="E245" s="1" t="n">
        <v>46281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58753-2022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44903</v>
      </c>
      <c r="E246" s="1" t="n">
        <v>46281</v>
      </c>
      <c r="F246" t="inlineStr">
        <is>
          <t>KALMAR LÄN</t>
        </is>
      </c>
      <c r="G246" t="inlineStr">
        <is>
          <t>HÖGSBY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18099-2023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46281</v>
      </c>
      <c r="F247" t="inlineStr">
        <is>
          <t>KALMAR LÄN</t>
        </is>
      </c>
      <c r="G247" t="inlineStr">
        <is>
          <t>HÖGSBY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46281</v>
      </c>
      <c r="F248" t="inlineStr">
        <is>
          <t>KALMAR LÄN</t>
        </is>
      </c>
      <c r="G248" t="inlineStr">
        <is>
          <t>HÖGSBY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59281-2022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44904</v>
      </c>
      <c r="E249" s="1" t="n">
        <v>46281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46281</v>
      </c>
      <c r="F250" t="inlineStr">
        <is>
          <t>KALMAR LÄN</t>
        </is>
      </c>
      <c r="G250" t="inlineStr">
        <is>
          <t>HÖGSBY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25352-2026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46176</v>
      </c>
      <c r="E251" s="1" t="n">
        <v>46281</v>
      </c>
      <c r="F251" t="inlineStr">
        <is>
          <t>KALMAR LÄN</t>
        </is>
      </c>
      <c r="G251" t="inlineStr">
        <is>
          <t>HÖGSBY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46281</v>
      </c>
      <c r="F252" t="inlineStr">
        <is>
          <t>KALMAR LÄN</t>
        </is>
      </c>
      <c r="G252" t="inlineStr">
        <is>
          <t>HÖGSBY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50367-2022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44866</v>
      </c>
      <c r="E253" s="1" t="n">
        <v>46281</v>
      </c>
      <c r="F253" t="inlineStr">
        <is>
          <t>KALMAR LÄN</t>
        </is>
      </c>
      <c r="G253" t="inlineStr">
        <is>
          <t>HÖGSBY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37811-2024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45544</v>
      </c>
      <c r="E254" s="1" t="n">
        <v>46281</v>
      </c>
      <c r="F254" t="inlineStr">
        <is>
          <t>KALMAR LÄN</t>
        </is>
      </c>
      <c r="G254" t="inlineStr">
        <is>
          <t>HÖGSBY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28648-2023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45103</v>
      </c>
      <c r="E255" s="1" t="n">
        <v>46281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46281</v>
      </c>
      <c r="F256" t="inlineStr">
        <is>
          <t>KALMAR LÄN</t>
        </is>
      </c>
      <c r="G256" t="inlineStr">
        <is>
          <t>HÖGSBY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46281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45222</v>
      </c>
      <c r="E258" s="1" t="n">
        <v>46281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26151-2026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46281</v>
      </c>
      <c r="F259" t="inlineStr">
        <is>
          <t>KALMAR LÄN</t>
        </is>
      </c>
      <c r="G259" t="inlineStr">
        <is>
          <t>HÖGSBY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7443-2026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46059</v>
      </c>
      <c r="E260" s="1" t="n">
        <v>46281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45111</v>
      </c>
      <c r="E261" s="1" t="n">
        <v>46281</v>
      </c>
      <c r="F261" t="inlineStr">
        <is>
          <t>KALMAR LÄN</t>
        </is>
      </c>
      <c r="G261" t="inlineStr">
        <is>
          <t>HÖGSBY</t>
        </is>
      </c>
      <c r="I261" t="n">
        <v>12.1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45341</v>
      </c>
      <c r="E262" s="1" t="n">
        <v>46281</v>
      </c>
      <c r="F262" t="inlineStr">
        <is>
          <t>KALMAR LÄN</t>
        </is>
      </c>
      <c r="G262" t="inlineStr">
        <is>
          <t>HÖGSBY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45034</v>
      </c>
      <c r="E263" s="1" t="n">
        <v>46281</v>
      </c>
      <c r="F263" t="inlineStr">
        <is>
          <t>KALMAR LÄN</t>
        </is>
      </c>
      <c r="G263" t="inlineStr">
        <is>
          <t>HÖGSBY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46281</v>
      </c>
      <c r="F264" t="inlineStr">
        <is>
          <t>KALMAR LÄN</t>
        </is>
      </c>
      <c r="G264" t="inlineStr">
        <is>
          <t>HÖGSBY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46281</v>
      </c>
      <c r="F265" t="inlineStr">
        <is>
          <t>KALMAR LÄN</t>
        </is>
      </c>
      <c r="G265" t="inlineStr">
        <is>
          <t>HÖGSBY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46281</v>
      </c>
      <c r="F266" t="inlineStr">
        <is>
          <t>KALMAR LÄN</t>
        </is>
      </c>
      <c r="G266" t="inlineStr">
        <is>
          <t>HÖGSBY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50727-2023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45217</v>
      </c>
      <c r="E267" s="1" t="n">
        <v>46281</v>
      </c>
      <c r="F267" t="inlineStr">
        <is>
          <t>KALMAR LÄN</t>
        </is>
      </c>
      <c r="G267" t="inlineStr">
        <is>
          <t>HÖGSBY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46281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46281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46281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46281</v>
      </c>
      <c r="F271" t="inlineStr">
        <is>
          <t>KALMAR LÄN</t>
        </is>
      </c>
      <c r="G271" t="inlineStr">
        <is>
          <t>HÖGSBY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56339-2024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45624</v>
      </c>
      <c r="E272" s="1" t="n">
        <v>46281</v>
      </c>
      <c r="F272" t="inlineStr">
        <is>
          <t>KALMAR LÄN</t>
        </is>
      </c>
      <c r="G272" t="inlineStr">
        <is>
          <t>HÖGSBY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46281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46281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46281</v>
      </c>
      <c r="F275" t="inlineStr">
        <is>
          <t>KALMAR LÄN</t>
        </is>
      </c>
      <c r="G275" t="inlineStr">
        <is>
          <t>HÖGSBY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46281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45307</v>
      </c>
      <c r="E277" s="1" t="n">
        <v>46281</v>
      </c>
      <c r="F277" t="inlineStr">
        <is>
          <t>KALMAR LÄN</t>
        </is>
      </c>
      <c r="G277" t="inlineStr">
        <is>
          <t>HÖGSBY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46281</v>
      </c>
      <c r="F278" t="inlineStr">
        <is>
          <t>KALMAR LÄN</t>
        </is>
      </c>
      <c r="G278" t="inlineStr">
        <is>
          <t>HÖGSBY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60555-2021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44496</v>
      </c>
      <c r="E279" s="1" t="n">
        <v>46281</v>
      </c>
      <c r="F279" t="inlineStr">
        <is>
          <t>KALMAR LÄN</t>
        </is>
      </c>
      <c r="G279" t="inlineStr">
        <is>
          <t>HÖGSBY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46281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24292-2022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44725</v>
      </c>
      <c r="E281" s="1" t="n">
        <v>46281</v>
      </c>
      <c r="F281" t="inlineStr">
        <is>
          <t>KALMAR LÄN</t>
        </is>
      </c>
      <c r="G281" t="inlineStr">
        <is>
          <t>HÖGSBY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45386</v>
      </c>
      <c r="E282" s="1" t="n">
        <v>46281</v>
      </c>
      <c r="F282" t="inlineStr">
        <is>
          <t>KALMAR LÄN</t>
        </is>
      </c>
      <c r="G282" t="inlineStr">
        <is>
          <t>HÖGSBY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46281</v>
      </c>
      <c r="F283" t="inlineStr">
        <is>
          <t>KALMAR LÄN</t>
        </is>
      </c>
      <c r="G283" t="inlineStr">
        <is>
          <t>HÖGSBY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46281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45058</v>
      </c>
      <c r="E285" s="1" t="n">
        <v>46281</v>
      </c>
      <c r="F285" t="inlineStr">
        <is>
          <t>KALMAR LÄN</t>
        </is>
      </c>
      <c r="G285" t="inlineStr">
        <is>
          <t>HÖGSBY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73709-2021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44552</v>
      </c>
      <c r="E286" s="1" t="n">
        <v>46281</v>
      </c>
      <c r="F286" t="inlineStr">
        <is>
          <t>KALMAR LÄN</t>
        </is>
      </c>
      <c r="G286" t="inlineStr">
        <is>
          <t>HÖGSBY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46281</v>
      </c>
      <c r="F287" t="inlineStr">
        <is>
          <t>KALMAR LÄN</t>
        </is>
      </c>
      <c r="G287" t="inlineStr">
        <is>
          <t>HÖGSBY</t>
        </is>
      </c>
      <c r="H287" t="inlineStr">
        <is>
          <t>Övriga Aktiebolag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43213-2023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45183</v>
      </c>
      <c r="E288" s="1" t="n">
        <v>46281</v>
      </c>
      <c r="F288" t="inlineStr">
        <is>
          <t>KALMAR LÄN</t>
        </is>
      </c>
      <c r="G288" t="inlineStr">
        <is>
          <t>HÖGSBY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14273-2024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45393</v>
      </c>
      <c r="E289" s="1" t="n">
        <v>46281</v>
      </c>
      <c r="F289" t="inlineStr">
        <is>
          <t>KALMAR LÄN</t>
        </is>
      </c>
      <c r="G289" t="inlineStr">
        <is>
          <t>HÖGSBY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46281</v>
      </c>
      <c r="F290" t="inlineStr">
        <is>
          <t>KALMAR LÄN</t>
        </is>
      </c>
      <c r="G290" t="inlineStr">
        <is>
          <t>HÖGSBY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46281</v>
      </c>
      <c r="F291" t="inlineStr">
        <is>
          <t>KALMAR LÄN</t>
        </is>
      </c>
      <c r="G291" t="inlineStr">
        <is>
          <t>HÖGSBY</t>
        </is>
      </c>
      <c r="H291" t="inlineStr">
        <is>
          <t>Kommuner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45546</v>
      </c>
      <c r="E292" s="1" t="n">
        <v>46281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45348</v>
      </c>
      <c r="E293" s="1" t="n">
        <v>46281</v>
      </c>
      <c r="F293" t="inlineStr">
        <is>
          <t>KALMAR LÄN</t>
        </is>
      </c>
      <c r="G293" t="inlineStr">
        <is>
          <t>HÖGSBY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28573-2026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46197</v>
      </c>
      <c r="E294" s="1" t="n">
        <v>46281</v>
      </c>
      <c r="F294" t="inlineStr">
        <is>
          <t>KALMAR LÄN</t>
        </is>
      </c>
      <c r="G294" t="inlineStr">
        <is>
          <t>HÖGSBY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46281</v>
      </c>
      <c r="F295" t="inlineStr">
        <is>
          <t>KALMAR LÄN</t>
        </is>
      </c>
      <c r="G295" t="inlineStr">
        <is>
          <t>HÖGSBY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46281</v>
      </c>
      <c r="F296" t="inlineStr">
        <is>
          <t>KALMAR LÄN</t>
        </is>
      </c>
      <c r="G296" t="inlineStr">
        <is>
          <t>HÖGSBY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44436-2023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45189</v>
      </c>
      <c r="E297" s="1" t="n">
        <v>46281</v>
      </c>
      <c r="F297" t="inlineStr">
        <is>
          <t>KALMAR LÄN</t>
        </is>
      </c>
      <c r="G297" t="inlineStr">
        <is>
          <t>HÖGSBY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46281</v>
      </c>
      <c r="F298" t="inlineStr">
        <is>
          <t>KALMAR LÄN</t>
        </is>
      </c>
      <c r="G298" t="inlineStr">
        <is>
          <t>HÖGSBY</t>
        </is>
      </c>
      <c r="H298" t="inlineStr">
        <is>
          <t>Kommuner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46281</v>
      </c>
      <c r="F299" t="inlineStr">
        <is>
          <t>KALMAR LÄN</t>
        </is>
      </c>
      <c r="G299" t="inlineStr">
        <is>
          <t>HÖGSBY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46281</v>
      </c>
      <c r="F300" t="inlineStr">
        <is>
          <t>KALMAR LÄN</t>
        </is>
      </c>
      <c r="G300" t="inlineStr">
        <is>
          <t>HÖGSBY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28830-2026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46281</v>
      </c>
      <c r="F301" t="inlineStr">
        <is>
          <t>KALMAR LÄN</t>
        </is>
      </c>
      <c r="G301" t="inlineStr">
        <is>
          <t>HÖGSBY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28702-2026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46198</v>
      </c>
      <c r="E302" s="1" t="n">
        <v>46281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28692-2026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46281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28713-2026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46281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46281</v>
      </c>
      <c r="F305" t="inlineStr">
        <is>
          <t>KALMAR LÄN</t>
        </is>
      </c>
      <c r="G305" t="inlineStr">
        <is>
          <t>HÖGSBY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46198</v>
      </c>
      <c r="E306" s="1" t="n">
        <v>46281</v>
      </c>
      <c r="F306" t="inlineStr">
        <is>
          <t>KALMAR LÄN</t>
        </is>
      </c>
      <c r="G306" t="inlineStr">
        <is>
          <t>HÖGSBY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45360</v>
      </c>
      <c r="E307" s="1" t="n">
        <v>46281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28901-2026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46281</v>
      </c>
      <c r="F308" t="inlineStr">
        <is>
          <t>KALMAR LÄN</t>
        </is>
      </c>
      <c r="G308" t="inlineStr">
        <is>
          <t>HÖGSBY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46281</v>
      </c>
      <c r="F309" t="inlineStr">
        <is>
          <t>KALMAR LÄN</t>
        </is>
      </c>
      <c r="G309" t="inlineStr">
        <is>
          <t>HÖGSBY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44984</v>
      </c>
      <c r="E310" s="1" t="n">
        <v>46281</v>
      </c>
      <c r="F310" t="inlineStr">
        <is>
          <t>KALMAR LÄN</t>
        </is>
      </c>
      <c r="G310" t="inlineStr">
        <is>
          <t>HÖGSBY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46281</v>
      </c>
      <c r="F311" t="inlineStr">
        <is>
          <t>KALMAR LÄN</t>
        </is>
      </c>
      <c r="G311" t="inlineStr">
        <is>
          <t>HÖGSBY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28691-2026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46198</v>
      </c>
      <c r="E312" s="1" t="n">
        <v>46281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28697-2026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46198</v>
      </c>
      <c r="E313" s="1" t="n">
        <v>46281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45175</v>
      </c>
      <c r="E314" s="1" t="n">
        <v>46281</v>
      </c>
      <c r="F314" t="inlineStr">
        <is>
          <t>KALMAR LÄN</t>
        </is>
      </c>
      <c r="G314" t="inlineStr">
        <is>
          <t>HÖGSBY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46202</v>
      </c>
      <c r="E315" s="1" t="n">
        <v>46281</v>
      </c>
      <c r="F315" t="inlineStr">
        <is>
          <t>KALMAR LÄN</t>
        </is>
      </c>
      <c r="G315" t="inlineStr">
        <is>
          <t>HÖGSBY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46281</v>
      </c>
      <c r="F316" t="inlineStr">
        <is>
          <t>KALMAR LÄN</t>
        </is>
      </c>
      <c r="G316" t="inlineStr">
        <is>
          <t>HÖGSBY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45145</v>
      </c>
      <c r="E317" s="1" t="n">
        <v>46281</v>
      </c>
      <c r="F317" t="inlineStr">
        <is>
          <t>KALMAR LÄN</t>
        </is>
      </c>
      <c r="G317" t="inlineStr">
        <is>
          <t>HÖGSBY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44987</v>
      </c>
      <c r="E318" s="1" t="n">
        <v>46281</v>
      </c>
      <c r="F318" t="inlineStr">
        <is>
          <t>KALMAR LÄN</t>
        </is>
      </c>
      <c r="G318" t="inlineStr">
        <is>
          <t>HÖGSBY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44993</v>
      </c>
      <c r="E319" s="1" t="n">
        <v>46281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45162</v>
      </c>
      <c r="E320" s="1" t="n">
        <v>46281</v>
      </c>
      <c r="F320" t="inlineStr">
        <is>
          <t>KALMAR LÄN</t>
        </is>
      </c>
      <c r="G320" t="inlineStr">
        <is>
          <t>HÖGSBY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45348</v>
      </c>
      <c r="E321" s="1" t="n">
        <v>46281</v>
      </c>
      <c r="F321" t="inlineStr">
        <is>
          <t>KALMAR LÄN</t>
        </is>
      </c>
      <c r="G321" t="inlineStr">
        <is>
          <t>HÖGSBY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45239</v>
      </c>
      <c r="E322" s="1" t="n">
        <v>46281</v>
      </c>
      <c r="F322" t="inlineStr">
        <is>
          <t>KALMAR LÄN</t>
        </is>
      </c>
      <c r="G322" t="inlineStr">
        <is>
          <t>HÖGSBY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47859-2023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45204</v>
      </c>
      <c r="E323" s="1" t="n">
        <v>46281</v>
      </c>
      <c r="F323" t="inlineStr">
        <is>
          <t>KALMAR LÄN</t>
        </is>
      </c>
      <c r="G323" t="inlineStr">
        <is>
          <t>HÖGSBY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46281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46206</v>
      </c>
      <c r="E325" s="1" t="n">
        <v>46281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10.7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7325-2025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45702</v>
      </c>
      <c r="E326" s="1" t="n">
        <v>46281</v>
      </c>
      <c r="F326" t="inlineStr">
        <is>
          <t>KALMAR LÄN</t>
        </is>
      </c>
      <c r="G326" t="inlineStr">
        <is>
          <t>HÖGSBY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44625</v>
      </c>
      <c r="E327" s="1" t="n">
        <v>46281</v>
      </c>
      <c r="F327" t="inlineStr">
        <is>
          <t>KALMAR LÄN</t>
        </is>
      </c>
      <c r="G327" t="inlineStr">
        <is>
          <t>HÖGSBY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44625</v>
      </c>
      <c r="E328" s="1" t="n">
        <v>46281</v>
      </c>
      <c r="F328" t="inlineStr">
        <is>
          <t>KALMAR LÄN</t>
        </is>
      </c>
      <c r="G328" t="inlineStr">
        <is>
          <t>HÖGSBY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46281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30291-2026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46281</v>
      </c>
      <c r="F330" t="inlineStr">
        <is>
          <t>KALMAR LÄN</t>
        </is>
      </c>
      <c r="G330" t="inlineStr">
        <is>
          <t>HÖGSBY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33788-2026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46251</v>
      </c>
      <c r="E331" s="1" t="n">
        <v>46281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46281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46281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45012</v>
      </c>
      <c r="E334" s="1" t="n">
        <v>46281</v>
      </c>
      <c r="F334" t="inlineStr">
        <is>
          <t>KALMAR LÄN</t>
        </is>
      </c>
      <c r="G334" t="inlineStr">
        <is>
          <t>HÖGSBY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45126</v>
      </c>
      <c r="E335" s="1" t="n">
        <v>46281</v>
      </c>
      <c r="F335" t="inlineStr">
        <is>
          <t>KALMAR LÄN</t>
        </is>
      </c>
      <c r="G335" t="inlineStr">
        <is>
          <t>HÖGSBY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47503-2023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46281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40990-2023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45173</v>
      </c>
      <c r="E337" s="1" t="n">
        <v>46281</v>
      </c>
      <c r="F337" t="inlineStr">
        <is>
          <t>KALMAR LÄN</t>
        </is>
      </c>
      <c r="G337" t="inlineStr">
        <is>
          <t>HÖGSBY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46281</v>
      </c>
      <c r="F338" t="inlineStr">
        <is>
          <t>KALMAR LÄN</t>
        </is>
      </c>
      <c r="G338" t="inlineStr">
        <is>
          <t>HÖGSBY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40155-2023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46281</v>
      </c>
      <c r="F339" t="inlineStr">
        <is>
          <t>KALMAR LÄN</t>
        </is>
      </c>
      <c r="G339" t="inlineStr">
        <is>
          <t>HÖGSBY</t>
        </is>
      </c>
      <c r="H339" t="inlineStr">
        <is>
          <t>Kommuner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38797-2024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45547</v>
      </c>
      <c r="E340" s="1" t="n">
        <v>46281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44981</v>
      </c>
      <c r="E341" s="1" t="n">
        <v>46281</v>
      </c>
      <c r="F341" t="inlineStr">
        <is>
          <t>KALMAR LÄN</t>
        </is>
      </c>
      <c r="G341" t="inlineStr">
        <is>
          <t>HÖGSBY</t>
        </is>
      </c>
      <c r="H341" t="inlineStr">
        <is>
          <t>Övriga Aktiebolag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59581-2024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45638</v>
      </c>
      <c r="E342" s="1" t="n">
        <v>46281</v>
      </c>
      <c r="F342" t="inlineStr">
        <is>
          <t>KALMAR LÄN</t>
        </is>
      </c>
      <c r="G342" t="inlineStr">
        <is>
          <t>HÖGSBY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45090</v>
      </c>
      <c r="E343" s="1" t="n">
        <v>46281</v>
      </c>
      <c r="F343" t="inlineStr">
        <is>
          <t>KALMAR LÄN</t>
        </is>
      </c>
      <c r="G343" t="inlineStr">
        <is>
          <t>HÖGSBY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46281</v>
      </c>
      <c r="F344" t="inlineStr">
        <is>
          <t>KALMAR LÄN</t>
        </is>
      </c>
      <c r="G344" t="inlineStr">
        <is>
          <t>HÖGSBY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38285-2023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45160</v>
      </c>
      <c r="E345" s="1" t="n">
        <v>46281</v>
      </c>
      <c r="F345" t="inlineStr">
        <is>
          <t>KALMAR LÄN</t>
        </is>
      </c>
      <c r="G345" t="inlineStr">
        <is>
          <t>HÖGSBY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44677</v>
      </c>
      <c r="E346" s="1" t="n">
        <v>46281</v>
      </c>
      <c r="F346" t="inlineStr">
        <is>
          <t>KALMAR LÄN</t>
        </is>
      </c>
      <c r="G346" t="inlineStr">
        <is>
          <t>HÖGSBY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45190</v>
      </c>
      <c r="E347" s="1" t="n">
        <v>46281</v>
      </c>
      <c r="F347" t="inlineStr">
        <is>
          <t>KALMAR LÄN</t>
        </is>
      </c>
      <c r="G347" t="inlineStr">
        <is>
          <t>HÖGSBY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47797-2024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45588</v>
      </c>
      <c r="E348" s="1" t="n">
        <v>46281</v>
      </c>
      <c r="F348" t="inlineStr">
        <is>
          <t>KALMAR LÄN</t>
        </is>
      </c>
      <c r="G348" t="inlineStr">
        <is>
          <t>HÖGSBY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46281</v>
      </c>
      <c r="F349" t="inlineStr">
        <is>
          <t>KALMAR LÄN</t>
        </is>
      </c>
      <c r="G349" t="inlineStr">
        <is>
          <t>HÖGSBY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46281</v>
      </c>
      <c r="F350" t="inlineStr">
        <is>
          <t>KALMAR LÄN</t>
        </is>
      </c>
      <c r="G350" t="inlineStr">
        <is>
          <t>HÖGSBY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27916-2023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46281</v>
      </c>
      <c r="F351" t="inlineStr">
        <is>
          <t>KALMAR LÄN</t>
        </is>
      </c>
      <c r="G351" t="inlineStr">
        <is>
          <t>HÖGSBY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54483-2022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44882</v>
      </c>
      <c r="E352" s="1" t="n">
        <v>46281</v>
      </c>
      <c r="F352" t="inlineStr">
        <is>
          <t>KALMAR LÄN</t>
        </is>
      </c>
      <c r="G352" t="inlineStr">
        <is>
          <t>HÖGSBY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35914-2026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46266</v>
      </c>
      <c r="E353" s="1" t="n">
        <v>46281</v>
      </c>
      <c r="F353" t="inlineStr">
        <is>
          <t>KALMAR LÄN</t>
        </is>
      </c>
      <c r="G353" t="inlineStr">
        <is>
          <t>HÖGSBY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46281</v>
      </c>
      <c r="F354" t="inlineStr">
        <is>
          <t>KALMAR LÄN</t>
        </is>
      </c>
      <c r="G354" t="inlineStr">
        <is>
          <t>HÖGSBY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46281</v>
      </c>
      <c r="F355" t="inlineStr">
        <is>
          <t>KALMAR LÄN</t>
        </is>
      </c>
      <c r="G355" t="inlineStr">
        <is>
          <t>HÖGSBY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46266</v>
      </c>
      <c r="E356" s="1" t="n">
        <v>46281</v>
      </c>
      <c r="F356" t="inlineStr">
        <is>
          <t>KALMAR LÄN</t>
        </is>
      </c>
      <c r="G356" t="inlineStr">
        <is>
          <t>HÖGSBY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46281</v>
      </c>
      <c r="F357" t="inlineStr">
        <is>
          <t>KALMAR LÄN</t>
        </is>
      </c>
      <c r="G357" t="inlineStr">
        <is>
          <t>HÖGSBY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46267</v>
      </c>
      <c r="E358" s="1" t="n">
        <v>46281</v>
      </c>
      <c r="F358" t="inlineStr">
        <is>
          <t>KALMAR LÄN</t>
        </is>
      </c>
      <c r="G358" t="inlineStr">
        <is>
          <t>HÖGSBY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45337</v>
      </c>
      <c r="E359" s="1" t="n">
        <v>46281</v>
      </c>
      <c r="F359" t="inlineStr">
        <is>
          <t>KALMAR LÄN</t>
        </is>
      </c>
      <c r="G359" t="inlineStr">
        <is>
          <t>HÖGSBY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46267</v>
      </c>
      <c r="E360" s="1" t="n">
        <v>46281</v>
      </c>
      <c r="F360" t="inlineStr">
        <is>
          <t>KALMAR LÄN</t>
        </is>
      </c>
      <c r="G360" t="inlineStr">
        <is>
          <t>HÖGSBY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45001</v>
      </c>
      <c r="E361" s="1" t="n">
        <v>46281</v>
      </c>
      <c r="F361" t="inlineStr">
        <is>
          <t>KALMAR LÄN</t>
        </is>
      </c>
      <c r="G361" t="inlineStr">
        <is>
          <t>HÖGSBY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46268</v>
      </c>
      <c r="E362" s="1" t="n">
        <v>46281</v>
      </c>
      <c r="F362" t="inlineStr">
        <is>
          <t>KALMAR LÄN</t>
        </is>
      </c>
      <c r="G362" t="inlineStr">
        <is>
          <t>HÖGSBY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46281</v>
      </c>
      <c r="F363" t="inlineStr">
        <is>
          <t>KALMAR LÄN</t>
        </is>
      </c>
      <c r="G363" t="inlineStr">
        <is>
          <t>HÖGSBY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64130-2023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46281</v>
      </c>
      <c r="F364" t="inlineStr">
        <is>
          <t>KALMAR LÄN</t>
        </is>
      </c>
      <c r="G364" t="inlineStr">
        <is>
          <t>HÖGSBY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35873-2026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46281</v>
      </c>
      <c r="F365" t="inlineStr">
        <is>
          <t>KALMAR LÄN</t>
        </is>
      </c>
      <c r="G365" t="inlineStr">
        <is>
          <t>HÖGSBY</t>
        </is>
      </c>
      <c r="I365" t="n">
        <v>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45153</v>
      </c>
      <c r="E366" s="1" t="n">
        <v>46281</v>
      </c>
      <c r="F366" t="inlineStr">
        <is>
          <t>KALMAR LÄN</t>
        </is>
      </c>
      <c r="G366" t="inlineStr">
        <is>
          <t>HÖGSBY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10412-2022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44623</v>
      </c>
      <c r="E367" s="1" t="n">
        <v>46281</v>
      </c>
      <c r="F367" t="inlineStr">
        <is>
          <t>KALMAR LÄN</t>
        </is>
      </c>
      <c r="G367" t="inlineStr">
        <is>
          <t>HÖGSBY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46281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53328-2022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44879</v>
      </c>
      <c r="E369" s="1" t="n">
        <v>46281</v>
      </c>
      <c r="F369" t="inlineStr">
        <is>
          <t>KALMAR LÄN</t>
        </is>
      </c>
      <c r="G369" t="inlineStr">
        <is>
          <t>HÖGSBY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46281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36445-2026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46281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24.4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59408-2022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44907</v>
      </c>
      <c r="E372" s="1" t="n">
        <v>46281</v>
      </c>
      <c r="F372" t="inlineStr">
        <is>
          <t>KALMAR LÄN</t>
        </is>
      </c>
      <c r="G372" t="inlineStr">
        <is>
          <t>HÖGSBY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46281</v>
      </c>
      <c r="F373" t="inlineStr">
        <is>
          <t>KALMAR LÄN</t>
        </is>
      </c>
      <c r="G373" t="inlineStr">
        <is>
          <t>HÖGSBY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45203</v>
      </c>
      <c r="E374" s="1" t="n">
        <v>46281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46281</v>
      </c>
      <c r="F375" t="inlineStr">
        <is>
          <t>KALMAR LÄN</t>
        </is>
      </c>
      <c r="G375" t="inlineStr">
        <is>
          <t>HÖGSBY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46281</v>
      </c>
      <c r="F376" t="inlineStr">
        <is>
          <t>KALMAR LÄN</t>
        </is>
      </c>
      <c r="G376" t="inlineStr">
        <is>
          <t>HÖGSBY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46281</v>
      </c>
      <c r="F377" t="inlineStr">
        <is>
          <t>KALMAR LÄN</t>
        </is>
      </c>
      <c r="G377" t="inlineStr">
        <is>
          <t>HÖGSBY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46275</v>
      </c>
      <c r="E378" s="1" t="n">
        <v>46281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11.2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37338-2026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46275</v>
      </c>
      <c r="E379" s="1" t="n">
        <v>46281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46281</v>
      </c>
      <c r="F380" t="inlineStr">
        <is>
          <t>KALMAR LÄN</t>
        </is>
      </c>
      <c r="G380" t="inlineStr">
        <is>
          <t>HÖGSBY</t>
        </is>
      </c>
      <c r="I380" t="n">
        <v>8.9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45414</v>
      </c>
      <c r="E381" s="1" t="n">
        <v>46281</v>
      </c>
      <c r="F381" t="inlineStr">
        <is>
          <t>KALMAR LÄN</t>
        </is>
      </c>
      <c r="G381" t="inlineStr">
        <is>
          <t>HÖGSBY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34078-2024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45523</v>
      </c>
      <c r="E382" s="1" t="n">
        <v>46281</v>
      </c>
      <c r="F382" t="inlineStr">
        <is>
          <t>KALMAR LÄN</t>
        </is>
      </c>
      <c r="G382" t="inlineStr">
        <is>
          <t>HÖGSBY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45782</v>
      </c>
      <c r="E383" s="1" t="n">
        <v>46281</v>
      </c>
      <c r="F383" t="inlineStr">
        <is>
          <t>KALMAR LÄN</t>
        </is>
      </c>
      <c r="G383" t="inlineStr">
        <is>
          <t>HÖGSBY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32228-2026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46237</v>
      </c>
      <c r="E384" s="1" t="n">
        <v>46281</v>
      </c>
      <c r="F384" t="inlineStr">
        <is>
          <t>KALMAR LÄN</t>
        </is>
      </c>
      <c r="G384" t="inlineStr">
        <is>
          <t>HÖGSBY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45170</v>
      </c>
      <c r="E385" s="1" t="n">
        <v>46281</v>
      </c>
      <c r="F385" t="inlineStr">
        <is>
          <t>KALMAR LÄN</t>
        </is>
      </c>
      <c r="G385" t="inlineStr">
        <is>
          <t>HÖGSBY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45554</v>
      </c>
      <c r="E386" s="1" t="n">
        <v>46281</v>
      </c>
      <c r="F386" t="inlineStr">
        <is>
          <t>KALMAR LÄN</t>
        </is>
      </c>
      <c r="G386" t="inlineStr">
        <is>
          <t>HÖGSBY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  <c r="Z386">
        <f>HYPERLINK("https://klasma.github.io/Logging_0821/knärot/A 40137-2024 karta knärot.png", "A 40137-2024")</f>
        <v/>
      </c>
      <c r="AA386">
        <f>HYPERLINK("https://klasma.github.io/Logging_0821/klagomål/A 40137-2024 FSC-klagomål.docx", "A 40137-2024")</f>
        <v/>
      </c>
      <c r="AB386">
        <f>HYPERLINK("https://klasma.github.io/Logging_0821/klagomålsmail/A 40137-2024 FSC-klagomål mail.docx", "A 40137-2024")</f>
        <v/>
      </c>
      <c r="AC386">
        <f>HYPERLINK("https://klasma.github.io/Logging_0821/tillsyn/A 40137-2024 tillsynsbegäran.docx", "A 40137-2024")</f>
        <v/>
      </c>
      <c r="AD386">
        <f>HYPERLINK("https://klasma.github.io/Logging_0821/tillsynsmail/A 40137-2024 tillsynsbegäran mail.docx", "A 40137-2024")</f>
        <v/>
      </c>
    </row>
    <row r="387" ht="15" customHeight="1">
      <c r="A387" t="inlineStr">
        <is>
          <t>A 24013-2025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46281</v>
      </c>
      <c r="F387" t="inlineStr">
        <is>
          <t>KALMAR LÄN</t>
        </is>
      </c>
      <c r="G387" t="inlineStr">
        <is>
          <t>HÖGSBY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45797</v>
      </c>
      <c r="E388" s="1" t="n">
        <v>46281</v>
      </c>
      <c r="F388" t="inlineStr">
        <is>
          <t>KALMAR LÄN</t>
        </is>
      </c>
      <c r="G388" t="inlineStr">
        <is>
          <t>HÖGSBY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46281</v>
      </c>
      <c r="F389" t="inlineStr">
        <is>
          <t>KALMAR LÄN</t>
        </is>
      </c>
      <c r="G389" t="inlineStr">
        <is>
          <t>HÖGSBY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45847</v>
      </c>
      <c r="E390" s="1" t="n">
        <v>46281</v>
      </c>
      <c r="F390" t="inlineStr">
        <is>
          <t>KALMAR LÄN</t>
        </is>
      </c>
      <c r="G390" t="inlineStr">
        <is>
          <t>HÖGSBY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46281</v>
      </c>
      <c r="F391" t="inlineStr">
        <is>
          <t>KALMAR LÄN</t>
        </is>
      </c>
      <c r="G391" t="inlineStr">
        <is>
          <t>HÖGSBY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46281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46281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46281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46281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46281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46281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46281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46281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46281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46281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46281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46281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46281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46281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46281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46281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46281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46281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46281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46281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46281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46281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46281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46281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2026-09-16T02:01:52Z</dcterms:created>
  <dcterms:modified xmlns:dcterms="http://purl.org/dc/terms/" xmlns:xsi="http://www.w3.org/2001/XMLSchema-instance" xsi:type="dcterms:W3CDTF">2026-09-16T02:01:53Z</dcterms:modified>
</cp:coreProperties>
</file>