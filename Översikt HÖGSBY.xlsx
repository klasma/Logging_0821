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46284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46284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46284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46284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46284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46284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46284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46284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46284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46284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46284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46284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46284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46284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58017-2025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45982</v>
      </c>
      <c r="E16" s="1" t="n">
        <v>46284</v>
      </c>
      <c r="F16" t="inlineStr">
        <is>
          <t>KALMAR LÄN</t>
        </is>
      </c>
      <c r="G16" t="inlineStr">
        <is>
          <t>HÖGSBY</t>
        </is>
      </c>
      <c r="H16" t="inlineStr">
        <is>
          <t>Sveaskog</t>
        </is>
      </c>
      <c r="I16" t="n">
        <v>8.4</v>
      </c>
      <c r="J16" t="n">
        <v>0</v>
      </c>
      <c r="K16" t="n">
        <v>3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Backvickermal
Björksplintborre
Blåmossa
Kornknutmossa</t>
        </is>
      </c>
      <c r="W16">
        <f>HYPERLINK("https://klasma.github.io/Logging_0821/artfynd/A 58017-2025 artfynd.xlsx", "A 58017-2025")</f>
        <v/>
      </c>
      <c r="X16">
        <f>HYPERLINK("https://klasma.github.io/Logging_0821/kartor/A 58017-2025 karta.png", "A 58017-2025")</f>
        <v/>
      </c>
      <c r="Y16">
        <f>HYPERLINK("https://klasma.github.io/Logging_0821/kartor_geotiff/A 58017-2025 georefererad karta.tif", "A 58017-2025")</f>
        <v/>
      </c>
      <c r="AA16">
        <f>HYPERLINK("https://klasma.github.io/Logging_0821/klagomål/A 58017-2025 FSC-klagomål.docx", "A 58017-2025")</f>
        <v/>
      </c>
      <c r="AB16">
        <f>HYPERLINK("https://klasma.github.io/Logging_0821/klagomålsmail/A 58017-2025 FSC-klagomål mail.docx", "A 58017-2025")</f>
        <v/>
      </c>
      <c r="AC16">
        <f>HYPERLINK("https://klasma.github.io/Logging_0821/tillsyn/A 58017-2025 tillsynsbegäran.docx", "A 58017-2025")</f>
        <v/>
      </c>
      <c r="AD16">
        <f>HYPERLINK("https://klasma.github.io/Logging_0821/tillsynsmail/A 58017-2025 tillsynsbegäran mail.docx", "A 58017-2025")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46284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46284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46284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46284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46284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46284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46284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46284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46284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46284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46284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A 30203-2023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45110</v>
      </c>
      <c r="E28" s="1" t="n">
        <v>46284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3.4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1</v>
      </c>
      <c r="V28" s="2" t="inlineStr">
        <is>
          <t>Mistel
Gullviva</t>
        </is>
      </c>
      <c r="W28">
        <f>HYPERLINK("https://klasma.github.io/Logging_0821/artfynd/A 30203-2023 artfynd.xlsx", "A 30203-2023")</f>
        <v/>
      </c>
      <c r="X28">
        <f>HYPERLINK("https://klasma.github.io/Logging_0821/kartor/A 30203-2023 karta.png", "A 30203-2023")</f>
        <v/>
      </c>
      <c r="Y28">
        <f>HYPERLINK("https://klasma.github.io/Logging_0821/kartor_geotiff/A 30203-2023 georefererad karta.tif", "A 30203-2023")</f>
        <v/>
      </c>
      <c r="AA28">
        <f>HYPERLINK("https://klasma.github.io/Logging_0821/klagomål/A 30203-2023 FSC-klagomål.docx", "A 30203-2023")</f>
        <v/>
      </c>
      <c r="AB28">
        <f>HYPERLINK("https://klasma.github.io/Logging_0821/klagomålsmail/A 30203-2023 FSC-klagomål mail.docx", "A 30203-2023")</f>
        <v/>
      </c>
      <c r="AC28">
        <f>HYPERLINK("https://klasma.github.io/Logging_0821/tillsyn/A 30203-2023 tillsynsbegäran.docx", "A 30203-2023")</f>
        <v/>
      </c>
      <c r="AD28">
        <f>HYPERLINK("https://klasma.github.io/Logging_0821/tillsynsmail/A 30203-2023 tillsynsbegäran mail.docx", "A 30203-2023")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46284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46284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46284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46284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46284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32911-2026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46284</v>
      </c>
      <c r="F34" t="inlineStr">
        <is>
          <t>KALMAR LÄN</t>
        </is>
      </c>
      <c r="G34" t="inlineStr">
        <is>
          <t>HÖGSBY</t>
        </is>
      </c>
      <c r="I34" t="n">
        <v>6.1</v>
      </c>
      <c r="J34" t="n">
        <v>2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Hornuggla
Hasselsnok</t>
        </is>
      </c>
      <c r="W34">
        <f>HYPERLINK("https://klasma.github.io/Logging_0821/artfynd/A 32911-2026 artfynd.xlsx", "A 32911-2026")</f>
        <v/>
      </c>
      <c r="X34">
        <f>HYPERLINK("https://klasma.github.io/Logging_0821/kartor/A 32911-2026 karta.png", "A 32911-2026")</f>
        <v/>
      </c>
      <c r="Y34">
        <f>HYPERLINK("https://klasma.github.io/Logging_0821/kartor_geotiff/A 32911-2026 georefererad karta.tif", "A 32911-2026")</f>
        <v/>
      </c>
      <c r="AA34">
        <f>HYPERLINK("https://klasma.github.io/Logging_0821/klagomål/A 32911-2026 FSC-klagomål.docx", "A 32911-2026")</f>
        <v/>
      </c>
      <c r="AB34">
        <f>HYPERLINK("https://klasma.github.io/Logging_0821/klagomålsmail/A 32911-2026 FSC-klagomål mail.docx", "A 32911-2026")</f>
        <v/>
      </c>
      <c r="AC34">
        <f>HYPERLINK("https://klasma.github.io/Logging_0821/tillsyn/A 32911-2026 tillsynsbegäran.docx", "A 32911-2026")</f>
        <v/>
      </c>
      <c r="AD34">
        <f>HYPERLINK("https://klasma.github.io/Logging_0821/tillsynsmail/A 32911-2026 tillsynsbegäran mail.docx", "A 32911-2026")</f>
        <v/>
      </c>
      <c r="AE34">
        <f>HYPERLINK("https://klasma.github.io/Logging_0821/fåglar/A 32911-2026 prioriterade fågelarter.docx", "A 32911-2026")</f>
        <v/>
      </c>
    </row>
    <row r="35" ht="15" customHeight="1">
      <c r="A35" t="inlineStr">
        <is>
          <t>A 9616-2022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46284</v>
      </c>
      <c r="F35" t="inlineStr">
        <is>
          <t>KALMAR LÄN</t>
        </is>
      </c>
      <c r="G35" t="inlineStr">
        <is>
          <t>HÖGSBY</t>
        </is>
      </c>
      <c r="I35" t="n">
        <v>6.4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Knippnejlika
Solvända</t>
        </is>
      </c>
      <c r="W35">
        <f>HYPERLINK("https://klasma.github.io/Logging_0821/artfynd/A 9616-2022 artfynd.xlsx", "A 9616-2022")</f>
        <v/>
      </c>
      <c r="X35">
        <f>HYPERLINK("https://klasma.github.io/Logging_0821/kartor/A 9616-2022 karta.png", "A 9616-2022")</f>
        <v/>
      </c>
      <c r="Y35">
        <f>HYPERLINK("https://klasma.github.io/Logging_0821/kartor_geotiff/A 9616-2022 georefererad karta.tif", "A 9616-2022")</f>
        <v/>
      </c>
      <c r="AA35">
        <f>HYPERLINK("https://klasma.github.io/Logging_0821/klagomål/A 9616-2022 FSC-klagomål.docx", "A 9616-2022")</f>
        <v/>
      </c>
      <c r="AB35">
        <f>HYPERLINK("https://klasma.github.io/Logging_0821/klagomålsmail/A 9616-2022 FSC-klagomål mail.docx", "A 9616-2022")</f>
        <v/>
      </c>
      <c r="AC35">
        <f>HYPERLINK("https://klasma.github.io/Logging_0821/tillsyn/A 9616-2022 tillsynsbegäran.docx", "A 9616-2022")</f>
        <v/>
      </c>
      <c r="AD35">
        <f>HYPERLINK("https://klasma.github.io/Logging_0821/tillsynsmail/A 9616-2022 tillsynsbegäran mail.docx", "A 9616-2022")</f>
        <v/>
      </c>
    </row>
    <row r="36" ht="15" customHeight="1">
      <c r="A36" t="inlineStr">
        <is>
          <t>A 62371-2023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46284</v>
      </c>
      <c r="F36" t="inlineStr">
        <is>
          <t>KALMAR LÄN</t>
        </is>
      </c>
      <c r="G36" t="inlineStr">
        <is>
          <t>HÖGSBY</t>
        </is>
      </c>
      <c r="I36" t="n">
        <v>4.5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Spillkråka</t>
        </is>
      </c>
      <c r="W36">
        <f>HYPERLINK("https://klasma.github.io/Logging_0821/artfynd/A 62371-2023 artfynd.xlsx", "A 62371-2023")</f>
        <v/>
      </c>
      <c r="X36">
        <f>HYPERLINK("https://klasma.github.io/Logging_0821/kartor/A 62371-2023 karta.png", "A 62371-2023")</f>
        <v/>
      </c>
      <c r="Y36">
        <f>HYPERLINK("https://klasma.github.io/Logging_0821/kartor_geotiff/A 62371-2023 georefererad karta.tif", "A 62371-2023")</f>
        <v/>
      </c>
      <c r="Z36">
        <f>HYPERLINK("https://klasma.github.io/Logging_0821/knärot/A 62371-2023 karta knärot.png", "A 62371-2023")</f>
        <v/>
      </c>
      <c r="AA36">
        <f>HYPERLINK("https://klasma.github.io/Logging_0821/klagomål/A 62371-2023 FSC-klagomål.docx", "A 62371-2023")</f>
        <v/>
      </c>
      <c r="AB36">
        <f>HYPERLINK("https://klasma.github.io/Logging_0821/klagomålsmail/A 62371-2023 FSC-klagomål mail.docx", "A 62371-2023")</f>
        <v/>
      </c>
      <c r="AC36">
        <f>HYPERLINK("https://klasma.github.io/Logging_0821/tillsyn/A 62371-2023 tillsynsbegäran.docx", "A 62371-2023")</f>
        <v/>
      </c>
      <c r="AD36">
        <f>HYPERLINK("https://klasma.github.io/Logging_0821/tillsynsmail/A 62371-2023 tillsynsbegäran mail.docx", "A 62371-2023")</f>
        <v/>
      </c>
      <c r="AE36">
        <f>HYPERLINK("https://klasma.github.io/Logging_0821/fåglar/A 62371-2023 prioriterade fågelarter.docx", "A 62371-2023")</f>
        <v/>
      </c>
    </row>
    <row r="37" ht="15" customHeight="1">
      <c r="A37" t="inlineStr">
        <is>
          <t>S 787-2023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44985</v>
      </c>
      <c r="E37" s="1" t="n">
        <v>46284</v>
      </c>
      <c r="F37" t="inlineStr">
        <is>
          <t>KALMAR LÄN</t>
        </is>
      </c>
      <c r="G37" t="inlineStr">
        <is>
          <t>HÖGSBY</t>
        </is>
      </c>
      <c r="I37" t="n">
        <v>166.6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Grönpyrola</t>
        </is>
      </c>
      <c r="W37">
        <f>HYPERLINK("https://klasma.github.io/Logging_0821/artfynd/S 787-2023 artfynd.xlsx", "S 787-2023")</f>
        <v/>
      </c>
      <c r="X37">
        <f>HYPERLINK("https://klasma.github.io/Logging_0821/kartor/S 787-2023 karta.png", "S 787-2023")</f>
        <v/>
      </c>
      <c r="Y37">
        <f>HYPERLINK("https://klasma.github.io/Logging_0821/kartor_geotiff/S 787-2023 georefererad karta.tif", "S 787-2023")</f>
        <v/>
      </c>
      <c r="Z37">
        <f>HYPERLINK("https://klasma.github.io/Logging_0821/knärot/S 787-2023 karta knärot.png", "S 787-2023")</f>
        <v/>
      </c>
      <c r="AA37">
        <f>HYPERLINK("https://klasma.github.io/Logging_0821/klagomål/S 787-2023 FSC-klagomål.docx", "S 787-2023")</f>
        <v/>
      </c>
      <c r="AB37">
        <f>HYPERLINK("https://klasma.github.io/Logging_0821/klagomålsmail/S 787-2023 FSC-klagomål mail.docx", "S 787-2023")</f>
        <v/>
      </c>
      <c r="AC37">
        <f>HYPERLINK("https://klasma.github.io/Logging_0821/tillsyn/S 787-2023 tillsynsbegäran.docx", "S 787-2023")</f>
        <v/>
      </c>
      <c r="AD37">
        <f>HYPERLINK("https://klasma.github.io/Logging_0821/tillsynsmail/S 787-2023 tillsynsbegäran mail.docx", "S 787-2023")</f>
        <v/>
      </c>
    </row>
    <row r="38" ht="15" customHeight="1">
      <c r="A38" t="inlineStr">
        <is>
          <t>A 62744-2021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44504</v>
      </c>
      <c r="E38" s="1" t="n">
        <v>46284</v>
      </c>
      <c r="F38" t="inlineStr">
        <is>
          <t>KALMAR LÄN</t>
        </is>
      </c>
      <c r="G38" t="inlineStr">
        <is>
          <t>HÖGSBY</t>
        </is>
      </c>
      <c r="I38" t="n">
        <v>11.6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HYPERLINK("https://klasma.github.io/Logging_0821/artfynd/A 62744-2021 artfynd.xlsx", "A 62744-2021")</f>
        <v/>
      </c>
      <c r="X38">
        <f>HYPERLINK("https://klasma.github.io/Logging_0821/kartor/A 62744-2021 karta.png", "A 62744-2021")</f>
        <v/>
      </c>
      <c r="Y38">
        <f>HYPERLINK("https://klasma.github.io/Logging_0821/kartor_geotiff/A 62744-2021 georefererad karta.tif", "A 62744-2021")</f>
        <v/>
      </c>
      <c r="AA38">
        <f>HYPERLINK("https://klasma.github.io/Logging_0821/klagomål/A 62744-2021 FSC-klagomål.docx", "A 62744-2021")</f>
        <v/>
      </c>
      <c r="AB38">
        <f>HYPERLINK("https://klasma.github.io/Logging_0821/klagomålsmail/A 62744-2021 FSC-klagomål mail.docx", "A 62744-2021")</f>
        <v/>
      </c>
      <c r="AC38">
        <f>HYPERLINK("https://klasma.github.io/Logging_0821/tillsyn/A 62744-2021 tillsynsbegäran.docx", "A 62744-2021")</f>
        <v/>
      </c>
      <c r="AD38">
        <f>HYPERLINK("https://klasma.github.io/Logging_0821/tillsynsmail/A 62744-2021 tillsynsbegäran mail.docx", "A 62744-2021")</f>
        <v/>
      </c>
      <c r="AE38">
        <f>HYPERLINK("https://klasma.github.io/Logging_0821/fåglar/A 62744-2021 prioriterade fågelarter.docx", "A 62744-2021")</f>
        <v/>
      </c>
    </row>
    <row r="39" ht="15" customHeight="1">
      <c r="A39" t="inlineStr">
        <is>
          <t>A 1519-2022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46284</v>
      </c>
      <c r="F39" t="inlineStr">
        <is>
          <t>KALMAR LÄN</t>
        </is>
      </c>
      <c r="G39" t="inlineStr">
        <is>
          <t>HÖGSBY</t>
        </is>
      </c>
      <c r="I39" t="n">
        <v>2.6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HYPERLINK("https://klasma.github.io/Logging_0821/artfynd/A 1519-2022 artfynd.xlsx", "A 1519-2022")</f>
        <v/>
      </c>
      <c r="X39">
        <f>HYPERLINK("https://klasma.github.io/Logging_0821/kartor/A 1519-2022 karta.png", "A 1519-2022")</f>
        <v/>
      </c>
      <c r="Y39">
        <f>HYPERLINK("https://klasma.github.io/Logging_0821/kartor_geotiff/A 1519-2022 georefererad karta.tif", "A 1519-2022")</f>
        <v/>
      </c>
      <c r="AA39">
        <f>HYPERLINK("https://klasma.github.io/Logging_0821/klagomål/A 1519-2022 FSC-klagomål.docx", "A 1519-2022")</f>
        <v/>
      </c>
      <c r="AB39">
        <f>HYPERLINK("https://klasma.github.io/Logging_0821/klagomålsmail/A 1519-2022 FSC-klagomål mail.docx", "A 1519-2022")</f>
        <v/>
      </c>
      <c r="AC39">
        <f>HYPERLINK("https://klasma.github.io/Logging_0821/tillsyn/A 1519-2022 tillsynsbegäran.docx", "A 1519-2022")</f>
        <v/>
      </c>
      <c r="AD39">
        <f>HYPERLINK("https://klasma.github.io/Logging_0821/tillsynsmail/A 1519-2022 tillsynsbegäran mail.docx", "A 1519-2022")</f>
        <v/>
      </c>
    </row>
    <row r="40" ht="15" customHeight="1">
      <c r="A40" t="inlineStr">
        <is>
          <t>A 38267-2025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45883</v>
      </c>
      <c r="E40" s="1" t="n">
        <v>46284</v>
      </c>
      <c r="F40" t="inlineStr">
        <is>
          <t>KALMAR LÄN</t>
        </is>
      </c>
      <c r="G40" t="inlineStr">
        <is>
          <t>HÖGSBY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Flikig tallfibbla</t>
        </is>
      </c>
      <c r="W40">
        <f>HYPERLINK("https://klasma.github.io/Logging_0821/artfynd/A 38267-2025 artfynd.xlsx", "A 38267-2025")</f>
        <v/>
      </c>
      <c r="X40">
        <f>HYPERLINK("https://klasma.github.io/Logging_0821/kartor/A 38267-2025 karta.png", "A 38267-2025")</f>
        <v/>
      </c>
      <c r="Y40">
        <f>HYPERLINK("https://klasma.github.io/Logging_0821/kartor_geotiff/A 38267-2025 georefererad karta.tif", "A 38267-2025")</f>
        <v/>
      </c>
      <c r="AA40">
        <f>HYPERLINK("https://klasma.github.io/Logging_0821/klagomål/A 38267-2025 FSC-klagomål.docx", "A 38267-2025")</f>
        <v/>
      </c>
      <c r="AB40">
        <f>HYPERLINK("https://klasma.github.io/Logging_0821/klagomålsmail/A 38267-2025 FSC-klagomål mail.docx", "A 38267-2025")</f>
        <v/>
      </c>
      <c r="AC40">
        <f>HYPERLINK("https://klasma.github.io/Logging_0821/tillsyn/A 38267-2025 tillsynsbegäran.docx", "A 38267-2025")</f>
        <v/>
      </c>
      <c r="AD40">
        <f>HYPERLINK("https://klasma.github.io/Logging_0821/tillsynsmail/A 38267-2025 tillsynsbegäran mail.docx", "A 38267-2025")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46284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23859-2026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46284</v>
      </c>
      <c r="F42" t="inlineStr">
        <is>
          <t>KALMAR LÄN</t>
        </is>
      </c>
      <c r="G42" t="inlineStr">
        <is>
          <t>HÖGSBY</t>
        </is>
      </c>
      <c r="I42" t="n">
        <v>3.8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Rödlånke</t>
        </is>
      </c>
      <c r="W42">
        <f>HYPERLINK("https://klasma.github.io/Logging_0821/artfynd/A 23859-2026 artfynd.xlsx", "A 23859-2026")</f>
        <v/>
      </c>
      <c r="X42">
        <f>HYPERLINK("https://klasma.github.io/Logging_0821/kartor/A 23859-2026 karta.png", "A 23859-2026")</f>
        <v/>
      </c>
      <c r="Y42">
        <f>HYPERLINK("https://klasma.github.io/Logging_0821/kartor_geotiff/A 23859-2026 georefererad karta.tif", "A 23859-2026")</f>
        <v/>
      </c>
      <c r="AA42">
        <f>HYPERLINK("https://klasma.github.io/Logging_0821/klagomål/A 23859-2026 FSC-klagomål.docx", "A 23859-2026")</f>
        <v/>
      </c>
      <c r="AB42">
        <f>HYPERLINK("https://klasma.github.io/Logging_0821/klagomålsmail/A 23859-2026 FSC-klagomål mail.docx", "A 23859-2026")</f>
        <v/>
      </c>
      <c r="AC42">
        <f>HYPERLINK("https://klasma.github.io/Logging_0821/tillsyn/A 23859-2026 tillsynsbegäran.docx", "A 23859-2026")</f>
        <v/>
      </c>
      <c r="AD42">
        <f>HYPERLINK("https://klasma.github.io/Logging_0821/tillsynsmail/A 23859-2026 tillsynsbegäran mail.docx", "A 23859-2026")</f>
        <v/>
      </c>
    </row>
    <row r="43" ht="15" customHeight="1">
      <c r="A43" t="inlineStr">
        <is>
          <t>A 24911-2023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45085</v>
      </c>
      <c r="E43" s="1" t="n">
        <v>46284</v>
      </c>
      <c r="F43" t="inlineStr">
        <is>
          <t>KALMAR LÄN</t>
        </is>
      </c>
      <c r="G43" t="inlineStr">
        <is>
          <t>HÖGSBY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Sotlav</t>
        </is>
      </c>
      <c r="W43">
        <f>HYPERLINK("https://klasma.github.io/Logging_0821/artfynd/A 24911-2023 artfynd.xlsx", "A 24911-2023")</f>
        <v/>
      </c>
      <c r="X43">
        <f>HYPERLINK("https://klasma.github.io/Logging_0821/kartor/A 24911-2023 karta.png", "A 24911-2023")</f>
        <v/>
      </c>
      <c r="Y43">
        <f>HYPERLINK("https://klasma.github.io/Logging_0821/kartor_geotiff/A 24911-2023 georefererad karta.tif", "A 24911-2023")</f>
        <v/>
      </c>
      <c r="AA43">
        <f>HYPERLINK("https://klasma.github.io/Logging_0821/klagomål/A 24911-2023 FSC-klagomål.docx", "A 24911-2023")</f>
        <v/>
      </c>
      <c r="AB43">
        <f>HYPERLINK("https://klasma.github.io/Logging_0821/klagomålsmail/A 24911-2023 FSC-klagomål mail.docx", "A 24911-2023")</f>
        <v/>
      </c>
      <c r="AC43">
        <f>HYPERLINK("https://klasma.github.io/Logging_0821/tillsyn/A 24911-2023 tillsynsbegäran.docx", "A 24911-2023")</f>
        <v/>
      </c>
      <c r="AD43">
        <f>HYPERLINK("https://klasma.github.io/Logging_0821/tillsynsmail/A 24911-2023 tillsynsbegäran mail.docx", "A 24911-2023")</f>
        <v/>
      </c>
    </row>
    <row r="44" ht="15" customHeight="1">
      <c r="A44" t="inlineStr">
        <is>
          <t>A 26145-2026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46284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0</v>
      </c>
      <c r="V44" s="2" t="inlineStr">
        <is>
          <t>Gullviva</t>
        </is>
      </c>
      <c r="W44">
        <f>HYPERLINK("https://klasma.github.io/Logging_0821/artfynd/A 26145-2026 artfynd.xlsx", "A 26145-2026")</f>
        <v/>
      </c>
      <c r="X44">
        <f>HYPERLINK("https://klasma.github.io/Logging_0821/kartor/A 26145-2026 karta.png", "A 26145-2026")</f>
        <v/>
      </c>
      <c r="Y44">
        <f>HYPERLINK("https://klasma.github.io/Logging_0821/kartor_geotiff/A 26145-2026 georefererad karta.tif", "A 26145-2026")</f>
        <v/>
      </c>
      <c r="AA44">
        <f>HYPERLINK("https://klasma.github.io/Logging_0821/klagomål/A 26145-2026 FSC-klagomål.docx", "A 26145-2026")</f>
        <v/>
      </c>
      <c r="AB44">
        <f>HYPERLINK("https://klasma.github.io/Logging_0821/klagomålsmail/A 26145-2026 FSC-klagomål mail.docx", "A 26145-2026")</f>
        <v/>
      </c>
      <c r="AC44">
        <f>HYPERLINK("https://klasma.github.io/Logging_0821/tillsyn/A 26145-2026 tillsynsbegäran.docx", "A 26145-2026")</f>
        <v/>
      </c>
      <c r="AD44">
        <f>HYPERLINK("https://klasma.github.io/Logging_0821/tillsynsmail/A 26145-2026 tillsynsbegäran mail.docx", "A 26145-2026")</f>
        <v/>
      </c>
    </row>
    <row r="45" ht="15" customHeight="1">
      <c r="A45" t="inlineStr">
        <is>
          <t>A 59700-2023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45256</v>
      </c>
      <c r="E45" s="1" t="n">
        <v>46284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59700-2023 artfynd.xlsx", "A 59700-2023")</f>
        <v/>
      </c>
      <c r="X45">
        <f>HYPERLINK("https://klasma.github.io/Logging_0821/kartor/A 59700-2023 karta.png", "A 59700-2023")</f>
        <v/>
      </c>
      <c r="Y45">
        <f>HYPERLINK("https://klasma.github.io/Logging_0821/kartor_geotiff/A 59700-2023 georefererad karta.tif", "A 59700-2023")</f>
        <v/>
      </c>
      <c r="AA45">
        <f>HYPERLINK("https://klasma.github.io/Logging_0821/klagomål/A 59700-2023 FSC-klagomål.docx", "A 59700-2023")</f>
        <v/>
      </c>
      <c r="AB45">
        <f>HYPERLINK("https://klasma.github.io/Logging_0821/klagomålsmail/A 59700-2023 FSC-klagomål mail.docx", "A 59700-2023")</f>
        <v/>
      </c>
      <c r="AC45">
        <f>HYPERLINK("https://klasma.github.io/Logging_0821/tillsyn/A 59700-2023 tillsynsbegäran.docx", "A 59700-2023")</f>
        <v/>
      </c>
      <c r="AD45">
        <f>HYPERLINK("https://klasma.github.io/Logging_0821/tillsynsmail/A 59700-2023 tillsynsbegäran mail.docx", "A 59700-2023")</f>
        <v/>
      </c>
      <c r="AE45">
        <f>HYPERLINK("https://klasma.github.io/Logging_0821/fåglar/A 59700-2023 prioriterade fågelarter.docx", "A 59700-2023")</f>
        <v/>
      </c>
    </row>
    <row r="46" ht="15" customHeight="1">
      <c r="A46" t="inlineStr">
        <is>
          <t>A 35072-2023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46284</v>
      </c>
      <c r="F46" t="inlineStr">
        <is>
          <t>KALMAR LÄN</t>
        </is>
      </c>
      <c r="G46" t="inlineStr">
        <is>
          <t>HÖGSBY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HYPERLINK("https://klasma.github.io/Logging_0821/artfynd/A 35072-2023 artfynd.xlsx", "A 35072-2023")</f>
        <v/>
      </c>
      <c r="X46">
        <f>HYPERLINK("https://klasma.github.io/Logging_0821/kartor/A 35072-2023 karta.png", "A 35072-2023")</f>
        <v/>
      </c>
      <c r="Y46">
        <f>HYPERLINK("https://klasma.github.io/Logging_0821/kartor_geotiff/A 35072-2023 georefererad karta.tif", "A 35072-2023")</f>
        <v/>
      </c>
      <c r="AA46">
        <f>HYPERLINK("https://klasma.github.io/Logging_0821/klagomål/A 35072-2023 FSC-klagomål.docx", "A 35072-2023")</f>
        <v/>
      </c>
      <c r="AB46">
        <f>HYPERLINK("https://klasma.github.io/Logging_0821/klagomålsmail/A 35072-2023 FSC-klagomål mail.docx", "A 35072-2023")</f>
        <v/>
      </c>
      <c r="AC46">
        <f>HYPERLINK("https://klasma.github.io/Logging_0821/tillsyn/A 35072-2023 tillsynsbegäran.docx", "A 35072-2023")</f>
        <v/>
      </c>
      <c r="AD46">
        <f>HYPERLINK("https://klasma.github.io/Logging_0821/tillsynsmail/A 35072-2023 tillsynsbegäran mail.docx", "A 35072-2023")</f>
        <v/>
      </c>
    </row>
    <row r="47" ht="15" customHeight="1">
      <c r="A47" t="inlineStr">
        <is>
          <t>A 27366-2026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46284</v>
      </c>
      <c r="F47" t="inlineStr">
        <is>
          <t>KALMAR LÄN</t>
        </is>
      </c>
      <c r="G47" t="inlineStr">
        <is>
          <t>HÖGSBY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HYPERLINK("https://klasma.github.io/Logging_0821/artfynd/A 27366-2026 artfynd.xlsx", "A 27366-2026")</f>
        <v/>
      </c>
      <c r="X47">
        <f>HYPERLINK("https://klasma.github.io/Logging_0821/kartor/A 27366-2026 karta.png", "A 27366-2026")</f>
        <v/>
      </c>
      <c r="Y47">
        <f>HYPERLINK("https://klasma.github.io/Logging_0821/kartor_geotiff/A 27366-2026 georefererad karta.tif", "A 27366-2026")</f>
        <v/>
      </c>
      <c r="AA47">
        <f>HYPERLINK("https://klasma.github.io/Logging_0821/klagomål/A 27366-2026 FSC-klagomål.docx", "A 27366-2026")</f>
        <v/>
      </c>
      <c r="AB47">
        <f>HYPERLINK("https://klasma.github.io/Logging_0821/klagomålsmail/A 27366-2026 FSC-klagomål mail.docx", "A 27366-2026")</f>
        <v/>
      </c>
      <c r="AC47">
        <f>HYPERLINK("https://klasma.github.io/Logging_0821/tillsyn/A 27366-2026 tillsynsbegäran.docx", "A 27366-2026")</f>
        <v/>
      </c>
      <c r="AD47">
        <f>HYPERLINK("https://klasma.github.io/Logging_0821/tillsynsmail/A 27366-2026 tillsynsbegäran mail.docx", "A 27366-2026")</f>
        <v/>
      </c>
    </row>
    <row r="48" ht="15" customHeight="1">
      <c r="A48" t="inlineStr">
        <is>
          <t>A 58792-2022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44903</v>
      </c>
      <c r="E48" s="1" t="n">
        <v>46284</v>
      </c>
      <c r="F48" t="inlineStr">
        <is>
          <t>KALMAR LÄN</t>
        </is>
      </c>
      <c r="G48" t="inlineStr">
        <is>
          <t>HÖGSBY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58792-2022 artfynd.xlsx", "A 58792-2022")</f>
        <v/>
      </c>
      <c r="X48">
        <f>HYPERLINK("https://klasma.github.io/Logging_0821/kartor/A 58792-2022 karta.png", "A 58792-2022")</f>
        <v/>
      </c>
      <c r="Y48">
        <f>HYPERLINK("https://klasma.github.io/Logging_0821/kartor_geotiff/A 58792-2022 georefererad karta.tif", "A 58792-2022")</f>
        <v/>
      </c>
      <c r="AA48">
        <f>HYPERLINK("https://klasma.github.io/Logging_0821/klagomål/A 58792-2022 FSC-klagomål.docx", "A 58792-2022")</f>
        <v/>
      </c>
      <c r="AB48">
        <f>HYPERLINK("https://klasma.github.io/Logging_0821/klagomålsmail/A 58792-2022 FSC-klagomål mail.docx", "A 58792-2022")</f>
        <v/>
      </c>
      <c r="AC48">
        <f>HYPERLINK("https://klasma.github.io/Logging_0821/tillsyn/A 58792-2022 tillsynsbegäran.docx", "A 58792-2022")</f>
        <v/>
      </c>
      <c r="AD48">
        <f>HYPERLINK("https://klasma.github.io/Logging_0821/tillsynsmail/A 58792-2022 tillsynsbegäran mail.docx", "A 58792-2022")</f>
        <v/>
      </c>
    </row>
    <row r="49" ht="15" customHeight="1">
      <c r="A49" t="inlineStr">
        <is>
          <t>A 28894-2026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46284</v>
      </c>
      <c r="F49" t="inlineStr">
        <is>
          <t>KALMAR LÄN</t>
        </is>
      </c>
      <c r="G49" t="inlineStr">
        <is>
          <t>HÖGSBY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HYPERLINK("https://klasma.github.io/Logging_0821/artfynd/A 28894-2026 artfynd.xlsx", "A 28894-2026")</f>
        <v/>
      </c>
      <c r="X49">
        <f>HYPERLINK("https://klasma.github.io/Logging_0821/kartor/A 28894-2026 karta.png", "A 28894-2026")</f>
        <v/>
      </c>
      <c r="Y49">
        <f>HYPERLINK("https://klasma.github.io/Logging_0821/kartor_geotiff/A 28894-2026 georefererad karta.tif", "A 28894-2026")</f>
        <v/>
      </c>
      <c r="AA49">
        <f>HYPERLINK("https://klasma.github.io/Logging_0821/klagomål/A 28894-2026 FSC-klagomål.docx", "A 28894-2026")</f>
        <v/>
      </c>
      <c r="AB49">
        <f>HYPERLINK("https://klasma.github.io/Logging_0821/klagomålsmail/A 28894-2026 FSC-klagomål mail.docx", "A 28894-2026")</f>
        <v/>
      </c>
      <c r="AC49">
        <f>HYPERLINK("https://klasma.github.io/Logging_0821/tillsyn/A 28894-2026 tillsynsbegäran.docx", "A 28894-2026")</f>
        <v/>
      </c>
      <c r="AD49">
        <f>HYPERLINK("https://klasma.github.io/Logging_0821/tillsynsmail/A 28894-2026 tillsynsbegäran mail.docx", "A 28894-2026")</f>
        <v/>
      </c>
      <c r="AE49">
        <f>HYPERLINK("https://klasma.github.io/Logging_0821/fåglar/A 28894-2026 prioriterade fågelarter.docx", "A 28894-2026")</f>
        <v/>
      </c>
    </row>
    <row r="50" ht="15" customHeight="1">
      <c r="A50" t="inlineStr">
        <is>
          <t>A 17994-2026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46124</v>
      </c>
      <c r="E50" s="1" t="n">
        <v>46284</v>
      </c>
      <c r="F50" t="inlineStr">
        <is>
          <t>KALMAR LÄN</t>
        </is>
      </c>
      <c r="G50" t="inlineStr">
        <is>
          <t>HÖGSBY</t>
        </is>
      </c>
      <c r="I50" t="n">
        <v>1.7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Mindre bastardsvärmare</t>
        </is>
      </c>
      <c r="W50">
        <f>HYPERLINK("https://klasma.github.io/Logging_0821/artfynd/A 17994-2026 artfynd.xlsx", "A 17994-2026")</f>
        <v/>
      </c>
      <c r="X50">
        <f>HYPERLINK("https://klasma.github.io/Logging_0821/kartor/A 17994-2026 karta.png", "A 17994-2026")</f>
        <v/>
      </c>
      <c r="Y50">
        <f>HYPERLINK("https://klasma.github.io/Logging_0821/kartor_geotiff/A 17994-2026 georefererad karta.tif", "A 17994-2026")</f>
        <v/>
      </c>
      <c r="AA50">
        <f>HYPERLINK("https://klasma.github.io/Logging_0821/klagomål/A 17994-2026 FSC-klagomål.docx", "A 17994-2026")</f>
        <v/>
      </c>
      <c r="AB50">
        <f>HYPERLINK("https://klasma.github.io/Logging_0821/klagomålsmail/A 17994-2026 FSC-klagomål mail.docx", "A 17994-2026")</f>
        <v/>
      </c>
      <c r="AC50">
        <f>HYPERLINK("https://klasma.github.io/Logging_0821/tillsyn/A 17994-2026 tillsynsbegäran.docx", "A 17994-2026")</f>
        <v/>
      </c>
      <c r="AD50">
        <f>HYPERLINK("https://klasma.github.io/Logging_0821/tillsynsmail/A 17994-2026 tillsynsbegäran mail.docx", "A 17994-2026")</f>
        <v/>
      </c>
    </row>
    <row r="51" ht="15" customHeight="1">
      <c r="A51" t="inlineStr">
        <is>
          <t>A 19463-2026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46129</v>
      </c>
      <c r="E51" s="1" t="n">
        <v>46284</v>
      </c>
      <c r="F51" t="inlineStr">
        <is>
          <t>KALMAR LÄN</t>
        </is>
      </c>
      <c r="G51" t="inlineStr">
        <is>
          <t>HÖGSBY</t>
        </is>
      </c>
      <c r="I51" t="n">
        <v>4.1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HYPERLINK("https://klasma.github.io/Logging_0821/artfynd/A 19463-2026 artfynd.xlsx", "A 19463-2026")</f>
        <v/>
      </c>
      <c r="X51">
        <f>HYPERLINK("https://klasma.github.io/Logging_0821/kartor/A 19463-2026 karta.png", "A 19463-2026")</f>
        <v/>
      </c>
      <c r="Y51">
        <f>HYPERLINK("https://klasma.github.io/Logging_0821/kartor_geotiff/A 19463-2026 georefererad karta.tif", "A 19463-2026")</f>
        <v/>
      </c>
      <c r="AA51">
        <f>HYPERLINK("https://klasma.github.io/Logging_0821/klagomål/A 19463-2026 FSC-klagomål.docx", "A 19463-2026")</f>
        <v/>
      </c>
      <c r="AB51">
        <f>HYPERLINK("https://klasma.github.io/Logging_0821/klagomålsmail/A 19463-2026 FSC-klagomål mail.docx", "A 19463-2026")</f>
        <v/>
      </c>
      <c r="AC51">
        <f>HYPERLINK("https://klasma.github.io/Logging_0821/tillsyn/A 19463-2026 tillsynsbegäran.docx", "A 19463-2026")</f>
        <v/>
      </c>
      <c r="AD51">
        <f>HYPERLINK("https://klasma.github.io/Logging_0821/tillsynsmail/A 19463-2026 tillsynsbegäran mail.docx", "A 19463-2026")</f>
        <v/>
      </c>
    </row>
    <row r="52" ht="15" customHeight="1">
      <c r="A52" t="inlineStr">
        <is>
          <t>A 52177-2022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46284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Nordfladdermus</t>
        </is>
      </c>
      <c r="W52">
        <f>HYPERLINK("https://klasma.github.io/Logging_0821/artfynd/A 52177-2022 artfynd.xlsx", "A 52177-2022")</f>
        <v/>
      </c>
      <c r="X52">
        <f>HYPERLINK("https://klasma.github.io/Logging_0821/kartor/A 52177-2022 karta.png", "A 52177-2022")</f>
        <v/>
      </c>
      <c r="Y52">
        <f>HYPERLINK("https://klasma.github.io/Logging_0821/kartor_geotiff/A 52177-2022 georefererad karta.tif", "A 52177-2022")</f>
        <v/>
      </c>
      <c r="AA52">
        <f>HYPERLINK("https://klasma.github.io/Logging_0821/klagomål/A 52177-2022 FSC-klagomål.docx", "A 52177-2022")</f>
        <v/>
      </c>
      <c r="AB52">
        <f>HYPERLINK("https://klasma.github.io/Logging_0821/klagomålsmail/A 52177-2022 FSC-klagomål mail.docx", "A 52177-2022")</f>
        <v/>
      </c>
      <c r="AC52">
        <f>HYPERLINK("https://klasma.github.io/Logging_0821/tillsyn/A 52177-2022 tillsynsbegäran.docx", "A 52177-2022")</f>
        <v/>
      </c>
      <c r="AD52">
        <f>HYPERLINK("https://klasma.github.io/Logging_0821/tillsynsmail/A 52177-2022 tillsynsbegäran mail.docx", "A 52177-2022")</f>
        <v/>
      </c>
    </row>
    <row r="53" ht="15" customHeight="1">
      <c r="A53" t="inlineStr">
        <is>
          <t>A 19536-2026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46134</v>
      </c>
      <c r="E53" s="1" t="n">
        <v>46284</v>
      </c>
      <c r="F53" t="inlineStr">
        <is>
          <t>KALMAR LÄN</t>
        </is>
      </c>
      <c r="G53" t="inlineStr">
        <is>
          <t>HÖGSBY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19536-2026 artfynd.xlsx", "A 19536-2026")</f>
        <v/>
      </c>
      <c r="X53">
        <f>HYPERLINK("https://klasma.github.io/Logging_0821/kartor/A 19536-2026 karta.png", "A 19536-2026")</f>
        <v/>
      </c>
      <c r="Y53">
        <f>HYPERLINK("https://klasma.github.io/Logging_0821/kartor_geotiff/A 19536-2026 georefererad karta.tif", "A 19536-2026")</f>
        <v/>
      </c>
      <c r="AA53">
        <f>HYPERLINK("https://klasma.github.io/Logging_0821/klagomål/A 19536-2026 FSC-klagomål.docx", "A 19536-2026")</f>
        <v/>
      </c>
      <c r="AB53">
        <f>HYPERLINK("https://klasma.github.io/Logging_0821/klagomålsmail/A 19536-2026 FSC-klagomål mail.docx", "A 19536-2026")</f>
        <v/>
      </c>
      <c r="AC53">
        <f>HYPERLINK("https://klasma.github.io/Logging_0821/tillsyn/A 19536-2026 tillsynsbegäran.docx", "A 19536-2026")</f>
        <v/>
      </c>
      <c r="AD53">
        <f>HYPERLINK("https://klasma.github.io/Logging_0821/tillsynsmail/A 19536-2026 tillsynsbegäran mail.docx", "A 19536-2026")</f>
        <v/>
      </c>
      <c r="AE53">
        <f>HYPERLINK("https://klasma.github.io/Logging_0821/fåglar/A 19536-2026 prioriterade fågelarter.docx", "A 19536-2026")</f>
        <v/>
      </c>
    </row>
    <row r="54" ht="15" customHeight="1">
      <c r="A54" t="inlineStr">
        <is>
          <t>A 33784-2026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46251</v>
      </c>
      <c r="E54" s="1" t="n">
        <v>46284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8.699999999999999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33784-2026 artfynd.xlsx", "A 33784-2026")</f>
        <v/>
      </c>
      <c r="X54">
        <f>HYPERLINK("https://klasma.github.io/Logging_0821/kartor/A 33784-2026 karta.png", "A 33784-2026")</f>
        <v/>
      </c>
      <c r="Y54">
        <f>HYPERLINK("https://klasma.github.io/Logging_0821/kartor_geotiff/A 33784-2026 georefererad karta.tif", "A 33784-2026")</f>
        <v/>
      </c>
      <c r="AA54">
        <f>HYPERLINK("https://klasma.github.io/Logging_0821/klagomål/A 33784-2026 FSC-klagomål.docx", "A 33784-2026")</f>
        <v/>
      </c>
      <c r="AB54">
        <f>HYPERLINK("https://klasma.github.io/Logging_0821/klagomålsmail/A 33784-2026 FSC-klagomål mail.docx", "A 33784-2026")</f>
        <v/>
      </c>
      <c r="AC54">
        <f>HYPERLINK("https://klasma.github.io/Logging_0821/tillsyn/A 33784-2026 tillsynsbegäran.docx", "A 33784-2026")</f>
        <v/>
      </c>
      <c r="AD54">
        <f>HYPERLINK("https://klasma.github.io/Logging_0821/tillsynsmail/A 33784-2026 tillsynsbegäran mail.docx", "A 33784-2026")</f>
        <v/>
      </c>
      <c r="AE54">
        <f>HYPERLINK("https://klasma.github.io/Logging_0821/fåglar/A 33784-2026 prioriterade fågelarter.docx", "A 33784-2026")</f>
        <v/>
      </c>
    </row>
    <row r="55" ht="15" customHeight="1">
      <c r="A55" t="inlineStr">
        <is>
          <t>A 30186-2026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46206</v>
      </c>
      <c r="E55" s="1" t="n">
        <v>46284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Gullklöver</t>
        </is>
      </c>
      <c r="W55">
        <f>HYPERLINK("https://klasma.github.io/Logging_0821/artfynd/A 30186-2026 artfynd.xlsx", "A 30186-2026")</f>
        <v/>
      </c>
      <c r="X55">
        <f>HYPERLINK("https://klasma.github.io/Logging_0821/kartor/A 30186-2026 karta.png", "A 30186-2026")</f>
        <v/>
      </c>
      <c r="Y55">
        <f>HYPERLINK("https://klasma.github.io/Logging_0821/kartor_geotiff/A 30186-2026 georefererad karta.tif", "A 30186-2026")</f>
        <v/>
      </c>
      <c r="AA55">
        <f>HYPERLINK("https://klasma.github.io/Logging_0821/klagomål/A 30186-2026 FSC-klagomål.docx", "A 30186-2026")</f>
        <v/>
      </c>
      <c r="AB55">
        <f>HYPERLINK("https://klasma.github.io/Logging_0821/klagomålsmail/A 30186-2026 FSC-klagomål mail.docx", "A 30186-2026")</f>
        <v/>
      </c>
      <c r="AC55">
        <f>HYPERLINK("https://klasma.github.io/Logging_0821/tillsyn/A 30186-2026 tillsynsbegäran.docx", "A 30186-2026")</f>
        <v/>
      </c>
      <c r="AD55">
        <f>HYPERLINK("https://klasma.github.io/Logging_0821/tillsynsmail/A 30186-2026 tillsynsbegäran mail.docx", "A 30186-2026")</f>
        <v/>
      </c>
    </row>
    <row r="56" ht="15" customHeight="1">
      <c r="A56" t="inlineStr">
        <is>
          <t>A 30800-2026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46212</v>
      </c>
      <c r="E56" s="1" t="n">
        <v>46284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Grönpyrola</t>
        </is>
      </c>
      <c r="W56">
        <f>HYPERLINK("https://klasma.github.io/Logging_0821/artfynd/A 30800-2026 artfynd.xlsx", "A 30800-2026")</f>
        <v/>
      </c>
      <c r="X56">
        <f>HYPERLINK("https://klasma.github.io/Logging_0821/kartor/A 30800-2026 karta.png", "A 30800-2026")</f>
        <v/>
      </c>
      <c r="Y56">
        <f>HYPERLINK("https://klasma.github.io/Logging_0821/kartor_geotiff/A 30800-2026 georefererad karta.tif", "A 30800-2026")</f>
        <v/>
      </c>
      <c r="AA56">
        <f>HYPERLINK("https://klasma.github.io/Logging_0821/klagomål/A 30800-2026 FSC-klagomål.docx", "A 30800-2026")</f>
        <v/>
      </c>
      <c r="AB56">
        <f>HYPERLINK("https://klasma.github.io/Logging_0821/klagomålsmail/A 30800-2026 FSC-klagomål mail.docx", "A 30800-2026")</f>
        <v/>
      </c>
      <c r="AC56">
        <f>HYPERLINK("https://klasma.github.io/Logging_0821/tillsyn/A 30800-2026 tillsynsbegäran.docx", "A 30800-2026")</f>
        <v/>
      </c>
      <c r="AD56">
        <f>HYPERLINK("https://klasma.github.io/Logging_0821/tillsynsmail/A 30800-2026 tillsynsbegäran mail.docx", "A 30800-2026")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46284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46284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46284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46284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46284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46284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46284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46284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46284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46284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46284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46284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46284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46284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46284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46284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44568</v>
      </c>
      <c r="E73" s="1" t="n">
        <v>46284</v>
      </c>
      <c r="F73" t="inlineStr">
        <is>
          <t>KALMAR LÄN</t>
        </is>
      </c>
      <c r="G73" t="inlineStr">
        <is>
          <t>HÖGSBY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46284</v>
      </c>
      <c r="F74" t="inlineStr">
        <is>
          <t>KALMAR LÄN</t>
        </is>
      </c>
      <c r="G74" t="inlineStr">
        <is>
          <t>HÖGSBY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46284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46284</v>
      </c>
      <c r="F76" t="inlineStr">
        <is>
          <t>KALMAR LÄN</t>
        </is>
      </c>
      <c r="G76" t="inlineStr">
        <is>
          <t>HÖGSBY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46284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44579</v>
      </c>
      <c r="E78" s="1" t="n">
        <v>46284</v>
      </c>
      <c r="F78" t="inlineStr">
        <is>
          <t>KALMAR LÄN</t>
        </is>
      </c>
      <c r="G78" t="inlineStr">
        <is>
          <t>HÖGSBY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18398-2022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44686</v>
      </c>
      <c r="E79" s="1" t="n">
        <v>46284</v>
      </c>
      <c r="F79" t="inlineStr">
        <is>
          <t>KALMAR LÄN</t>
        </is>
      </c>
      <c r="G79" t="inlineStr">
        <is>
          <t>HÖGSBY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46284</v>
      </c>
      <c r="F80" t="inlineStr">
        <is>
          <t>KALMAR LÄN</t>
        </is>
      </c>
      <c r="G80" t="inlineStr">
        <is>
          <t>HÖGSBY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57372-2021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46284</v>
      </c>
      <c r="F81" t="inlineStr">
        <is>
          <t>KALMAR LÄN</t>
        </is>
      </c>
      <c r="G81" t="inlineStr">
        <is>
          <t>HÖGSBY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46284</v>
      </c>
      <c r="F82" t="inlineStr">
        <is>
          <t>KALMAR LÄN</t>
        </is>
      </c>
      <c r="G82" t="inlineStr">
        <is>
          <t>HÖGSBY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40105-2022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46284</v>
      </c>
      <c r="F83" t="inlineStr">
        <is>
          <t>KALMAR LÄN</t>
        </is>
      </c>
      <c r="G83" t="inlineStr">
        <is>
          <t>HÖGSBY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73435-2021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46284</v>
      </c>
      <c r="F84" t="inlineStr">
        <is>
          <t>KALMAR LÄN</t>
        </is>
      </c>
      <c r="G84" t="inlineStr">
        <is>
          <t>HÖGSBY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71165-2021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46284</v>
      </c>
      <c r="F85" t="inlineStr">
        <is>
          <t>KALMAR LÄN</t>
        </is>
      </c>
      <c r="G85" t="inlineStr">
        <is>
          <t>HÖGSBY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51088-2021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46284</v>
      </c>
      <c r="F86" t="inlineStr">
        <is>
          <t>KALMAR LÄN</t>
        </is>
      </c>
      <c r="G86" t="inlineStr">
        <is>
          <t>HÖGSBY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46284</v>
      </c>
      <c r="F87" t="inlineStr">
        <is>
          <t>KALMAR LÄN</t>
        </is>
      </c>
      <c r="G87" t="inlineStr">
        <is>
          <t>HÖGSBY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53808-2022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44880</v>
      </c>
      <c r="E88" s="1" t="n">
        <v>46284</v>
      </c>
      <c r="F88" t="inlineStr">
        <is>
          <t>KALMAR LÄN</t>
        </is>
      </c>
      <c r="G88" t="inlineStr">
        <is>
          <t>HÖGSBY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20128-2022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46284</v>
      </c>
      <c r="F89" t="inlineStr">
        <is>
          <t>KALMAR LÄN</t>
        </is>
      </c>
      <c r="G89" t="inlineStr">
        <is>
          <t>HÖGSBY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7703-2022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46284</v>
      </c>
      <c r="F90" t="inlineStr">
        <is>
          <t>KALMAR LÄN</t>
        </is>
      </c>
      <c r="G90" t="inlineStr">
        <is>
          <t>HÖGSBY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72059-2021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44542</v>
      </c>
      <c r="E91" s="1" t="n">
        <v>46284</v>
      </c>
      <c r="F91" t="inlineStr">
        <is>
          <t>KALMAR LÄN</t>
        </is>
      </c>
      <c r="G91" t="inlineStr">
        <is>
          <t>HÖGSBY</t>
        </is>
      </c>
      <c r="I91" t="n">
        <v>16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72066-2021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44542</v>
      </c>
      <c r="E92" s="1" t="n">
        <v>46284</v>
      </c>
      <c r="F92" t="inlineStr">
        <is>
          <t>KALMAR LÄN</t>
        </is>
      </c>
      <c r="G92" t="inlineStr">
        <is>
          <t>HÖGSBY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62274-2021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46284</v>
      </c>
      <c r="F93" t="inlineStr">
        <is>
          <t>KALMAR LÄN</t>
        </is>
      </c>
      <c r="G93" t="inlineStr">
        <is>
          <t>HÖGSBY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6540-2022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44601</v>
      </c>
      <c r="E94" s="1" t="n">
        <v>46284</v>
      </c>
      <c r="F94" t="inlineStr">
        <is>
          <t>KALMAR LÄN</t>
        </is>
      </c>
      <c r="G94" t="inlineStr">
        <is>
          <t>HÖGSBY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44876</v>
      </c>
      <c r="E95" s="1" t="n">
        <v>46284</v>
      </c>
      <c r="F95" t="inlineStr">
        <is>
          <t>KALMAR LÄN</t>
        </is>
      </c>
      <c r="G95" t="inlineStr">
        <is>
          <t>HÖGSBY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44634</v>
      </c>
      <c r="E96" s="1" t="n">
        <v>46284</v>
      </c>
      <c r="F96" t="inlineStr">
        <is>
          <t>KALMAR LÄN</t>
        </is>
      </c>
      <c r="G96" t="inlineStr">
        <is>
          <t>HÖGSBY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46284</v>
      </c>
      <c r="F97" t="inlineStr">
        <is>
          <t>KALMAR LÄN</t>
        </is>
      </c>
      <c r="G97" t="inlineStr">
        <is>
          <t>HÖGSBY</t>
        </is>
      </c>
      <c r="H97" t="inlineStr">
        <is>
          <t>Kyrkan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45040</v>
      </c>
      <c r="E98" s="1" t="n">
        <v>46284</v>
      </c>
      <c r="F98" t="inlineStr">
        <is>
          <t>KALMAR LÄN</t>
        </is>
      </c>
      <c r="G98" t="inlineStr">
        <is>
          <t>HÖGSBY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56706-2023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46284</v>
      </c>
      <c r="F99" t="inlineStr">
        <is>
          <t>KALMAR LÄN</t>
        </is>
      </c>
      <c r="G99" t="inlineStr">
        <is>
          <t>HÖGSBY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45012</v>
      </c>
      <c r="E100" s="1" t="n">
        <v>46284</v>
      </c>
      <c r="F100" t="inlineStr">
        <is>
          <t>KALMAR LÄN</t>
        </is>
      </c>
      <c r="G100" t="inlineStr">
        <is>
          <t>HÖGSBY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46284</v>
      </c>
      <c r="F101" t="inlineStr">
        <is>
          <t>KALMAR LÄN</t>
        </is>
      </c>
      <c r="G101" t="inlineStr">
        <is>
          <t>HÖGSBY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45111</v>
      </c>
      <c r="E102" s="1" t="n">
        <v>46284</v>
      </c>
      <c r="F102" t="inlineStr">
        <is>
          <t>KALMAR LÄN</t>
        </is>
      </c>
      <c r="G102" t="inlineStr">
        <is>
          <t>HÖGSBY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74478-2021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44559</v>
      </c>
      <c r="E103" s="1" t="n">
        <v>46284</v>
      </c>
      <c r="F103" t="inlineStr">
        <is>
          <t>KALMAR LÄN</t>
        </is>
      </c>
      <c r="G103" t="inlineStr">
        <is>
          <t>HÖGSBY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38797-2024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45547</v>
      </c>
      <c r="E104" s="1" t="n">
        <v>46284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54483-2022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46284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45266</v>
      </c>
      <c r="E106" s="1" t="n">
        <v>46284</v>
      </c>
      <c r="F106" t="inlineStr">
        <is>
          <t>KALMAR LÄN</t>
        </is>
      </c>
      <c r="G106" t="inlineStr">
        <is>
          <t>HÖGSBY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46284</v>
      </c>
      <c r="F107" t="inlineStr">
        <is>
          <t>KALMAR LÄN</t>
        </is>
      </c>
      <c r="G107" t="inlineStr">
        <is>
          <t>HÖGSBY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45306</v>
      </c>
      <c r="E108" s="1" t="n">
        <v>46284</v>
      </c>
      <c r="F108" t="inlineStr">
        <is>
          <t>KALMAR LÄN</t>
        </is>
      </c>
      <c r="G108" t="inlineStr">
        <is>
          <t>HÖGSBY</t>
        </is>
      </c>
      <c r="H108" t="inlineStr">
        <is>
          <t>Övriga Aktiebolag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59281-2022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44904</v>
      </c>
      <c r="E109" s="1" t="n">
        <v>46284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45386</v>
      </c>
      <c r="E110" s="1" t="n">
        <v>46284</v>
      </c>
      <c r="F110" t="inlineStr">
        <is>
          <t>KALMAR LÄN</t>
        </is>
      </c>
      <c r="G110" t="inlineStr">
        <is>
          <t>HÖGSBY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46284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37811-2024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45544</v>
      </c>
      <c r="E112" s="1" t="n">
        <v>46284</v>
      </c>
      <c r="F112" t="inlineStr">
        <is>
          <t>KALMAR LÄN</t>
        </is>
      </c>
      <c r="G112" t="inlineStr">
        <is>
          <t>HÖGSBY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46284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46284</v>
      </c>
      <c r="F114" t="inlineStr">
        <is>
          <t>KALMAR LÄN</t>
        </is>
      </c>
      <c r="G114" t="inlineStr">
        <is>
          <t>HÖGSBY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45729</v>
      </c>
      <c r="E115" s="1" t="n">
        <v>46284</v>
      </c>
      <c r="F115" t="inlineStr">
        <is>
          <t>KALMAR LÄN</t>
        </is>
      </c>
      <c r="G115" t="inlineStr">
        <is>
          <t>HÖGSBY</t>
        </is>
      </c>
      <c r="I115" t="n">
        <v>11.5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46284</v>
      </c>
      <c r="F116" t="inlineStr">
        <is>
          <t>KALMAR LÄN</t>
        </is>
      </c>
      <c r="G116" t="inlineStr">
        <is>
          <t>HÖGSBY</t>
        </is>
      </c>
      <c r="H116" t="inlineStr">
        <is>
          <t>Övriga Aktiebolag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57000-2024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45626</v>
      </c>
      <c r="E117" s="1" t="n">
        <v>46284</v>
      </c>
      <c r="F117" t="inlineStr">
        <is>
          <t>KALMAR LÄN</t>
        </is>
      </c>
      <c r="G117" t="inlineStr">
        <is>
          <t>HÖGSBY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46284</v>
      </c>
      <c r="F118" t="inlineStr">
        <is>
          <t>KALMAR LÄN</t>
        </is>
      </c>
      <c r="G118" t="inlineStr">
        <is>
          <t>HÖGSBY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44991</v>
      </c>
      <c r="E119" s="1" t="n">
        <v>46284</v>
      </c>
      <c r="F119" t="inlineStr">
        <is>
          <t>KALMAR LÄN</t>
        </is>
      </c>
      <c r="G119" t="inlineStr">
        <is>
          <t>HÖGSBY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46284</v>
      </c>
      <c r="F120" t="inlineStr">
        <is>
          <t>KALMAR LÄN</t>
        </is>
      </c>
      <c r="G120" t="inlineStr">
        <is>
          <t>HÖGSBY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49338-2022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44861</v>
      </c>
      <c r="E121" s="1" t="n">
        <v>46284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46284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46284</v>
      </c>
      <c r="F123" t="inlineStr">
        <is>
          <t>KALMAR LÄN</t>
        </is>
      </c>
      <c r="G123" t="inlineStr">
        <is>
          <t>HÖGSBY</t>
        </is>
      </c>
      <c r="H123" t="inlineStr">
        <is>
          <t>Kommuner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38596-2024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46284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46284</v>
      </c>
      <c r="F125" t="inlineStr">
        <is>
          <t>KALMAR LÄN</t>
        </is>
      </c>
      <c r="G125" t="inlineStr">
        <is>
          <t>HÖGSBY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46284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46284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46284</v>
      </c>
      <c r="F128" t="inlineStr">
        <is>
          <t>KALMAR LÄN</t>
        </is>
      </c>
      <c r="G128" t="inlineStr">
        <is>
          <t>HÖGSBY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44677</v>
      </c>
      <c r="E129" s="1" t="n">
        <v>46284</v>
      </c>
      <c r="F129" t="inlineStr">
        <is>
          <t>KALMAR LÄN</t>
        </is>
      </c>
      <c r="G129" t="inlineStr">
        <is>
          <t>HÖGSBY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45239</v>
      </c>
      <c r="E130" s="1" t="n">
        <v>46284</v>
      </c>
      <c r="F130" t="inlineStr">
        <is>
          <t>KALMAR LÄN</t>
        </is>
      </c>
      <c r="G130" t="inlineStr">
        <is>
          <t>HÖGSBY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45749</v>
      </c>
      <c r="E131" s="1" t="n">
        <v>46284</v>
      </c>
      <c r="F131" t="inlineStr">
        <is>
          <t>KALMAR LÄN</t>
        </is>
      </c>
      <c r="G131" t="inlineStr">
        <is>
          <t>HÖGSBY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45189</v>
      </c>
      <c r="E132" s="1" t="n">
        <v>46284</v>
      </c>
      <c r="F132" t="inlineStr">
        <is>
          <t>KALMAR LÄN</t>
        </is>
      </c>
      <c r="G132" t="inlineStr">
        <is>
          <t>HÖGSBY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46284</v>
      </c>
      <c r="F133" t="inlineStr">
        <is>
          <t>KALMAR LÄN</t>
        </is>
      </c>
      <c r="G133" t="inlineStr">
        <is>
          <t>HÖGSBY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45090</v>
      </c>
      <c r="E134" s="1" t="n">
        <v>46284</v>
      </c>
      <c r="F134" t="inlineStr">
        <is>
          <t>KALMAR LÄN</t>
        </is>
      </c>
      <c r="G134" t="inlineStr">
        <is>
          <t>HÖGSBY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35723-2024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45532</v>
      </c>
      <c r="E135" s="1" t="n">
        <v>46284</v>
      </c>
      <c r="F135" t="inlineStr">
        <is>
          <t>KALMAR LÄN</t>
        </is>
      </c>
      <c r="G135" t="inlineStr">
        <is>
          <t>HÖGSBY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44984</v>
      </c>
      <c r="E136" s="1" t="n">
        <v>46284</v>
      </c>
      <c r="F136" t="inlineStr">
        <is>
          <t>KALMAR LÄN</t>
        </is>
      </c>
      <c r="G136" t="inlineStr">
        <is>
          <t>HÖGSBY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46284</v>
      </c>
      <c r="F137" t="inlineStr">
        <is>
          <t>KALMAR LÄN</t>
        </is>
      </c>
      <c r="G137" t="inlineStr">
        <is>
          <t>HÖGSBY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36909-2023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45154</v>
      </c>
      <c r="E138" s="1" t="n">
        <v>46284</v>
      </c>
      <c r="F138" t="inlineStr">
        <is>
          <t>KALMAR LÄN</t>
        </is>
      </c>
      <c r="G138" t="inlineStr">
        <is>
          <t>HÖGSBY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45001</v>
      </c>
      <c r="E139" s="1" t="n">
        <v>46284</v>
      </c>
      <c r="F139" t="inlineStr">
        <is>
          <t>KALMAR LÄN</t>
        </is>
      </c>
      <c r="G139" t="inlineStr">
        <is>
          <t>HÖGSBY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64130-2023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46284</v>
      </c>
      <c r="F140" t="inlineStr">
        <is>
          <t>KALMAR LÄN</t>
        </is>
      </c>
      <c r="G140" t="inlineStr">
        <is>
          <t>HÖGSBY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32049-2023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45119</v>
      </c>
      <c r="E141" s="1" t="n">
        <v>46284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46284</v>
      </c>
      <c r="F142" t="inlineStr">
        <is>
          <t>KALMAR LÄN</t>
        </is>
      </c>
      <c r="G142" t="inlineStr">
        <is>
          <t>HÖGSBY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38824-2024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45547</v>
      </c>
      <c r="E143" s="1" t="n">
        <v>46284</v>
      </c>
      <c r="F143" t="inlineStr">
        <is>
          <t>KALMAR LÄN</t>
        </is>
      </c>
      <c r="G143" t="inlineStr">
        <is>
          <t>HÖGSBY</t>
        </is>
      </c>
      <c r="H143" t="inlineStr">
        <is>
          <t>Sveaskog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45348</v>
      </c>
      <c r="E144" s="1" t="n">
        <v>46284</v>
      </c>
      <c r="F144" t="inlineStr">
        <is>
          <t>KALMAR LÄN</t>
        </is>
      </c>
      <c r="G144" t="inlineStr">
        <is>
          <t>HÖGSBY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28648-2023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45103</v>
      </c>
      <c r="E145" s="1" t="n">
        <v>46284</v>
      </c>
      <c r="F145" t="inlineStr">
        <is>
          <t>KALMAR LÄN</t>
        </is>
      </c>
      <c r="G145" t="inlineStr">
        <is>
          <t>HÖGSBY</t>
        </is>
      </c>
      <c r="H145" t="inlineStr">
        <is>
          <t>Sveaskog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45707</v>
      </c>
      <c r="E146" s="1" t="n">
        <v>46284</v>
      </c>
      <c r="F146" t="inlineStr">
        <is>
          <t>KALMAR LÄN</t>
        </is>
      </c>
      <c r="G146" t="inlineStr">
        <is>
          <t>HÖGSBY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45758</v>
      </c>
      <c r="E147" s="1" t="n">
        <v>46284</v>
      </c>
      <c r="F147" t="inlineStr">
        <is>
          <t>KALMAR LÄN</t>
        </is>
      </c>
      <c r="G147" t="inlineStr">
        <is>
          <t>HÖGSBY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45727</v>
      </c>
      <c r="E148" s="1" t="n">
        <v>46284</v>
      </c>
      <c r="F148" t="inlineStr">
        <is>
          <t>KALMAR LÄN</t>
        </is>
      </c>
      <c r="G148" t="inlineStr">
        <is>
          <t>HÖGSBY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45793</v>
      </c>
      <c r="E149" s="1" t="n">
        <v>46284</v>
      </c>
      <c r="F149" t="inlineStr">
        <is>
          <t>KALMAR LÄN</t>
        </is>
      </c>
      <c r="G149" t="inlineStr">
        <is>
          <t>HÖGSBY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45727</v>
      </c>
      <c r="E150" s="1" t="n">
        <v>46284</v>
      </c>
      <c r="F150" t="inlineStr">
        <is>
          <t>KALMAR LÄN</t>
        </is>
      </c>
      <c r="G150" t="inlineStr">
        <is>
          <t>HÖGSBY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73709-2021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44552</v>
      </c>
      <c r="E151" s="1" t="n">
        <v>46284</v>
      </c>
      <c r="F151" t="inlineStr">
        <is>
          <t>KALMAR LÄN</t>
        </is>
      </c>
      <c r="G151" t="inlineStr">
        <is>
          <t>HÖGSBY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46284</v>
      </c>
      <c r="F152" t="inlineStr">
        <is>
          <t>KALMAR LÄN</t>
        </is>
      </c>
      <c r="G152" t="inlineStr">
        <is>
          <t>HÖGSBY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45707</v>
      </c>
      <c r="E153" s="1" t="n">
        <v>46284</v>
      </c>
      <c r="F153" t="inlineStr">
        <is>
          <t>KALMAR LÄN</t>
        </is>
      </c>
      <c r="G153" t="inlineStr">
        <is>
          <t>HÖGSBY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46284</v>
      </c>
      <c r="F154" t="inlineStr">
        <is>
          <t>KALMAR LÄN</t>
        </is>
      </c>
      <c r="G154" t="inlineStr">
        <is>
          <t>HÖGSBY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46284</v>
      </c>
      <c r="F155" t="inlineStr">
        <is>
          <t>KALMAR LÄN</t>
        </is>
      </c>
      <c r="G155" t="inlineStr">
        <is>
          <t>HÖGSBY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46284</v>
      </c>
      <c r="F156" t="inlineStr">
        <is>
          <t>KALMAR LÄN</t>
        </is>
      </c>
      <c r="G156" t="inlineStr">
        <is>
          <t>HÖGSBY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46284</v>
      </c>
      <c r="F157" t="inlineStr">
        <is>
          <t>KALMAR LÄN</t>
        </is>
      </c>
      <c r="G157" t="inlineStr">
        <is>
          <t>HÖGSBY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45320</v>
      </c>
      <c r="E158" s="1" t="n">
        <v>46284</v>
      </c>
      <c r="F158" t="inlineStr">
        <is>
          <t>KALMAR LÄN</t>
        </is>
      </c>
      <c r="G158" t="inlineStr">
        <is>
          <t>HÖGSBY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44809</v>
      </c>
      <c r="E159" s="1" t="n">
        <v>46284</v>
      </c>
      <c r="F159" t="inlineStr">
        <is>
          <t>KALMAR LÄN</t>
        </is>
      </c>
      <c r="G159" t="inlineStr">
        <is>
          <t>HÖGSBY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46284</v>
      </c>
      <c r="F160" t="inlineStr">
        <is>
          <t>KALMAR LÄN</t>
        </is>
      </c>
      <c r="G160" t="inlineStr">
        <is>
          <t>HÖGSBY</t>
        </is>
      </c>
      <c r="H160" t="inlineStr">
        <is>
          <t>Kommuner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46284</v>
      </c>
      <c r="F161" t="inlineStr">
        <is>
          <t>KALMAR LÄN</t>
        </is>
      </c>
      <c r="G161" t="inlineStr">
        <is>
          <t>HÖGSBY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41619-2025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45901</v>
      </c>
      <c r="E162" s="1" t="n">
        <v>46284</v>
      </c>
      <c r="F162" t="inlineStr">
        <is>
          <t>KALMAR LÄN</t>
        </is>
      </c>
      <c r="G162" t="inlineStr">
        <is>
          <t>HÖGSBY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46284</v>
      </c>
      <c r="F163" t="inlineStr">
        <is>
          <t>KALMAR LÄN</t>
        </is>
      </c>
      <c r="G163" t="inlineStr">
        <is>
          <t>HÖGSBY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46284</v>
      </c>
      <c r="F164" t="inlineStr">
        <is>
          <t>KALMAR LÄN</t>
        </is>
      </c>
      <c r="G164" t="inlineStr">
        <is>
          <t>HÖGSBY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46284</v>
      </c>
      <c r="F165" t="inlineStr">
        <is>
          <t>KALMAR LÄN</t>
        </is>
      </c>
      <c r="G165" t="inlineStr">
        <is>
          <t>HÖGSBY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46284</v>
      </c>
      <c r="F166" t="inlineStr">
        <is>
          <t>KALMAR LÄN</t>
        </is>
      </c>
      <c r="G166" t="inlineStr">
        <is>
          <t>HÖGSBY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45244</v>
      </c>
      <c r="E167" s="1" t="n">
        <v>46284</v>
      </c>
      <c r="F167" t="inlineStr">
        <is>
          <t>KALMAR LÄN</t>
        </is>
      </c>
      <c r="G167" t="inlineStr">
        <is>
          <t>HÖGSBY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46284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45546</v>
      </c>
      <c r="E169" s="1" t="n">
        <v>46284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63508-2025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46013</v>
      </c>
      <c r="E170" s="1" t="n">
        <v>46284</v>
      </c>
      <c r="F170" t="inlineStr">
        <is>
          <t>KALMAR LÄN</t>
        </is>
      </c>
      <c r="G170" t="inlineStr">
        <is>
          <t>HÖGSBY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25223-2022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44729</v>
      </c>
      <c r="E171" s="1" t="n">
        <v>46284</v>
      </c>
      <c r="F171" t="inlineStr">
        <is>
          <t>KALMAR LÄN</t>
        </is>
      </c>
      <c r="G171" t="inlineStr">
        <is>
          <t>HÖGSBY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45688</v>
      </c>
      <c r="E172" s="1" t="n">
        <v>46284</v>
      </c>
      <c r="F172" t="inlineStr">
        <is>
          <t>KALMAR LÄN</t>
        </is>
      </c>
      <c r="G172" t="inlineStr">
        <is>
          <t>HÖGSBY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44586</v>
      </c>
      <c r="E173" s="1" t="n">
        <v>46284</v>
      </c>
      <c r="F173" t="inlineStr">
        <is>
          <t>KALMAR LÄN</t>
        </is>
      </c>
      <c r="G173" t="inlineStr">
        <is>
          <t>HÖGSBY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46284</v>
      </c>
      <c r="F174" t="inlineStr">
        <is>
          <t>KALMAR LÄN</t>
        </is>
      </c>
      <c r="G174" t="inlineStr">
        <is>
          <t>HÖGSBY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46284</v>
      </c>
      <c r="F175" t="inlineStr">
        <is>
          <t>KALMAR LÄN</t>
        </is>
      </c>
      <c r="G175" t="inlineStr">
        <is>
          <t>HÖGSBY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46284</v>
      </c>
      <c r="F176" t="inlineStr">
        <is>
          <t>KALMAR LÄN</t>
        </is>
      </c>
      <c r="G176" t="inlineStr">
        <is>
          <t>HÖGSBY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45173</v>
      </c>
      <c r="E177" s="1" t="n">
        <v>46284</v>
      </c>
      <c r="F177" t="inlineStr">
        <is>
          <t>KALMAR LÄN</t>
        </is>
      </c>
      <c r="G177" t="inlineStr">
        <is>
          <t>HÖGSBY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71635-2021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44543</v>
      </c>
      <c r="E178" s="1" t="n">
        <v>46284</v>
      </c>
      <c r="F178" t="inlineStr">
        <is>
          <t>KALMAR LÄN</t>
        </is>
      </c>
      <c r="G178" t="inlineStr">
        <is>
          <t>HÖGSBY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45228</v>
      </c>
      <c r="E179" s="1" t="n">
        <v>46284</v>
      </c>
      <c r="F179" t="inlineStr">
        <is>
          <t>KALMAR LÄN</t>
        </is>
      </c>
      <c r="G179" t="inlineStr">
        <is>
          <t>HÖGSBY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46284</v>
      </c>
      <c r="F180" t="inlineStr">
        <is>
          <t>KALMAR LÄN</t>
        </is>
      </c>
      <c r="G180" t="inlineStr">
        <is>
          <t>HÖGSBY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45622</v>
      </c>
      <c r="E181" s="1" t="n">
        <v>46284</v>
      </c>
      <c r="F181" t="inlineStr">
        <is>
          <t>KALMAR LÄN</t>
        </is>
      </c>
      <c r="G181" t="inlineStr">
        <is>
          <t>HÖGSBY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45720</v>
      </c>
      <c r="E182" s="1" t="n">
        <v>46284</v>
      </c>
      <c r="F182" t="inlineStr">
        <is>
          <t>KALMAR LÄN</t>
        </is>
      </c>
      <c r="G182" t="inlineStr">
        <is>
          <t>HÖGSBY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11343-2023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44993</v>
      </c>
      <c r="E183" s="1" t="n">
        <v>46284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7325-2025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45702</v>
      </c>
      <c r="E184" s="1" t="n">
        <v>46284</v>
      </c>
      <c r="F184" t="inlineStr">
        <is>
          <t>KALMAR LÄN</t>
        </is>
      </c>
      <c r="G184" t="inlineStr">
        <is>
          <t>HÖGSBY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44725</v>
      </c>
      <c r="E185" s="1" t="n">
        <v>46284</v>
      </c>
      <c r="F185" t="inlineStr">
        <is>
          <t>KALMAR LÄN</t>
        </is>
      </c>
      <c r="G185" t="inlineStr">
        <is>
          <t>HÖGSBY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45946</v>
      </c>
      <c r="E186" s="1" t="n">
        <v>46284</v>
      </c>
      <c r="F186" t="inlineStr">
        <is>
          <t>KALMAR LÄN</t>
        </is>
      </c>
      <c r="G186" t="inlineStr">
        <is>
          <t>HÖGSBY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46284</v>
      </c>
      <c r="F187" t="inlineStr">
        <is>
          <t>KALMAR LÄN</t>
        </is>
      </c>
      <c r="G187" t="inlineStr">
        <is>
          <t>HÖGSBY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46284</v>
      </c>
      <c r="F188" t="inlineStr">
        <is>
          <t>KALMAR LÄN</t>
        </is>
      </c>
      <c r="G188" t="inlineStr">
        <is>
          <t>HÖGSBY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51720-2025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45950</v>
      </c>
      <c r="E189" s="1" t="n">
        <v>46284</v>
      </c>
      <c r="F189" t="inlineStr">
        <is>
          <t>KALMAR LÄN</t>
        </is>
      </c>
      <c r="G189" t="inlineStr">
        <is>
          <t>HÖGSBY</t>
        </is>
      </c>
      <c r="I189" t="n">
        <v>12.8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46284</v>
      </c>
      <c r="F190" t="inlineStr">
        <is>
          <t>KALMAR LÄN</t>
        </is>
      </c>
      <c r="G190" t="inlineStr">
        <is>
          <t>HÖGSBY</t>
        </is>
      </c>
      <c r="H190" t="inlineStr">
        <is>
          <t>Kommuner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44625</v>
      </c>
      <c r="E191" s="1" t="n">
        <v>46284</v>
      </c>
      <c r="F191" t="inlineStr">
        <is>
          <t>KALMAR LÄN</t>
        </is>
      </c>
      <c r="G191" t="inlineStr">
        <is>
          <t>HÖGSBY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10706-2022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44625</v>
      </c>
      <c r="E192" s="1" t="n">
        <v>46284</v>
      </c>
      <c r="F192" t="inlineStr">
        <is>
          <t>KALMAR LÄN</t>
        </is>
      </c>
      <c r="G192" t="inlineStr">
        <is>
          <t>HÖGSBY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45953</v>
      </c>
      <c r="E193" s="1" t="n">
        <v>46284</v>
      </c>
      <c r="F193" t="inlineStr">
        <is>
          <t>KALMAR LÄN</t>
        </is>
      </c>
      <c r="G193" t="inlineStr">
        <is>
          <t>HÖGSBY</t>
        </is>
      </c>
      <c r="H193" t="inlineStr">
        <is>
          <t>Kyrkan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45204</v>
      </c>
      <c r="E194" s="1" t="n">
        <v>46284</v>
      </c>
      <c r="F194" t="inlineStr">
        <is>
          <t>KALMAR LÄN</t>
        </is>
      </c>
      <c r="G194" t="inlineStr">
        <is>
          <t>HÖGSBY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46284</v>
      </c>
      <c r="F195" t="inlineStr">
        <is>
          <t>KALMAR LÄN</t>
        </is>
      </c>
      <c r="G195" t="inlineStr">
        <is>
          <t>HÖGSBY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46284</v>
      </c>
      <c r="F196" t="inlineStr">
        <is>
          <t>KALMAR LÄN</t>
        </is>
      </c>
      <c r="G196" t="inlineStr">
        <is>
          <t>HÖGSBY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36573-2023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45153</v>
      </c>
      <c r="E197" s="1" t="n">
        <v>46284</v>
      </c>
      <c r="F197" t="inlineStr">
        <is>
          <t>KALMAR LÄN</t>
        </is>
      </c>
      <c r="G197" t="inlineStr">
        <is>
          <t>HÖGSBY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45217</v>
      </c>
      <c r="E198" s="1" t="n">
        <v>46284</v>
      </c>
      <c r="F198" t="inlineStr">
        <is>
          <t>KALMAR LÄN</t>
        </is>
      </c>
      <c r="G198" t="inlineStr">
        <is>
          <t>HÖGSBY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45393</v>
      </c>
      <c r="E199" s="1" t="n">
        <v>46284</v>
      </c>
      <c r="F199" t="inlineStr">
        <is>
          <t>KALMAR LÄN</t>
        </is>
      </c>
      <c r="G199" t="inlineStr">
        <is>
          <t>HÖGSBY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46284</v>
      </c>
      <c r="F200" t="inlineStr">
        <is>
          <t>KALMAR LÄN</t>
        </is>
      </c>
      <c r="G200" t="inlineStr">
        <is>
          <t>HÖGSBY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22562-2026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46155</v>
      </c>
      <c r="E201" s="1" t="n">
        <v>46284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22564-2026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46155</v>
      </c>
      <c r="E202" s="1" t="n">
        <v>46284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44981</v>
      </c>
      <c r="E203" s="1" t="n">
        <v>46284</v>
      </c>
      <c r="F203" t="inlineStr">
        <is>
          <t>KALMAR LÄN</t>
        </is>
      </c>
      <c r="G203" t="inlineStr">
        <is>
          <t>HÖGSBY</t>
        </is>
      </c>
      <c r="H203" t="inlineStr">
        <is>
          <t>Övriga Aktiebolag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46284</v>
      </c>
      <c r="F204" t="inlineStr">
        <is>
          <t>KALMAR LÄN</t>
        </is>
      </c>
      <c r="G204" t="inlineStr">
        <is>
          <t>HÖGSBY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46284</v>
      </c>
      <c r="F205" t="inlineStr">
        <is>
          <t>KALMAR LÄN</t>
        </is>
      </c>
      <c r="G205" t="inlineStr">
        <is>
          <t>HÖGSBY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47443-2025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46284</v>
      </c>
      <c r="F206" t="inlineStr">
        <is>
          <t>KALMAR LÄN</t>
        </is>
      </c>
      <c r="G206" t="inlineStr">
        <is>
          <t>HÖGSBY</t>
        </is>
      </c>
      <c r="H206" t="inlineStr">
        <is>
          <t>Kyrkan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45247</v>
      </c>
      <c r="E207" s="1" t="n">
        <v>46284</v>
      </c>
      <c r="F207" t="inlineStr">
        <is>
          <t>KALMAR LÄN</t>
        </is>
      </c>
      <c r="G207" t="inlineStr">
        <is>
          <t>HÖGSBY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49485-2022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44861</v>
      </c>
      <c r="E208" s="1" t="n">
        <v>46284</v>
      </c>
      <c r="F208" t="inlineStr">
        <is>
          <t>KALMAR LÄN</t>
        </is>
      </c>
      <c r="G208" t="inlineStr">
        <is>
          <t>HÖGSBY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46284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17250-2024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45414</v>
      </c>
      <c r="E210" s="1" t="n">
        <v>46284</v>
      </c>
      <c r="F210" t="inlineStr">
        <is>
          <t>KALMAR LÄN</t>
        </is>
      </c>
      <c r="G210" t="inlineStr">
        <is>
          <t>HÖGSBY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46284</v>
      </c>
      <c r="F211" t="inlineStr">
        <is>
          <t>KALMAR LÄN</t>
        </is>
      </c>
      <c r="G211" t="inlineStr">
        <is>
          <t>HÖGSBY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46284</v>
      </c>
      <c r="F212" t="inlineStr">
        <is>
          <t>KALMAR LÄN</t>
        </is>
      </c>
      <c r="G212" t="inlineStr">
        <is>
          <t>HÖGSBY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46284</v>
      </c>
      <c r="F213" t="inlineStr">
        <is>
          <t>KALMAR LÄN</t>
        </is>
      </c>
      <c r="G213" t="inlineStr">
        <is>
          <t>HÖGSBY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46284</v>
      </c>
      <c r="F214" t="inlineStr">
        <is>
          <t>KALMAR LÄN</t>
        </is>
      </c>
      <c r="G214" t="inlineStr">
        <is>
          <t>HÖGSBY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46284</v>
      </c>
      <c r="F215" t="inlineStr">
        <is>
          <t>KALMAR LÄN</t>
        </is>
      </c>
      <c r="G215" t="inlineStr">
        <is>
          <t>HÖGSBY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22544-2023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46284</v>
      </c>
      <c r="F216" t="inlineStr">
        <is>
          <t>KALMAR LÄN</t>
        </is>
      </c>
      <c r="G216" t="inlineStr">
        <is>
          <t>HÖGSBY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45614</v>
      </c>
      <c r="E217" s="1" t="n">
        <v>46284</v>
      </c>
      <c r="F217" t="inlineStr">
        <is>
          <t>KALMAR LÄN</t>
        </is>
      </c>
      <c r="G217" t="inlineStr">
        <is>
          <t>HÖGSBY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46157</v>
      </c>
      <c r="E218" s="1" t="n">
        <v>46284</v>
      </c>
      <c r="F218" t="inlineStr">
        <is>
          <t>KALMAR LÄN</t>
        </is>
      </c>
      <c r="G218" t="inlineStr">
        <is>
          <t>HÖGSBY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46284</v>
      </c>
      <c r="F219" t="inlineStr">
        <is>
          <t>KALMAR LÄN</t>
        </is>
      </c>
      <c r="G219" t="inlineStr">
        <is>
          <t>HÖGSBY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46157</v>
      </c>
      <c r="E220" s="1" t="n">
        <v>46284</v>
      </c>
      <c r="F220" t="inlineStr">
        <is>
          <t>KALMAR LÄN</t>
        </is>
      </c>
      <c r="G220" t="inlineStr">
        <is>
          <t>HÖGSBY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46284</v>
      </c>
      <c r="F221" t="inlineStr">
        <is>
          <t>KALMAR LÄN</t>
        </is>
      </c>
      <c r="G221" t="inlineStr">
        <is>
          <t>HÖGSBY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46161</v>
      </c>
      <c r="E222" s="1" t="n">
        <v>46284</v>
      </c>
      <c r="F222" t="inlineStr">
        <is>
          <t>KALMAR LÄN</t>
        </is>
      </c>
      <c r="G222" t="inlineStr">
        <is>
          <t>HÖGSBY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45105</v>
      </c>
      <c r="E223" s="1" t="n">
        <v>46284</v>
      </c>
      <c r="F223" t="inlineStr">
        <is>
          <t>KALMAR LÄN</t>
        </is>
      </c>
      <c r="G223" t="inlineStr">
        <is>
          <t>HÖGSBY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57006-2024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45626</v>
      </c>
      <c r="E224" s="1" t="n">
        <v>46284</v>
      </c>
      <c r="F224" t="inlineStr">
        <is>
          <t>KALMAR LÄN</t>
        </is>
      </c>
      <c r="G224" t="inlineStr">
        <is>
          <t>HÖGSBY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46284</v>
      </c>
      <c r="F225" t="inlineStr">
        <is>
          <t>KALMAR LÄN</t>
        </is>
      </c>
      <c r="G225" t="inlineStr">
        <is>
          <t>HÖGSBY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60853-2021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44496</v>
      </c>
      <c r="E226" s="1" t="n">
        <v>46284</v>
      </c>
      <c r="F226" t="inlineStr">
        <is>
          <t>KALMAR LÄN</t>
        </is>
      </c>
      <c r="G226" t="inlineStr">
        <is>
          <t>HÖGSBY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44876</v>
      </c>
      <c r="E227" s="1" t="n">
        <v>46284</v>
      </c>
      <c r="F227" t="inlineStr">
        <is>
          <t>KALMAR LÄN</t>
        </is>
      </c>
      <c r="G227" t="inlineStr">
        <is>
          <t>HÖGSBY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46284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63379-2023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45274</v>
      </c>
      <c r="E229" s="1" t="n">
        <v>46284</v>
      </c>
      <c r="F229" t="inlineStr">
        <is>
          <t>KALMAR LÄN</t>
        </is>
      </c>
      <c r="G229" t="inlineStr">
        <is>
          <t>HÖGSBY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46284</v>
      </c>
      <c r="F230" t="inlineStr">
        <is>
          <t>KALMAR LÄN</t>
        </is>
      </c>
      <c r="G230" t="inlineStr">
        <is>
          <t>HÖGSBY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54238-2021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44470</v>
      </c>
      <c r="E231" s="1" t="n">
        <v>46284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14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23937-2026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46167</v>
      </c>
      <c r="E232" s="1" t="n">
        <v>46284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46284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46284</v>
      </c>
      <c r="F234" t="inlineStr">
        <is>
          <t>KALMAR LÄN</t>
        </is>
      </c>
      <c r="G234" t="inlineStr">
        <is>
          <t>HÖGSBY</t>
        </is>
      </c>
      <c r="I234" t="n">
        <v>9.4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46284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46284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46284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18.4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46284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46284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46284</v>
      </c>
      <c r="F240" t="inlineStr">
        <is>
          <t>KALMAR LÄN</t>
        </is>
      </c>
      <c r="G240" t="inlineStr">
        <is>
          <t>HÖGSBY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62918-2025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46009</v>
      </c>
      <c r="E241" s="1" t="n">
        <v>46284</v>
      </c>
      <c r="F241" t="inlineStr">
        <is>
          <t>KALMAR LÄN</t>
        </is>
      </c>
      <c r="G241" t="inlineStr">
        <is>
          <t>HÖGSBY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62720-2025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46008</v>
      </c>
      <c r="E242" s="1" t="n">
        <v>46284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62722-2025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46008</v>
      </c>
      <c r="E243" s="1" t="n">
        <v>46284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45190</v>
      </c>
      <c r="E244" s="1" t="n">
        <v>46284</v>
      </c>
      <c r="F244" t="inlineStr">
        <is>
          <t>KALMAR LÄN</t>
        </is>
      </c>
      <c r="G244" t="inlineStr">
        <is>
          <t>HÖGSBY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46284</v>
      </c>
      <c r="F245" t="inlineStr">
        <is>
          <t>KALMAR LÄN</t>
        </is>
      </c>
      <c r="G245" t="inlineStr">
        <is>
          <t>HÖGSBY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46284</v>
      </c>
      <c r="F246" t="inlineStr">
        <is>
          <t>KALMAR LÄN</t>
        </is>
      </c>
      <c r="G246" t="inlineStr">
        <is>
          <t>HÖGSBY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45391</v>
      </c>
      <c r="E247" s="1" t="n">
        <v>46284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24601-2024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45460</v>
      </c>
      <c r="E248" s="1" t="n">
        <v>46284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14.7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46284</v>
      </c>
      <c r="F249" t="inlineStr">
        <is>
          <t>KALMAR LÄN</t>
        </is>
      </c>
      <c r="G249" t="inlineStr">
        <is>
          <t>HÖGSBY</t>
        </is>
      </c>
      <c r="H249" t="inlineStr">
        <is>
          <t>Kommuner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46284</v>
      </c>
      <c r="F250" t="inlineStr">
        <is>
          <t>KALMAR LÄN</t>
        </is>
      </c>
      <c r="G250" t="inlineStr">
        <is>
          <t>HÖGSBY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46284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45365</v>
      </c>
      <c r="E252" s="1" t="n">
        <v>46284</v>
      </c>
      <c r="F252" t="inlineStr">
        <is>
          <t>KALMAR LÄN</t>
        </is>
      </c>
      <c r="G252" t="inlineStr">
        <is>
          <t>HÖGSBY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8613-2022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44613</v>
      </c>
      <c r="E253" s="1" t="n">
        <v>46284</v>
      </c>
      <c r="F253" t="inlineStr">
        <is>
          <t>KALMAR LÄN</t>
        </is>
      </c>
      <c r="G253" t="inlineStr">
        <is>
          <t>HÖGSBY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46284</v>
      </c>
      <c r="F254" t="inlineStr">
        <is>
          <t>KALMAR LÄN</t>
        </is>
      </c>
      <c r="G254" t="inlineStr">
        <is>
          <t>HÖGSBY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26545-2024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45469</v>
      </c>
      <c r="E255" s="1" t="n">
        <v>46284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7680-2024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45348</v>
      </c>
      <c r="E256" s="1" t="n">
        <v>46284</v>
      </c>
      <c r="F256" t="inlineStr">
        <is>
          <t>KALMAR LÄN</t>
        </is>
      </c>
      <c r="G256" t="inlineStr">
        <is>
          <t>HÖGSBY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45650-2023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45194</v>
      </c>
      <c r="E257" s="1" t="n">
        <v>46284</v>
      </c>
      <c r="F257" t="inlineStr">
        <is>
          <t>KALMAR LÄN</t>
        </is>
      </c>
      <c r="G257" t="inlineStr">
        <is>
          <t>HÖGSBY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46284</v>
      </c>
      <c r="F258" t="inlineStr">
        <is>
          <t>KALMAR LÄN</t>
        </is>
      </c>
      <c r="G258" t="inlineStr">
        <is>
          <t>HÖGSBY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7599-2024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45348</v>
      </c>
      <c r="E259" s="1" t="n">
        <v>46284</v>
      </c>
      <c r="F259" t="inlineStr">
        <is>
          <t>KALMAR LÄN</t>
        </is>
      </c>
      <c r="G259" t="inlineStr">
        <is>
          <t>HÖGSBY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46284</v>
      </c>
      <c r="F260" t="inlineStr">
        <is>
          <t>KALMAR LÄN</t>
        </is>
      </c>
      <c r="G260" t="inlineStr">
        <is>
          <t>HÖGSBY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44972</v>
      </c>
      <c r="E261" s="1" t="n">
        <v>46284</v>
      </c>
      <c r="F261" t="inlineStr">
        <is>
          <t>KALMAR LÄN</t>
        </is>
      </c>
      <c r="G261" t="inlineStr">
        <is>
          <t>HÖGSBY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46284</v>
      </c>
      <c r="F262" t="inlineStr">
        <is>
          <t>KALMAR LÄN</t>
        </is>
      </c>
      <c r="G262" t="inlineStr">
        <is>
          <t>HÖGSBY</t>
        </is>
      </c>
      <c r="I262" t="n">
        <v>11.6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53327-2022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44879</v>
      </c>
      <c r="E263" s="1" t="n">
        <v>46284</v>
      </c>
      <c r="F263" t="inlineStr">
        <is>
          <t>KALMAR LÄN</t>
        </is>
      </c>
      <c r="G263" t="inlineStr">
        <is>
          <t>HÖGSBY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45360</v>
      </c>
      <c r="E264" s="1" t="n">
        <v>46284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44907</v>
      </c>
      <c r="E265" s="1" t="n">
        <v>46284</v>
      </c>
      <c r="F265" t="inlineStr">
        <is>
          <t>KALMAR LÄN</t>
        </is>
      </c>
      <c r="G265" t="inlineStr">
        <is>
          <t>HÖGSBY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45588</v>
      </c>
      <c r="E266" s="1" t="n">
        <v>46284</v>
      </c>
      <c r="F266" t="inlineStr">
        <is>
          <t>KALMAR LÄN</t>
        </is>
      </c>
      <c r="G266" t="inlineStr">
        <is>
          <t>HÖGSBY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45447</v>
      </c>
      <c r="E267" s="1" t="n">
        <v>46284</v>
      </c>
      <c r="F267" t="inlineStr">
        <is>
          <t>KALMAR LÄN</t>
        </is>
      </c>
      <c r="G267" t="inlineStr">
        <is>
          <t>HÖGSBY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45126</v>
      </c>
      <c r="E268" s="1" t="n">
        <v>46284</v>
      </c>
      <c r="F268" t="inlineStr">
        <is>
          <t>KALMAR LÄN</t>
        </is>
      </c>
      <c r="G268" t="inlineStr">
        <is>
          <t>HÖGSBY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46284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31429-2023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45114</v>
      </c>
      <c r="E270" s="1" t="n">
        <v>46284</v>
      </c>
      <c r="F270" t="inlineStr">
        <is>
          <t>KALMAR LÄN</t>
        </is>
      </c>
      <c r="G270" t="inlineStr">
        <is>
          <t>HÖGSBY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7443-2026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46059</v>
      </c>
      <c r="E271" s="1" t="n">
        <v>46284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46284</v>
      </c>
      <c r="F272" t="inlineStr">
        <is>
          <t>KALMAR LÄN</t>
        </is>
      </c>
      <c r="G272" t="inlineStr">
        <is>
          <t>HÖGSBY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56332-2024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45624</v>
      </c>
      <c r="E273" s="1" t="n">
        <v>46284</v>
      </c>
      <c r="F273" t="inlineStr">
        <is>
          <t>KALMAR LÄN</t>
        </is>
      </c>
      <c r="G273" t="inlineStr">
        <is>
          <t>HÖGSBY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6478-2022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44601</v>
      </c>
      <c r="E274" s="1" t="n">
        <v>46284</v>
      </c>
      <c r="F274" t="inlineStr">
        <is>
          <t>KALMAR LÄN</t>
        </is>
      </c>
      <c r="G274" t="inlineStr">
        <is>
          <t>HÖGSBY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26109-2026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46284</v>
      </c>
      <c r="F275" t="inlineStr">
        <is>
          <t>KALMAR LÄN</t>
        </is>
      </c>
      <c r="G275" t="inlineStr">
        <is>
          <t>HÖGSBY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45160</v>
      </c>
      <c r="E276" s="1" t="n">
        <v>46284</v>
      </c>
      <c r="F276" t="inlineStr">
        <is>
          <t>KALMAR LÄN</t>
        </is>
      </c>
      <c r="G276" t="inlineStr">
        <is>
          <t>HÖGSBY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26752-2026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46284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26757-2026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46284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26764-2026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46284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26760-2026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46284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47503-2023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45203</v>
      </c>
      <c r="E281" s="1" t="n">
        <v>46284</v>
      </c>
      <c r="F281" t="inlineStr">
        <is>
          <t>KALMAR LÄN</t>
        </is>
      </c>
      <c r="G281" t="inlineStr">
        <is>
          <t>HÖGSBY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46284</v>
      </c>
      <c r="F282" t="inlineStr">
        <is>
          <t>KALMAR LÄN</t>
        </is>
      </c>
      <c r="G282" t="inlineStr">
        <is>
          <t>HÖGSBY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46284</v>
      </c>
      <c r="F283" t="inlineStr">
        <is>
          <t>KALMAR LÄN</t>
        </is>
      </c>
      <c r="G283" t="inlineStr">
        <is>
          <t>HÖGSBY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46284</v>
      </c>
      <c r="F284" t="inlineStr">
        <is>
          <t>KALMAR LÄN</t>
        </is>
      </c>
      <c r="G284" t="inlineStr">
        <is>
          <t>HÖGSBY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46185</v>
      </c>
      <c r="E285" s="1" t="n">
        <v>46284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41479-2023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45175</v>
      </c>
      <c r="E286" s="1" t="n">
        <v>46284</v>
      </c>
      <c r="F286" t="inlineStr">
        <is>
          <t>KALMAR LÄN</t>
        </is>
      </c>
      <c r="G286" t="inlineStr">
        <is>
          <t>HÖGSBY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46284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8.699999999999999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38802-2024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45547</v>
      </c>
      <c r="E288" s="1" t="n">
        <v>46284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46284</v>
      </c>
      <c r="F289" t="inlineStr">
        <is>
          <t>KALMAR LÄN</t>
        </is>
      </c>
      <c r="G289" t="inlineStr">
        <is>
          <t>HÖGSBY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50458-2022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44866</v>
      </c>
      <c r="E290" s="1" t="n">
        <v>46284</v>
      </c>
      <c r="F290" t="inlineStr">
        <is>
          <t>KALMAR LÄN</t>
        </is>
      </c>
      <c r="G290" t="inlineStr">
        <is>
          <t>HÖGSBY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6823-2025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46284</v>
      </c>
      <c r="F291" t="inlineStr">
        <is>
          <t>KALMAR LÄN</t>
        </is>
      </c>
      <c r="G291" t="inlineStr">
        <is>
          <t>HÖGSBY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46284</v>
      </c>
      <c r="F292" t="inlineStr">
        <is>
          <t>KALMAR LÄN</t>
        </is>
      </c>
      <c r="G292" t="inlineStr">
        <is>
          <t>HÖGSBY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13098-2026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46093</v>
      </c>
      <c r="E293" s="1" t="n">
        <v>46284</v>
      </c>
      <c r="F293" t="inlineStr">
        <is>
          <t>KALMAR LÄN</t>
        </is>
      </c>
      <c r="G293" t="inlineStr">
        <is>
          <t>HÖGSBY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60555-2021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46284</v>
      </c>
      <c r="F294" t="inlineStr">
        <is>
          <t>KALMAR LÄN</t>
        </is>
      </c>
      <c r="G294" t="inlineStr">
        <is>
          <t>HÖGSBY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27812-2026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46191</v>
      </c>
      <c r="E295" s="1" t="n">
        <v>46284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54735-2025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46284</v>
      </c>
      <c r="F296" t="inlineStr">
        <is>
          <t>KALMAR LÄN</t>
        </is>
      </c>
      <c r="G296" t="inlineStr">
        <is>
          <t>HÖGSBY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46284</v>
      </c>
      <c r="F297" t="inlineStr">
        <is>
          <t>KALMAR LÄN</t>
        </is>
      </c>
      <c r="G297" t="inlineStr">
        <is>
          <t>HÖGSBY</t>
        </is>
      </c>
      <c r="H297" t="inlineStr">
        <is>
          <t>Kommuner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46284</v>
      </c>
      <c r="F298" t="inlineStr">
        <is>
          <t>KALMAR LÄN</t>
        </is>
      </c>
      <c r="G298" t="inlineStr">
        <is>
          <t>HÖGSBY</t>
        </is>
      </c>
      <c r="H298" t="inlineStr">
        <is>
          <t>Kommuner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28702-2026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46198</v>
      </c>
      <c r="E299" s="1" t="n">
        <v>46284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28692-2026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46198</v>
      </c>
      <c r="E300" s="1" t="n">
        <v>46284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14894-2025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45743</v>
      </c>
      <c r="E301" s="1" t="n">
        <v>46284</v>
      </c>
      <c r="F301" t="inlineStr">
        <is>
          <t>KALMAR LÄN</t>
        </is>
      </c>
      <c r="G301" t="inlineStr">
        <is>
          <t>HÖGSBY</t>
        </is>
      </c>
      <c r="H301" t="inlineStr">
        <is>
          <t>Kommuner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28691-2026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46198</v>
      </c>
      <c r="E302" s="1" t="n">
        <v>46284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28697-2026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46198</v>
      </c>
      <c r="E303" s="1" t="n">
        <v>46284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46284</v>
      </c>
      <c r="F304" t="inlineStr">
        <is>
          <t>KALMAR LÄN</t>
        </is>
      </c>
      <c r="G304" t="inlineStr">
        <is>
          <t>HÖGSBY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46197</v>
      </c>
      <c r="E305" s="1" t="n">
        <v>46284</v>
      </c>
      <c r="F305" t="inlineStr">
        <is>
          <t>KALMAR LÄN</t>
        </is>
      </c>
      <c r="G305" t="inlineStr">
        <is>
          <t>HÖGSBY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15864-2026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46107</v>
      </c>
      <c r="E306" s="1" t="n">
        <v>46284</v>
      </c>
      <c r="F306" t="inlineStr">
        <is>
          <t>KALMAR LÄN</t>
        </is>
      </c>
      <c r="G306" t="inlineStr">
        <is>
          <t>HÖGSBY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28713-2026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46198</v>
      </c>
      <c r="E307" s="1" t="n">
        <v>46284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46284</v>
      </c>
      <c r="F308" t="inlineStr">
        <is>
          <t>KALMAR LÄN</t>
        </is>
      </c>
      <c r="G308" t="inlineStr">
        <is>
          <t>HÖGSBY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28830-2026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46284</v>
      </c>
      <c r="F309" t="inlineStr">
        <is>
          <t>KALMAR LÄN</t>
        </is>
      </c>
      <c r="G309" t="inlineStr">
        <is>
          <t>HÖGSBY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46198</v>
      </c>
      <c r="E310" s="1" t="n">
        <v>46284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46198</v>
      </c>
      <c r="E311" s="1" t="n">
        <v>46284</v>
      </c>
      <c r="F311" t="inlineStr">
        <is>
          <t>KALMAR LÄN</t>
        </is>
      </c>
      <c r="G311" t="inlineStr">
        <is>
          <t>HÖGSBY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30294-2022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44760</v>
      </c>
      <c r="E312" s="1" t="n">
        <v>46284</v>
      </c>
      <c r="F312" t="inlineStr">
        <is>
          <t>KALMAR LÄN</t>
        </is>
      </c>
      <c r="G312" t="inlineStr">
        <is>
          <t>HÖGSBY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46284</v>
      </c>
      <c r="F313" t="inlineStr">
        <is>
          <t>KALMAR LÄN</t>
        </is>
      </c>
      <c r="G313" t="inlineStr">
        <is>
          <t>HÖGSBY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46284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46284</v>
      </c>
      <c r="F315" t="inlineStr">
        <is>
          <t>KALMAR LÄN</t>
        </is>
      </c>
      <c r="G315" t="inlineStr">
        <is>
          <t>HÖGSBY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44879</v>
      </c>
      <c r="E316" s="1" t="n">
        <v>46284</v>
      </c>
      <c r="F316" t="inlineStr">
        <is>
          <t>KALMAR LÄN</t>
        </is>
      </c>
      <c r="G316" t="inlineStr">
        <is>
          <t>HÖGSBY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46284</v>
      </c>
      <c r="F317" t="inlineStr">
        <is>
          <t>KALMAR LÄN</t>
        </is>
      </c>
      <c r="G317" t="inlineStr">
        <is>
          <t>HÖGSBY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46284</v>
      </c>
      <c r="F318" t="inlineStr">
        <is>
          <t>KALMAR LÄN</t>
        </is>
      </c>
      <c r="G318" t="inlineStr">
        <is>
          <t>HÖGSBY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46199</v>
      </c>
      <c r="E319" s="1" t="n">
        <v>46284</v>
      </c>
      <c r="F319" t="inlineStr">
        <is>
          <t>KALMAR LÄN</t>
        </is>
      </c>
      <c r="G319" t="inlineStr">
        <is>
          <t>HÖGSBY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46284</v>
      </c>
      <c r="F320" t="inlineStr">
        <is>
          <t>KALMAR LÄN</t>
        </is>
      </c>
      <c r="G320" t="inlineStr">
        <is>
          <t>HÖGSBY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17953-2026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46122</v>
      </c>
      <c r="E321" s="1" t="n">
        <v>46284</v>
      </c>
      <c r="F321" t="inlineStr">
        <is>
          <t>KALMAR LÄN</t>
        </is>
      </c>
      <c r="G321" t="inlineStr">
        <is>
          <t>HÖGSBY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46284</v>
      </c>
      <c r="F322" t="inlineStr">
        <is>
          <t>KALMAR LÄN</t>
        </is>
      </c>
      <c r="G322" t="inlineStr">
        <is>
          <t>HÖGSBY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14193-2024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45393</v>
      </c>
      <c r="E323" s="1" t="n">
        <v>46284</v>
      </c>
      <c r="F323" t="inlineStr">
        <is>
          <t>KALMAR LÄN</t>
        </is>
      </c>
      <c r="G323" t="inlineStr">
        <is>
          <t>HÖGSBY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62562-2022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44924</v>
      </c>
      <c r="E324" s="1" t="n">
        <v>46284</v>
      </c>
      <c r="F324" t="inlineStr">
        <is>
          <t>KALMAR LÄN</t>
        </is>
      </c>
      <c r="G324" t="inlineStr">
        <is>
          <t>HÖGSBY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46284</v>
      </c>
      <c r="F325" t="inlineStr">
        <is>
          <t>KALMAR LÄN</t>
        </is>
      </c>
      <c r="G325" t="inlineStr">
        <is>
          <t>HÖGSBY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45254</v>
      </c>
      <c r="E326" s="1" t="n">
        <v>46284</v>
      </c>
      <c r="F326" t="inlineStr">
        <is>
          <t>KALMAR LÄN</t>
        </is>
      </c>
      <c r="G326" t="inlineStr">
        <is>
          <t>HÖGSBY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39629-2024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45552</v>
      </c>
      <c r="E327" s="1" t="n">
        <v>46284</v>
      </c>
      <c r="F327" t="inlineStr">
        <is>
          <t>KALMAR LÄN</t>
        </is>
      </c>
      <c r="G327" t="inlineStr">
        <is>
          <t>HÖGSBY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12396-2023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44999</v>
      </c>
      <c r="E328" s="1" t="n">
        <v>46284</v>
      </c>
      <c r="F328" t="inlineStr">
        <is>
          <t>KALMAR LÄN</t>
        </is>
      </c>
      <c r="G328" t="inlineStr">
        <is>
          <t>HÖGSBY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19484-2026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46284</v>
      </c>
      <c r="F329" t="inlineStr">
        <is>
          <t>KALMAR LÄN</t>
        </is>
      </c>
      <c r="G329" t="inlineStr">
        <is>
          <t>HÖGSBY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45911</v>
      </c>
      <c r="E330" s="1" t="n">
        <v>46284</v>
      </c>
      <c r="F330" t="inlineStr">
        <is>
          <t>KALMAR LÄN</t>
        </is>
      </c>
      <c r="G330" t="inlineStr">
        <is>
          <t>HÖGSBY</t>
        </is>
      </c>
      <c r="H330" t="inlineStr">
        <is>
          <t>Kommuner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44981</v>
      </c>
      <c r="E331" s="1" t="n">
        <v>46284</v>
      </c>
      <c r="F331" t="inlineStr">
        <is>
          <t>KALMAR LÄN</t>
        </is>
      </c>
      <c r="G331" t="inlineStr">
        <is>
          <t>HÖGSBY</t>
        </is>
      </c>
      <c r="H331" t="inlineStr">
        <is>
          <t>Övriga Aktiebolag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45754</v>
      </c>
      <c r="E332" s="1" t="n">
        <v>46284</v>
      </c>
      <c r="F332" t="inlineStr">
        <is>
          <t>KALMAR LÄN</t>
        </is>
      </c>
      <c r="G332" t="inlineStr">
        <is>
          <t>HÖGSBY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50428-2024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45600</v>
      </c>
      <c r="E333" s="1" t="n">
        <v>46284</v>
      </c>
      <c r="F333" t="inlineStr">
        <is>
          <t>KALMAR LÄN</t>
        </is>
      </c>
      <c r="G333" t="inlineStr">
        <is>
          <t>HÖGSBY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63508-2025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46013</v>
      </c>
      <c r="E334" s="1" t="n">
        <v>46284</v>
      </c>
      <c r="F334" t="inlineStr">
        <is>
          <t>KALMAR LÄN</t>
        </is>
      </c>
      <c r="G334" t="inlineStr">
        <is>
          <t>HÖGSBY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38600-2024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46284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58050-2023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45247</v>
      </c>
      <c r="E336" s="1" t="n">
        <v>46284</v>
      </c>
      <c r="F336" t="inlineStr">
        <is>
          <t>KALMAR LÄN</t>
        </is>
      </c>
      <c r="G336" t="inlineStr">
        <is>
          <t>HÖGSBY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65130-2023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45288</v>
      </c>
      <c r="E337" s="1" t="n">
        <v>46284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46284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45341</v>
      </c>
      <c r="E339" s="1" t="n">
        <v>46284</v>
      </c>
      <c r="F339" t="inlineStr">
        <is>
          <t>KALMAR LÄN</t>
        </is>
      </c>
      <c r="G339" t="inlineStr">
        <is>
          <t>HÖGSBY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30291-2026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46284</v>
      </c>
      <c r="F340" t="inlineStr">
        <is>
          <t>KALMAR LÄN</t>
        </is>
      </c>
      <c r="G340" t="inlineStr">
        <is>
          <t>HÖGSBY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49486-2022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44861</v>
      </c>
      <c r="E341" s="1" t="n">
        <v>46284</v>
      </c>
      <c r="F341" t="inlineStr">
        <is>
          <t>KALMAR LÄN</t>
        </is>
      </c>
      <c r="G341" t="inlineStr">
        <is>
          <t>HÖGSBY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46284</v>
      </c>
      <c r="F342" t="inlineStr">
        <is>
          <t>KALMAR LÄN</t>
        </is>
      </c>
      <c r="G342" t="inlineStr">
        <is>
          <t>HÖGSBY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33788-2026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46251</v>
      </c>
      <c r="E343" s="1" t="n">
        <v>46284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26927-2023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46284</v>
      </c>
      <c r="F344" t="inlineStr">
        <is>
          <t>KALMAR LÄN</t>
        </is>
      </c>
      <c r="G344" t="inlineStr">
        <is>
          <t>HÖGSBY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30162-2026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46284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46284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10.7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30166-2026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46284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12.7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46206</v>
      </c>
      <c r="E348" s="1" t="n">
        <v>46284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43213-2023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45183</v>
      </c>
      <c r="E349" s="1" t="n">
        <v>46284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55697-2023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45239</v>
      </c>
      <c r="E350" s="1" t="n">
        <v>46284</v>
      </c>
      <c r="F350" t="inlineStr">
        <is>
          <t>KALMAR LÄN</t>
        </is>
      </c>
      <c r="G350" t="inlineStr">
        <is>
          <t>HÖGSBY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59408-2022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44907</v>
      </c>
      <c r="E351" s="1" t="n">
        <v>46284</v>
      </c>
      <c r="F351" t="inlineStr">
        <is>
          <t>KALMAR LÄN</t>
        </is>
      </c>
      <c r="G351" t="inlineStr">
        <is>
          <t>HÖGSBY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46284</v>
      </c>
      <c r="F352" t="inlineStr">
        <is>
          <t>KALMAR LÄN</t>
        </is>
      </c>
      <c r="G352" t="inlineStr">
        <is>
          <t>HÖGSBY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46284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45624</v>
      </c>
      <c r="E354" s="1" t="n">
        <v>46284</v>
      </c>
      <c r="F354" t="inlineStr">
        <is>
          <t>KALMAR LÄN</t>
        </is>
      </c>
      <c r="G354" t="inlineStr">
        <is>
          <t>HÖGSBY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46284</v>
      </c>
      <c r="F355" t="inlineStr">
        <is>
          <t>KALMAR LÄN</t>
        </is>
      </c>
      <c r="G355" t="inlineStr">
        <is>
          <t>HÖGSBY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44953</v>
      </c>
      <c r="E356" s="1" t="n">
        <v>46284</v>
      </c>
      <c r="F356" t="inlineStr">
        <is>
          <t>KALMAR LÄN</t>
        </is>
      </c>
      <c r="G356" t="inlineStr">
        <is>
          <t>HÖGSBY</t>
        </is>
      </c>
      <c r="H356" t="inlineStr">
        <is>
          <t>Övriga Aktiebolag</t>
        </is>
      </c>
      <c r="I356" t="n">
        <v>15.2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47502-2023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45203</v>
      </c>
      <c r="E357" s="1" t="n">
        <v>46284</v>
      </c>
      <c r="F357" t="inlineStr">
        <is>
          <t>KALMAR LÄN</t>
        </is>
      </c>
      <c r="G357" t="inlineStr">
        <is>
          <t>HÖGSBY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47571-2023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45203</v>
      </c>
      <c r="E358" s="1" t="n">
        <v>46284</v>
      </c>
      <c r="F358" t="inlineStr">
        <is>
          <t>KALMAR LÄN</t>
        </is>
      </c>
      <c r="G358" t="inlineStr">
        <is>
          <t>HÖGSBY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44939</v>
      </c>
      <c r="E359" s="1" t="n">
        <v>46284</v>
      </c>
      <c r="F359" t="inlineStr">
        <is>
          <t>KALMAR LÄN</t>
        </is>
      </c>
      <c r="G359" t="inlineStr">
        <is>
          <t>HÖGSBY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46284</v>
      </c>
      <c r="F360" t="inlineStr">
        <is>
          <t>KALMAR LÄN</t>
        </is>
      </c>
      <c r="G360" t="inlineStr">
        <is>
          <t>HÖGSBY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46329-2024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45581</v>
      </c>
      <c r="E361" s="1" t="n">
        <v>46284</v>
      </c>
      <c r="F361" t="inlineStr">
        <is>
          <t>KALMAR LÄN</t>
        </is>
      </c>
      <c r="G361" t="inlineStr">
        <is>
          <t>HÖGSBY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45692</v>
      </c>
      <c r="E362" s="1" t="n">
        <v>46284</v>
      </c>
      <c r="F362" t="inlineStr">
        <is>
          <t>KALMAR LÄN</t>
        </is>
      </c>
      <c r="G362" t="inlineStr">
        <is>
          <t>HÖGSBY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50367-2022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44866</v>
      </c>
      <c r="E363" s="1" t="n">
        <v>46284</v>
      </c>
      <c r="F363" t="inlineStr">
        <is>
          <t>KALMAR LÄN</t>
        </is>
      </c>
      <c r="G363" t="inlineStr">
        <is>
          <t>HÖGSBY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46266</v>
      </c>
      <c r="E364" s="1" t="n">
        <v>46284</v>
      </c>
      <c r="F364" t="inlineStr">
        <is>
          <t>KALMAR LÄN</t>
        </is>
      </c>
      <c r="G364" t="inlineStr">
        <is>
          <t>HÖGSBY</t>
        </is>
      </c>
      <c r="I364" t="n">
        <v>9.6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46266</v>
      </c>
      <c r="E365" s="1" t="n">
        <v>46284</v>
      </c>
      <c r="F365" t="inlineStr">
        <is>
          <t>KALMAR LÄN</t>
        </is>
      </c>
      <c r="G365" t="inlineStr">
        <is>
          <t>HÖGSBY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46267</v>
      </c>
      <c r="E366" s="1" t="n">
        <v>46284</v>
      </c>
      <c r="F366" t="inlineStr">
        <is>
          <t>KALMAR LÄN</t>
        </is>
      </c>
      <c r="G366" t="inlineStr">
        <is>
          <t>HÖGSBY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36200-2026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46267</v>
      </c>
      <c r="E367" s="1" t="n">
        <v>46284</v>
      </c>
      <c r="F367" t="inlineStr">
        <is>
          <t>KALMAR LÄN</t>
        </is>
      </c>
      <c r="G367" t="inlineStr">
        <is>
          <t>HÖGSBY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46266</v>
      </c>
      <c r="E368" s="1" t="n">
        <v>46284</v>
      </c>
      <c r="F368" t="inlineStr">
        <is>
          <t>KALMAR LÄN</t>
        </is>
      </c>
      <c r="G368" t="inlineStr">
        <is>
          <t>HÖGSBY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59581-2024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45638</v>
      </c>
      <c r="E369" s="1" t="n">
        <v>46284</v>
      </c>
      <c r="F369" t="inlineStr">
        <is>
          <t>KALMAR LÄN</t>
        </is>
      </c>
      <c r="G369" t="inlineStr">
        <is>
          <t>HÖGSBY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46269</v>
      </c>
      <c r="E370" s="1" t="n">
        <v>46284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36258-2026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46268</v>
      </c>
      <c r="E371" s="1" t="n">
        <v>46284</v>
      </c>
      <c r="F371" t="inlineStr">
        <is>
          <t>KALMAR LÄN</t>
        </is>
      </c>
      <c r="G371" t="inlineStr">
        <is>
          <t>HÖGSBY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36445-2026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46269</v>
      </c>
      <c r="E372" s="1" t="n">
        <v>46284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24.4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45307</v>
      </c>
      <c r="E373" s="1" t="n">
        <v>46284</v>
      </c>
      <c r="F373" t="inlineStr">
        <is>
          <t>KALMAR LÄN</t>
        </is>
      </c>
      <c r="G373" t="inlineStr">
        <is>
          <t>HÖGSBY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36404-2026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46268</v>
      </c>
      <c r="E374" s="1" t="n">
        <v>46284</v>
      </c>
      <c r="F374" t="inlineStr">
        <is>
          <t>KALMAR LÄN</t>
        </is>
      </c>
      <c r="G374" t="inlineStr">
        <is>
          <t>HÖGSBY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34078-2024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45523</v>
      </c>
      <c r="E375" s="1" t="n">
        <v>46284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45782</v>
      </c>
      <c r="E376" s="1" t="n">
        <v>46284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37194-2026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46274</v>
      </c>
      <c r="E377" s="1" t="n">
        <v>46284</v>
      </c>
      <c r="F377" t="inlineStr">
        <is>
          <t>KALMAR LÄN</t>
        </is>
      </c>
      <c r="G377" t="inlineStr">
        <is>
          <t>HÖGSBY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46275</v>
      </c>
      <c r="E378" s="1" t="n">
        <v>46284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37335-2026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46275</v>
      </c>
      <c r="E379" s="1" t="n">
        <v>46284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37233-2026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46274</v>
      </c>
      <c r="E380" s="1" t="n">
        <v>46284</v>
      </c>
      <c r="F380" t="inlineStr">
        <is>
          <t>KALMAR LÄN</t>
        </is>
      </c>
      <c r="G380" t="inlineStr">
        <is>
          <t>HÖGSBY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46284</v>
      </c>
      <c r="F381" t="inlineStr">
        <is>
          <t>KALMAR LÄN</t>
        </is>
      </c>
      <c r="G381" t="inlineStr">
        <is>
          <t>HÖGSBY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46237</v>
      </c>
      <c r="E382" s="1" t="n">
        <v>46284</v>
      </c>
      <c r="F382" t="inlineStr">
        <is>
          <t>KALMAR LÄN</t>
        </is>
      </c>
      <c r="G382" t="inlineStr">
        <is>
          <t>HÖGSBY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46284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  <c r="Z383">
        <f>HYPERLINK("https://klasma.github.io/Logging_0821/knärot/A 40137-2024 karta knärot.png", "A 40137-2024")</f>
        <v/>
      </c>
      <c r="AA383">
        <f>HYPERLINK("https://klasma.github.io/Logging_0821/klagomål/A 40137-2024 FSC-klagomål.docx", "A 40137-2024")</f>
        <v/>
      </c>
      <c r="AB383">
        <f>HYPERLINK("https://klasma.github.io/Logging_0821/klagomålsmail/A 40137-2024 FSC-klagomål mail.docx", "A 40137-2024")</f>
        <v/>
      </c>
      <c r="AC383">
        <f>HYPERLINK("https://klasma.github.io/Logging_0821/tillsyn/A 40137-2024 tillsynsbegäran.docx", "A 40137-2024")</f>
        <v/>
      </c>
      <c r="AD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38185-2026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46281</v>
      </c>
      <c r="E384" s="1" t="n">
        <v>46284</v>
      </c>
      <c r="F384" t="inlineStr">
        <is>
          <t>KALMAR LÄN</t>
        </is>
      </c>
      <c r="G384" t="inlineStr">
        <is>
          <t>HÖGSBY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46284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38705-2026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46281</v>
      </c>
      <c r="E386" s="1" t="n">
        <v>46284</v>
      </c>
      <c r="F386" t="inlineStr">
        <is>
          <t>KALMAR LÄN</t>
        </is>
      </c>
      <c r="G386" t="inlineStr">
        <is>
          <t>HÖGSBY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46284</v>
      </c>
      <c r="F387" t="inlineStr">
        <is>
          <t>KALMAR LÄN</t>
        </is>
      </c>
      <c r="G387" t="inlineStr">
        <is>
          <t>HÖGSBY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45847</v>
      </c>
      <c r="E388" s="1" t="n">
        <v>46284</v>
      </c>
      <c r="F388" t="inlineStr">
        <is>
          <t>KALMAR LÄN</t>
        </is>
      </c>
      <c r="G388" t="inlineStr">
        <is>
          <t>HÖGSBY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46284</v>
      </c>
      <c r="F389" t="inlineStr">
        <is>
          <t>KALMAR LÄN</t>
        </is>
      </c>
      <c r="G389" t="inlineStr">
        <is>
          <t>HÖGSBY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45554</v>
      </c>
      <c r="E390" s="1" t="n">
        <v>46284</v>
      </c>
      <c r="F390" t="inlineStr">
        <is>
          <t>KALMAR LÄN</t>
        </is>
      </c>
      <c r="G390" t="inlineStr">
        <is>
          <t>HÖGSBY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38068-2025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45882</v>
      </c>
      <c r="E391" s="1" t="n">
        <v>46284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46284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46284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46284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46284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46284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46284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46284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46284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46284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46284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46284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46284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46284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46284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46284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46284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46284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46284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46284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46284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46284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46284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46284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46284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2026-09-19T02:02:36Z</dcterms:created>
  <dcterms:modified xmlns:dcterms="http://purl.org/dc/terms/" xmlns:xsi="http://www.w3.org/2001/XMLSchema-instance" xsi:type="dcterms:W3CDTF">2026-09-19T02:02:37Z</dcterms:modified>
</cp:coreProperties>
</file>