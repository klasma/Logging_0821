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46248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46248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46248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46248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46248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46248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46248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46248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46248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46248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46248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46248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46248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46248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46248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46248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46248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46248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46248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46248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55060-2023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46248</v>
      </c>
      <c r="F22" t="inlineStr">
        <is>
          <t>KALMAR LÄN</t>
        </is>
      </c>
      <c r="G22" t="inlineStr">
        <is>
          <t>HÖGSBY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Tallticka
Blodticka
Spillkråka</t>
        </is>
      </c>
      <c r="W22">
        <f>HYPERLINK("https://klasma.github.io/Logging_0821/artfynd/A 55060-2023 artfynd.xlsx", "A 55060-2023")</f>
        <v/>
      </c>
      <c r="X22">
        <f>HYPERLINK("https://klasma.github.io/Logging_0821/kartor/A 55060-2023 karta.png", "A 55060-2023")</f>
        <v/>
      </c>
      <c r="Y22">
        <f>HYPERLINK("https://klasma.github.io/Logging_0821/kartor_geotiff/A 55060-2023 georefererad karta.tif", "A 55060-2023")</f>
        <v/>
      </c>
      <c r="AA22">
        <f>HYPERLINK("https://klasma.github.io/Logging_0821/klagomål/A 55060-2023 FSC-klagomål.docx", "A 55060-2023")</f>
        <v/>
      </c>
      <c r="AB22">
        <f>HYPERLINK("https://klasma.github.io/Logging_0821/klagomålsmail/A 55060-2023 FSC-klagomål mail.docx", "A 55060-2023")</f>
        <v/>
      </c>
      <c r="AC22">
        <f>HYPERLINK("https://klasma.github.io/Logging_0821/tillsyn/A 55060-2023 tillsynsbegäran.docx", "A 55060-2023")</f>
        <v/>
      </c>
      <c r="AD22">
        <f>HYPERLINK("https://klasma.github.io/Logging_0821/tillsynsmail/A 55060-2023 tillsynsbegäran mail.docx", "A 55060-2023")</f>
        <v/>
      </c>
      <c r="AE22">
        <f>HYPERLINK("https://klasma.github.io/Logging_0821/fåglar/A 55060-2023 prioriterade fågelarter.docx", "A 55060-2023")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46248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46248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46248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46248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46248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46248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46248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46248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46248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46248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62371-2023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46248</v>
      </c>
      <c r="F33" t="inlineStr">
        <is>
          <t>KALMAR LÄN</t>
        </is>
      </c>
      <c r="G33" t="inlineStr">
        <is>
          <t>HÖGSBY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Spillkråka</t>
        </is>
      </c>
      <c r="W33">
        <f>HYPERLINK("https://klasma.github.io/Logging_0821/artfynd/A 62371-2023 artfynd.xlsx", "A 62371-2023")</f>
        <v/>
      </c>
      <c r="X33">
        <f>HYPERLINK("https://klasma.github.io/Logging_0821/kartor/A 62371-2023 karta.png", "A 62371-2023")</f>
        <v/>
      </c>
      <c r="Y33">
        <f>HYPERLINK("https://klasma.github.io/Logging_0821/kartor_geotiff/A 62371-2023 georefererad karta.tif", "A 62371-2023")</f>
        <v/>
      </c>
      <c r="Z33">
        <f>HYPERLINK("https://klasma.github.io/Logging_0821/knärot/A 62371-2023 karta knärot.png", "A 62371-2023")</f>
        <v/>
      </c>
      <c r="AA33">
        <f>HYPERLINK("https://klasma.github.io/Logging_0821/klagomål/A 62371-2023 FSC-klagomål.docx", "A 62371-2023")</f>
        <v/>
      </c>
      <c r="AB33">
        <f>HYPERLINK("https://klasma.github.io/Logging_0821/klagomålsmail/A 62371-2023 FSC-klagomål mail.docx", "A 62371-2023")</f>
        <v/>
      </c>
      <c r="AC33">
        <f>HYPERLINK("https://klasma.github.io/Logging_0821/tillsyn/A 62371-2023 tillsynsbegäran.docx", "A 62371-2023")</f>
        <v/>
      </c>
      <c r="AD33">
        <f>HYPERLINK("https://klasma.github.io/Logging_0821/tillsynsmail/A 62371-2023 tillsynsbegäran mail.docx", "A 62371-2023")</f>
        <v/>
      </c>
      <c r="AE33">
        <f>HYPERLINK("https://klasma.github.io/Logging_0821/fåglar/A 62371-2023 prioriterade fågelarter.docx", "A 62371-2023")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46248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46248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46248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5667-2026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46051</v>
      </c>
      <c r="E37" s="1" t="n">
        <v>46248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19.8</v>
      </c>
      <c r="J37" t="n">
        <v>0</v>
      </c>
      <c r="K37" t="n">
        <v>0</v>
      </c>
      <c r="L37" t="n">
        <v>0</v>
      </c>
      <c r="M37" t="n">
        <v>2</v>
      </c>
      <c r="N37" t="n">
        <v>0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Slåttergubbe
Slåttergubbemal</t>
        </is>
      </c>
      <c r="W37">
        <f>HYPERLINK("https://klasma.github.io/Logging_0821/artfynd/A 5667-2026 artfynd.xlsx", "A 5667-2026")</f>
        <v/>
      </c>
      <c r="X37">
        <f>HYPERLINK("https://klasma.github.io/Logging_0821/kartor/A 5667-2026 karta.png", "A 5667-2026")</f>
        <v/>
      </c>
      <c r="Y37">
        <f>HYPERLINK("https://klasma.github.io/Logging_0821/kartor_geotiff/A 5667-2026 georefererad karta.tif", "A 5667-2026")</f>
        <v/>
      </c>
      <c r="AA37">
        <f>HYPERLINK("https://klasma.github.io/Logging_0821/klagomål/A 5667-2026 FSC-klagomål.docx", "A 5667-2026")</f>
        <v/>
      </c>
      <c r="AB37">
        <f>HYPERLINK("https://klasma.github.io/Logging_0821/klagomålsmail/A 5667-2026 FSC-klagomål mail.docx", "A 5667-2026")</f>
        <v/>
      </c>
      <c r="AC37">
        <f>HYPERLINK("https://klasma.github.io/Logging_0821/tillsyn/A 5667-2026 tillsynsbegäran.docx", "A 5667-2026")</f>
        <v/>
      </c>
      <c r="AD37">
        <f>HYPERLINK("https://klasma.github.io/Logging_0821/tillsynsmail/A 5667-2026 tillsynsbegäran mail.docx", "A 5667-2026")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46248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46248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46248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46248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1519-2022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46248</v>
      </c>
      <c r="F42" t="inlineStr">
        <is>
          <t>KALMAR LÄN</t>
        </is>
      </c>
      <c r="G42" t="inlineStr">
        <is>
          <t>HÖGSBY</t>
        </is>
      </c>
      <c r="I42" t="n">
        <v>2.6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HYPERLINK("https://klasma.github.io/Logging_0821/artfynd/A 1519-2022 artfynd.xlsx", "A 1519-2022")</f>
        <v/>
      </c>
      <c r="X42">
        <f>HYPERLINK("https://klasma.github.io/Logging_0821/kartor/A 1519-2022 karta.png", "A 1519-2022")</f>
        <v/>
      </c>
      <c r="Y42">
        <f>HYPERLINK("https://klasma.github.io/Logging_0821/kartor_geotiff/A 1519-2022 georefererad karta.tif", "A 1519-2022")</f>
        <v/>
      </c>
      <c r="AA42">
        <f>HYPERLINK("https://klasma.github.io/Logging_0821/klagomål/A 1519-2022 FSC-klagomål.docx", "A 1519-2022")</f>
        <v/>
      </c>
      <c r="AB42">
        <f>HYPERLINK("https://klasma.github.io/Logging_0821/klagomålsmail/A 1519-2022 FSC-klagomål mail.docx", "A 1519-2022")</f>
        <v/>
      </c>
      <c r="AC42">
        <f>HYPERLINK("https://klasma.github.io/Logging_0821/tillsyn/A 1519-2022 tillsynsbegäran.docx", "A 1519-2022")</f>
        <v/>
      </c>
      <c r="AD42">
        <f>HYPERLINK("https://klasma.github.io/Logging_0821/tillsynsmail/A 1519-2022 tillsynsbegäran mail.docx", "A 1519-2022")</f>
        <v/>
      </c>
    </row>
    <row r="43" ht="15" customHeight="1">
      <c r="A43" t="inlineStr">
        <is>
          <t>A 59700-2023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45256</v>
      </c>
      <c r="E43" s="1" t="n">
        <v>46248</v>
      </c>
      <c r="F43" t="inlineStr">
        <is>
          <t>KALMAR LÄN</t>
        </is>
      </c>
      <c r="G43" t="inlineStr">
        <is>
          <t>HÖGSBY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59700-2023 artfynd.xlsx", "A 59700-2023")</f>
        <v/>
      </c>
      <c r="X43">
        <f>HYPERLINK("https://klasma.github.io/Logging_0821/kartor/A 59700-2023 karta.png", "A 59700-2023")</f>
        <v/>
      </c>
      <c r="Y43">
        <f>HYPERLINK("https://klasma.github.io/Logging_0821/kartor_geotiff/A 59700-2023 georefererad karta.tif", "A 59700-2023")</f>
        <v/>
      </c>
      <c r="AA43">
        <f>HYPERLINK("https://klasma.github.io/Logging_0821/klagomål/A 59700-2023 FSC-klagomål.docx", "A 59700-2023")</f>
        <v/>
      </c>
      <c r="AB43">
        <f>HYPERLINK("https://klasma.github.io/Logging_0821/klagomålsmail/A 59700-2023 FSC-klagomål mail.docx", "A 59700-2023")</f>
        <v/>
      </c>
      <c r="AC43">
        <f>HYPERLINK("https://klasma.github.io/Logging_0821/tillsyn/A 59700-2023 tillsynsbegäran.docx", "A 59700-2023")</f>
        <v/>
      </c>
      <c r="AD43">
        <f>HYPERLINK("https://klasma.github.io/Logging_0821/tillsynsmail/A 59700-2023 tillsynsbegäran mail.docx", "A 59700-2023")</f>
        <v/>
      </c>
      <c r="AE43">
        <f>HYPERLINK("https://klasma.github.io/Logging_0821/fåglar/A 59700-2023 prioriterade fågelarter.docx", "A 59700-2023")</f>
        <v/>
      </c>
    </row>
    <row r="44" ht="15" customHeight="1">
      <c r="A44" t="inlineStr">
        <is>
          <t>A 35072-2023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46248</v>
      </c>
      <c r="F44" t="inlineStr">
        <is>
          <t>KALMAR LÄN</t>
        </is>
      </c>
      <c r="G44" t="inlineStr">
        <is>
          <t>HÖGSBY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35072-2023 artfynd.xlsx", "A 35072-2023")</f>
        <v/>
      </c>
      <c r="X44">
        <f>HYPERLINK("https://klasma.github.io/Logging_0821/kartor/A 35072-2023 karta.png", "A 35072-2023")</f>
        <v/>
      </c>
      <c r="Y44">
        <f>HYPERLINK("https://klasma.github.io/Logging_0821/kartor_geotiff/A 35072-2023 georefererad karta.tif", "A 35072-2023")</f>
        <v/>
      </c>
      <c r="AA44">
        <f>HYPERLINK("https://klasma.github.io/Logging_0821/klagomål/A 35072-2023 FSC-klagomål.docx", "A 35072-2023")</f>
        <v/>
      </c>
      <c r="AB44">
        <f>HYPERLINK("https://klasma.github.io/Logging_0821/klagomålsmail/A 35072-2023 FSC-klagomål mail.docx", "A 35072-2023")</f>
        <v/>
      </c>
      <c r="AC44">
        <f>HYPERLINK("https://klasma.github.io/Logging_0821/tillsyn/A 35072-2023 tillsynsbegäran.docx", "A 35072-2023")</f>
        <v/>
      </c>
      <c r="AD44">
        <f>HYPERLINK("https://klasma.github.io/Logging_0821/tillsynsmail/A 35072-2023 tillsynsbegäran mail.docx", "A 35072-2023")</f>
        <v/>
      </c>
    </row>
    <row r="45" ht="15" customHeight="1">
      <c r="A45" t="inlineStr">
        <is>
          <t>A 58792-2022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46248</v>
      </c>
      <c r="F45" t="inlineStr">
        <is>
          <t>KALMAR LÄN</t>
        </is>
      </c>
      <c r="G45" t="inlineStr">
        <is>
          <t>HÖGSBY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HYPERLINK("https://klasma.github.io/Logging_0821/artfynd/A 58792-2022 artfynd.xlsx", "A 58792-2022")</f>
        <v/>
      </c>
      <c r="X45">
        <f>HYPERLINK("https://klasma.github.io/Logging_0821/kartor/A 58792-2022 karta.png", "A 58792-2022")</f>
        <v/>
      </c>
      <c r="Y45">
        <f>HYPERLINK("https://klasma.github.io/Logging_0821/kartor_geotiff/A 58792-2022 georefererad karta.tif", "A 58792-2022")</f>
        <v/>
      </c>
      <c r="AA45">
        <f>HYPERLINK("https://klasma.github.io/Logging_0821/klagomål/A 58792-2022 FSC-klagomål.docx", "A 58792-2022")</f>
        <v/>
      </c>
      <c r="AB45">
        <f>HYPERLINK("https://klasma.github.io/Logging_0821/klagomålsmail/A 58792-2022 FSC-klagomål mail.docx", "A 58792-2022")</f>
        <v/>
      </c>
      <c r="AC45">
        <f>HYPERLINK("https://klasma.github.io/Logging_0821/tillsyn/A 58792-2022 tillsynsbegäran.docx", "A 58792-2022")</f>
        <v/>
      </c>
      <c r="AD45">
        <f>HYPERLINK("https://klasma.github.io/Logging_0821/tillsynsmail/A 58792-2022 tillsynsbegäran mail.docx", "A 58792-2022")</f>
        <v/>
      </c>
    </row>
    <row r="46" ht="15" customHeight="1">
      <c r="A46" t="inlineStr">
        <is>
          <t>A 52177-2022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46248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Nordfladdermus</t>
        </is>
      </c>
      <c r="W46">
        <f>HYPERLINK("https://klasma.github.io/Logging_0821/artfynd/A 52177-2022 artfynd.xlsx", "A 52177-2022")</f>
        <v/>
      </c>
      <c r="X46">
        <f>HYPERLINK("https://klasma.github.io/Logging_0821/kartor/A 52177-2022 karta.png", "A 52177-2022")</f>
        <v/>
      </c>
      <c r="Y46">
        <f>HYPERLINK("https://klasma.github.io/Logging_0821/kartor_geotiff/A 52177-2022 georefererad karta.tif", "A 52177-2022")</f>
        <v/>
      </c>
      <c r="AA46">
        <f>HYPERLINK("https://klasma.github.io/Logging_0821/klagomål/A 52177-2022 FSC-klagomål.docx", "A 52177-2022")</f>
        <v/>
      </c>
      <c r="AB46">
        <f>HYPERLINK("https://klasma.github.io/Logging_0821/klagomålsmail/A 52177-2022 FSC-klagomål mail.docx", "A 52177-2022")</f>
        <v/>
      </c>
      <c r="AC46">
        <f>HYPERLINK("https://klasma.github.io/Logging_0821/tillsyn/A 52177-2022 tillsynsbegäran.docx", "A 52177-2022")</f>
        <v/>
      </c>
      <c r="AD46">
        <f>HYPERLINK("https://klasma.github.io/Logging_0821/tillsynsmail/A 52177-2022 tillsynsbegäran mail.docx", "A 52177-2022")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46248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19519-2025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45770</v>
      </c>
      <c r="E48" s="1" t="n">
        <v>46248</v>
      </c>
      <c r="F48" t="inlineStr">
        <is>
          <t>KALMAR LÄN</t>
        </is>
      </c>
      <c r="G48" t="inlineStr">
        <is>
          <t>HÖGSBY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Dropptaggsvamp</t>
        </is>
      </c>
      <c r="W48">
        <f>HYPERLINK("https://klasma.github.io/Logging_0821/artfynd/A 19519-2025 artfynd.xlsx", "A 19519-2025")</f>
        <v/>
      </c>
      <c r="X48">
        <f>HYPERLINK("https://klasma.github.io/Logging_0821/kartor/A 19519-2025 karta.png", "A 19519-2025")</f>
        <v/>
      </c>
      <c r="Y48">
        <f>HYPERLINK("https://klasma.github.io/Logging_0821/kartor_geotiff/A 19519-2025 georefererad karta.tif", "A 19519-2025")</f>
        <v/>
      </c>
      <c r="AA48">
        <f>HYPERLINK("https://klasma.github.io/Logging_0821/klagomål/A 19519-2025 FSC-klagomål.docx", "A 19519-2025")</f>
        <v/>
      </c>
      <c r="AB48">
        <f>HYPERLINK("https://klasma.github.io/Logging_0821/klagomålsmail/A 19519-2025 FSC-klagomål mail.docx", "A 19519-2025")</f>
        <v/>
      </c>
      <c r="AC48">
        <f>HYPERLINK("https://klasma.github.io/Logging_0821/tillsyn/A 19519-2025 tillsynsbegäran.docx", "A 19519-2025")</f>
        <v/>
      </c>
      <c r="AD48">
        <f>HYPERLINK("https://klasma.github.io/Logging_0821/tillsynsmail/A 19519-2025 tillsynsbegäran mail.docx", "A 19519-2025")</f>
        <v/>
      </c>
    </row>
    <row r="49" ht="15" customHeight="1">
      <c r="A49" t="inlineStr">
        <is>
          <t>A 30186-2026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46206</v>
      </c>
      <c r="E49" s="1" t="n">
        <v>46248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Gullklöver</t>
        </is>
      </c>
      <c r="W49">
        <f>HYPERLINK("https://klasma.github.io/Logging_0821/artfynd/A 30186-2026 artfynd.xlsx", "A 30186-2026")</f>
        <v/>
      </c>
      <c r="X49">
        <f>HYPERLINK("https://klasma.github.io/Logging_0821/kartor/A 30186-2026 karta.png", "A 30186-2026")</f>
        <v/>
      </c>
      <c r="Y49">
        <f>HYPERLINK("https://klasma.github.io/Logging_0821/kartor_geotiff/A 30186-2026 georefererad karta.tif", "A 30186-2026")</f>
        <v/>
      </c>
      <c r="AA49">
        <f>HYPERLINK("https://klasma.github.io/Logging_0821/klagomål/A 30186-2026 FSC-klagomål.docx", "A 30186-2026")</f>
        <v/>
      </c>
      <c r="AB49">
        <f>HYPERLINK("https://klasma.github.io/Logging_0821/klagomålsmail/A 30186-2026 FSC-klagomål mail.docx", "A 30186-2026")</f>
        <v/>
      </c>
      <c r="AC49">
        <f>HYPERLINK("https://klasma.github.io/Logging_0821/tillsyn/A 30186-2026 tillsynsbegäran.docx", "A 30186-2026")</f>
        <v/>
      </c>
      <c r="AD49">
        <f>HYPERLINK("https://klasma.github.io/Logging_0821/tillsynsmail/A 30186-2026 tillsynsbegäran mail.docx", "A 30186-2026")</f>
        <v/>
      </c>
    </row>
    <row r="50" ht="15" customHeight="1">
      <c r="A50" t="inlineStr">
        <is>
          <t>A 23859-2026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46248</v>
      </c>
      <c r="F50" t="inlineStr">
        <is>
          <t>KALMAR LÄN</t>
        </is>
      </c>
      <c r="G50" t="inlineStr">
        <is>
          <t>HÖGSBY</t>
        </is>
      </c>
      <c r="I50" t="n">
        <v>3.8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HYPERLINK("https://klasma.github.io/Logging_0821/artfynd/A 23859-2026 artfynd.xlsx", "A 23859-2026")</f>
        <v/>
      </c>
      <c r="X50">
        <f>HYPERLINK("https://klasma.github.io/Logging_0821/kartor/A 23859-2026 karta.png", "A 23859-2026")</f>
        <v/>
      </c>
      <c r="Y50">
        <f>HYPERLINK("https://klasma.github.io/Logging_0821/kartor_geotiff/A 23859-2026 georefererad karta.tif", "A 23859-2026")</f>
        <v/>
      </c>
      <c r="AA50">
        <f>HYPERLINK("https://klasma.github.io/Logging_0821/klagomål/A 23859-2026 FSC-klagomål.docx", "A 23859-2026")</f>
        <v/>
      </c>
      <c r="AB50">
        <f>HYPERLINK("https://klasma.github.io/Logging_0821/klagomålsmail/A 23859-2026 FSC-klagomål mail.docx", "A 23859-2026")</f>
        <v/>
      </c>
      <c r="AC50">
        <f>HYPERLINK("https://klasma.github.io/Logging_0821/tillsyn/A 23859-2026 tillsynsbegäran.docx", "A 23859-2026")</f>
        <v/>
      </c>
      <c r="AD50">
        <f>HYPERLINK("https://klasma.github.io/Logging_0821/tillsynsmail/A 23859-2026 tillsynsbegäran mail.docx", "A 23859-2026")</f>
        <v/>
      </c>
    </row>
    <row r="51" ht="15" customHeight="1">
      <c r="A51" t="inlineStr">
        <is>
          <t>A 30800-2026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46212</v>
      </c>
      <c r="E51" s="1" t="n">
        <v>46248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HYPERLINK("https://klasma.github.io/Logging_0821/artfynd/A 30800-2026 artfynd.xlsx", "A 30800-2026")</f>
        <v/>
      </c>
      <c r="X51">
        <f>HYPERLINK("https://klasma.github.io/Logging_0821/kartor/A 30800-2026 karta.png", "A 30800-2026")</f>
        <v/>
      </c>
      <c r="Y51">
        <f>HYPERLINK("https://klasma.github.io/Logging_0821/kartor_geotiff/A 30800-2026 georefererad karta.tif", "A 30800-2026")</f>
        <v/>
      </c>
      <c r="AA51">
        <f>HYPERLINK("https://klasma.github.io/Logging_0821/klagomål/A 30800-2026 FSC-klagomål.docx", "A 30800-2026")</f>
        <v/>
      </c>
      <c r="AB51">
        <f>HYPERLINK("https://klasma.github.io/Logging_0821/klagomålsmail/A 30800-2026 FSC-klagomål mail.docx", "A 30800-2026")</f>
        <v/>
      </c>
      <c r="AC51">
        <f>HYPERLINK("https://klasma.github.io/Logging_0821/tillsyn/A 30800-2026 tillsynsbegäran.docx", "A 30800-2026")</f>
        <v/>
      </c>
      <c r="AD51">
        <f>HYPERLINK("https://klasma.github.io/Logging_0821/tillsynsmail/A 30800-2026 tillsynsbegäran mail.docx", "A 30800-2026")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46248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27366-2026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46248</v>
      </c>
      <c r="F53" t="inlineStr">
        <is>
          <t>KALMAR LÄN</t>
        </is>
      </c>
      <c r="G53" t="inlineStr">
        <is>
          <t>HÖGSBY</t>
        </is>
      </c>
      <c r="I53" t="n">
        <v>4.4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Nattviol</t>
        </is>
      </c>
      <c r="W53">
        <f>HYPERLINK("https://klasma.github.io/Logging_0821/artfynd/A 27366-2026 artfynd.xlsx", "A 27366-2026")</f>
        <v/>
      </c>
      <c r="X53">
        <f>HYPERLINK("https://klasma.github.io/Logging_0821/kartor/A 27366-2026 karta.png", "A 27366-2026")</f>
        <v/>
      </c>
      <c r="Y53">
        <f>HYPERLINK("https://klasma.github.io/Logging_0821/kartor_geotiff/A 27366-2026 georefererad karta.tif", "A 27366-2026")</f>
        <v/>
      </c>
      <c r="AA53">
        <f>HYPERLINK("https://klasma.github.io/Logging_0821/klagomål/A 27366-2026 FSC-klagomål.docx", "A 27366-2026")</f>
        <v/>
      </c>
      <c r="AB53">
        <f>HYPERLINK("https://klasma.github.io/Logging_0821/klagomålsmail/A 27366-2026 FSC-klagomål mail.docx", "A 27366-2026")</f>
        <v/>
      </c>
      <c r="AC53">
        <f>HYPERLINK("https://klasma.github.io/Logging_0821/tillsyn/A 27366-2026 tillsynsbegäran.docx", "A 27366-2026")</f>
        <v/>
      </c>
      <c r="AD53">
        <f>HYPERLINK("https://klasma.github.io/Logging_0821/tillsynsmail/A 27366-2026 tillsynsbegäran mail.docx", "A 27366-2026")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46248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HYPERLINK("https://klasma.github.io/Logging_0821/artfynd/A 28894-2026 artfynd.xlsx", "A 28894-2026")</f>
        <v/>
      </c>
      <c r="X54">
        <f>HYPERLINK("https://klasma.github.io/Logging_0821/kartor/A 28894-2026 karta.png", "A 28894-2026")</f>
        <v/>
      </c>
      <c r="Y54">
        <f>HYPERLINK("https://klasma.github.io/Logging_0821/kartor_geotiff/A 28894-2026 georefererad karta.tif", "A 28894-2026")</f>
        <v/>
      </c>
      <c r="AA54">
        <f>HYPERLINK("https://klasma.github.io/Logging_0821/klagomål/A 28894-2026 FSC-klagomål.docx", "A 28894-2026")</f>
        <v/>
      </c>
      <c r="AB54">
        <f>HYPERLINK("https://klasma.github.io/Logging_0821/klagomålsmail/A 28894-2026 FSC-klagomål mail.docx", "A 28894-2026")</f>
        <v/>
      </c>
      <c r="AC54">
        <f>HYPERLINK("https://klasma.github.io/Logging_0821/tillsyn/A 28894-2026 tillsynsbegäran.docx", "A 28894-2026")</f>
        <v/>
      </c>
      <c r="AD54">
        <f>HYPERLINK("https://klasma.github.io/Logging_0821/tillsynsmail/A 28894-2026 tillsynsbegäran mail.docx", "A 28894-2026")</f>
        <v/>
      </c>
      <c r="AE54">
        <f>HYPERLINK("https://klasma.github.io/Logging_0821/fåglar/A 28894-2026 prioriterade fågelarter.docx", "A 28894-2026")</f>
        <v/>
      </c>
    </row>
    <row r="55" ht="15" customHeight="1">
      <c r="A55" t="inlineStr">
        <is>
          <t>A 17994-2026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46124</v>
      </c>
      <c r="E55" s="1" t="n">
        <v>46248</v>
      </c>
      <c r="F55" t="inlineStr">
        <is>
          <t>KALMAR LÄN</t>
        </is>
      </c>
      <c r="G55" t="inlineStr">
        <is>
          <t>HÖGSBY</t>
        </is>
      </c>
      <c r="I55" t="n">
        <v>1.7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Mindre bastardsvärmare</t>
        </is>
      </c>
      <c r="W55">
        <f>HYPERLINK("https://klasma.github.io/Logging_0821/artfynd/A 17994-2026 artfynd.xlsx", "A 17994-2026")</f>
        <v/>
      </c>
      <c r="X55">
        <f>HYPERLINK("https://klasma.github.io/Logging_0821/kartor/A 17994-2026 karta.png", "A 17994-2026")</f>
        <v/>
      </c>
      <c r="Y55">
        <f>HYPERLINK("https://klasma.github.io/Logging_0821/kartor_geotiff/A 17994-2026 georefererad karta.tif", "A 17994-2026")</f>
        <v/>
      </c>
      <c r="AA55">
        <f>HYPERLINK("https://klasma.github.io/Logging_0821/klagomål/A 17994-2026 FSC-klagomål.docx", "A 17994-2026")</f>
        <v/>
      </c>
      <c r="AB55">
        <f>HYPERLINK("https://klasma.github.io/Logging_0821/klagomålsmail/A 17994-2026 FSC-klagomål mail.docx", "A 17994-2026")</f>
        <v/>
      </c>
      <c r="AC55">
        <f>HYPERLINK("https://klasma.github.io/Logging_0821/tillsyn/A 17994-2026 tillsynsbegäran.docx", "A 17994-2026")</f>
        <v/>
      </c>
      <c r="AD55">
        <f>HYPERLINK("https://klasma.github.io/Logging_0821/tillsynsmail/A 17994-2026 tillsynsbegäran mail.docx", "A 17994-2026")</f>
        <v/>
      </c>
    </row>
    <row r="56" ht="15" customHeight="1">
      <c r="A56" t="inlineStr">
        <is>
          <t>A 19463-2026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46248</v>
      </c>
      <c r="F56" t="inlineStr">
        <is>
          <t>KALMAR LÄN</t>
        </is>
      </c>
      <c r="G56" t="inlineStr">
        <is>
          <t>HÖGSBY</t>
        </is>
      </c>
      <c r="I56" t="n">
        <v>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HYPERLINK("https://klasma.github.io/Logging_0821/artfynd/A 19463-2026 artfynd.xlsx", "A 19463-2026")</f>
        <v/>
      </c>
      <c r="X56">
        <f>HYPERLINK("https://klasma.github.io/Logging_0821/kartor/A 19463-2026 karta.png", "A 19463-2026")</f>
        <v/>
      </c>
      <c r="Y56">
        <f>HYPERLINK("https://klasma.github.io/Logging_0821/kartor_geotiff/A 19463-2026 georefererad karta.tif", "A 19463-2026")</f>
        <v/>
      </c>
      <c r="AA56">
        <f>HYPERLINK("https://klasma.github.io/Logging_0821/klagomål/A 19463-2026 FSC-klagomål.docx", "A 19463-2026")</f>
        <v/>
      </c>
      <c r="AB56">
        <f>HYPERLINK("https://klasma.github.io/Logging_0821/klagomålsmail/A 19463-2026 FSC-klagomål mail.docx", "A 19463-2026")</f>
        <v/>
      </c>
      <c r="AC56">
        <f>HYPERLINK("https://klasma.github.io/Logging_0821/tillsyn/A 19463-2026 tillsynsbegäran.docx", "A 19463-2026")</f>
        <v/>
      </c>
      <c r="AD56">
        <f>HYPERLINK("https://klasma.github.io/Logging_0821/tillsynsmail/A 19463-2026 tillsynsbegäran mail.docx", "A 19463-2026")</f>
        <v/>
      </c>
    </row>
    <row r="57" ht="15" customHeight="1">
      <c r="A57" t="inlineStr">
        <is>
          <t>A 19536-2026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46248</v>
      </c>
      <c r="F57" t="inlineStr">
        <is>
          <t>KALMAR LÄN</t>
        </is>
      </c>
      <c r="G57" t="inlineStr">
        <is>
          <t>HÖGSBY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HYPERLINK("https://klasma.github.io/Logging_0821/artfynd/A 19536-2026 artfynd.xlsx", "A 19536-2026")</f>
        <v/>
      </c>
      <c r="X57">
        <f>HYPERLINK("https://klasma.github.io/Logging_0821/kartor/A 19536-2026 karta.png", "A 19536-2026")</f>
        <v/>
      </c>
      <c r="Y57">
        <f>HYPERLINK("https://klasma.github.io/Logging_0821/kartor_geotiff/A 19536-2026 georefererad karta.tif", "A 19536-2026")</f>
        <v/>
      </c>
      <c r="AA57">
        <f>HYPERLINK("https://klasma.github.io/Logging_0821/klagomål/A 19536-2026 FSC-klagomål.docx", "A 19536-2026")</f>
        <v/>
      </c>
      <c r="AB57">
        <f>HYPERLINK("https://klasma.github.io/Logging_0821/klagomålsmail/A 19536-2026 FSC-klagomål mail.docx", "A 19536-2026")</f>
        <v/>
      </c>
      <c r="AC57">
        <f>HYPERLINK("https://klasma.github.io/Logging_0821/tillsyn/A 19536-2026 tillsynsbegäran.docx", "A 19536-2026")</f>
        <v/>
      </c>
      <c r="AD57">
        <f>HYPERLINK("https://klasma.github.io/Logging_0821/tillsynsmail/A 19536-2026 tillsynsbegäran mail.docx", "A 19536-2026")</f>
        <v/>
      </c>
      <c r="AE57">
        <f>HYPERLINK("https://klasma.github.io/Logging_0821/fåglar/A 19536-2026 prioriterade fågelarter.docx", "A 19536-2026")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46248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Flikig tallfibbla</t>
        </is>
      </c>
      <c r="W58">
        <f>HYPERLINK("https://klasma.github.io/Logging_0821/artfynd/A 38267-2025 artfynd.xlsx", "A 38267-2025")</f>
        <v/>
      </c>
      <c r="X58">
        <f>HYPERLINK("https://klasma.github.io/Logging_0821/kartor/A 38267-2025 karta.png", "A 38267-2025")</f>
        <v/>
      </c>
      <c r="Y58">
        <f>HYPERLINK("https://klasma.github.io/Logging_0821/kartor_geotiff/A 38267-2025 georefererad karta.tif", "A 38267-2025")</f>
        <v/>
      </c>
      <c r="AA58">
        <f>HYPERLINK("https://klasma.github.io/Logging_0821/klagomål/A 38267-2025 FSC-klagomål.docx", "A 38267-2025")</f>
        <v/>
      </c>
      <c r="AB58">
        <f>HYPERLINK("https://klasma.github.io/Logging_0821/klagomålsmail/A 38267-2025 FSC-klagomål mail.docx", "A 38267-2025")</f>
        <v/>
      </c>
      <c r="AC58">
        <f>HYPERLINK("https://klasma.github.io/Logging_0821/tillsyn/A 38267-2025 tillsynsbegäran.docx", "A 38267-2025")</f>
        <v/>
      </c>
      <c r="AD58">
        <f>HYPERLINK("https://klasma.github.io/Logging_0821/tillsynsmail/A 38267-2025 tillsynsbegäran mail.docx", "A 38267-2025")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46248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46248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46248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46248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46248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46248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46248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46248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46248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46248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46248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46248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46248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46248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46248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46248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46248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46248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46248</v>
      </c>
      <c r="F77" t="inlineStr">
        <is>
          <t>KALMAR LÄN</t>
        </is>
      </c>
      <c r="G77" t="inlineStr">
        <is>
          <t>HÖGSBY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46248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46248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46248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44719</v>
      </c>
      <c r="E81" s="1" t="n">
        <v>46248</v>
      </c>
      <c r="F81" t="inlineStr">
        <is>
          <t>KALMAR LÄN</t>
        </is>
      </c>
      <c r="G81" t="inlineStr">
        <is>
          <t>HÖGSBY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46248</v>
      </c>
      <c r="F82" t="inlineStr">
        <is>
          <t>KALMAR LÄN</t>
        </is>
      </c>
      <c r="G82" t="inlineStr">
        <is>
          <t>HÖGSBY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46248</v>
      </c>
      <c r="F83" t="inlineStr">
        <is>
          <t>KALMAR LÄN</t>
        </is>
      </c>
      <c r="G83" t="inlineStr">
        <is>
          <t>HÖGSBY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46248</v>
      </c>
      <c r="F84" t="inlineStr">
        <is>
          <t>KALMAR LÄN</t>
        </is>
      </c>
      <c r="G84" t="inlineStr">
        <is>
          <t>HÖGSBY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46248</v>
      </c>
      <c r="F85" t="inlineStr">
        <is>
          <t>KALMAR LÄN</t>
        </is>
      </c>
      <c r="G85" t="inlineStr">
        <is>
          <t>HÖGSBY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46248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53808-2022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46248</v>
      </c>
      <c r="F87" t="inlineStr">
        <is>
          <t>KALMAR LÄN</t>
        </is>
      </c>
      <c r="G87" t="inlineStr">
        <is>
          <t>HÖGSBY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18398-2022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46248</v>
      </c>
      <c r="F88" t="inlineStr">
        <is>
          <t>KALMAR LÄN</t>
        </is>
      </c>
      <c r="G88" t="inlineStr">
        <is>
          <t>HÖGSBY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46248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46248</v>
      </c>
      <c r="F90" t="inlineStr">
        <is>
          <t>KALMAR LÄN</t>
        </is>
      </c>
      <c r="G90" t="inlineStr">
        <is>
          <t>HÖGSBY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46248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46248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46248</v>
      </c>
      <c r="F93" t="inlineStr">
        <is>
          <t>KALMAR LÄN</t>
        </is>
      </c>
      <c r="G93" t="inlineStr">
        <is>
          <t>HÖGSBY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46248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46248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46248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46248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46248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46248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44895</v>
      </c>
      <c r="E100" s="1" t="n">
        <v>46248</v>
      </c>
      <c r="F100" t="inlineStr">
        <is>
          <t>KALMAR LÄN</t>
        </is>
      </c>
      <c r="G100" t="inlineStr">
        <is>
          <t>HÖGSBY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28648-2023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45103</v>
      </c>
      <c r="E101" s="1" t="n">
        <v>46248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74478-2021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46248</v>
      </c>
      <c r="F102" t="inlineStr">
        <is>
          <t>KALMAR LÄN</t>
        </is>
      </c>
      <c r="G102" t="inlineStr">
        <is>
          <t>HÖGSBY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46248</v>
      </c>
      <c r="F103" t="inlineStr">
        <is>
          <t>KALMAR LÄN</t>
        </is>
      </c>
      <c r="G103" t="inlineStr">
        <is>
          <t>HÖGSBY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38797-2024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45547</v>
      </c>
      <c r="E104" s="1" t="n">
        <v>46248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45190</v>
      </c>
      <c r="E105" s="1" t="n">
        <v>46248</v>
      </c>
      <c r="F105" t="inlineStr">
        <is>
          <t>KALMAR LÄN</t>
        </is>
      </c>
      <c r="G105" t="inlineStr">
        <is>
          <t>HÖGSBY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46248</v>
      </c>
      <c r="F106" t="inlineStr">
        <is>
          <t>KALMAR LÄN</t>
        </is>
      </c>
      <c r="G106" t="inlineStr">
        <is>
          <t>HÖGSBY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46248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73709-2021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44552</v>
      </c>
      <c r="E108" s="1" t="n">
        <v>46248</v>
      </c>
      <c r="F108" t="inlineStr">
        <is>
          <t>KALMAR LÄN</t>
        </is>
      </c>
      <c r="G108" t="inlineStr">
        <is>
          <t>HÖGSBY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45391</v>
      </c>
      <c r="E109" s="1" t="n">
        <v>46248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46248</v>
      </c>
      <c r="F110" t="inlineStr">
        <is>
          <t>KALMAR LÄN</t>
        </is>
      </c>
      <c r="G110" t="inlineStr">
        <is>
          <t>HÖGSBY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44902</v>
      </c>
      <c r="E111" s="1" t="n">
        <v>46248</v>
      </c>
      <c r="F111" t="inlineStr">
        <is>
          <t>KALMAR LÄN</t>
        </is>
      </c>
      <c r="G111" t="inlineStr">
        <is>
          <t>HÖGSBY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46248</v>
      </c>
      <c r="F112" t="inlineStr">
        <is>
          <t>KALMAR LÄN</t>
        </is>
      </c>
      <c r="G112" t="inlineStr">
        <is>
          <t>HÖGSBY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46248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45259</v>
      </c>
      <c r="E114" s="1" t="n">
        <v>46248</v>
      </c>
      <c r="F114" t="inlineStr">
        <is>
          <t>KALMAR LÄN</t>
        </is>
      </c>
      <c r="G114" t="inlineStr">
        <is>
          <t>HÖGSBY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45306</v>
      </c>
      <c r="E115" s="1" t="n">
        <v>46248</v>
      </c>
      <c r="F115" t="inlineStr">
        <is>
          <t>KALMAR LÄN</t>
        </is>
      </c>
      <c r="G115" t="inlineStr">
        <is>
          <t>HÖGSBY</t>
        </is>
      </c>
      <c r="H115" t="inlineStr">
        <is>
          <t>Övriga Aktiebolag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46248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46248</v>
      </c>
      <c r="F117" t="inlineStr">
        <is>
          <t>KALMAR LÄN</t>
        </is>
      </c>
      <c r="G117" t="inlineStr">
        <is>
          <t>HÖGSBY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46248</v>
      </c>
      <c r="F118" t="inlineStr">
        <is>
          <t>KALMAR LÄN</t>
        </is>
      </c>
      <c r="G118" t="inlineStr">
        <is>
          <t>HÖGSBY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59281-2022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44904</v>
      </c>
      <c r="E119" s="1" t="n">
        <v>46248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46248</v>
      </c>
      <c r="F120" t="inlineStr">
        <is>
          <t>KALMAR LÄN</t>
        </is>
      </c>
      <c r="G120" t="inlineStr">
        <is>
          <t>HÖGSBY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46248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46248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46248</v>
      </c>
      <c r="F123" t="inlineStr">
        <is>
          <t>KALMAR LÄN</t>
        </is>
      </c>
      <c r="G123" t="inlineStr">
        <is>
          <t>HÖGSBY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46248</v>
      </c>
      <c r="F124" t="inlineStr">
        <is>
          <t>KALMAR LÄN</t>
        </is>
      </c>
      <c r="G124" t="inlineStr">
        <is>
          <t>HÖGSBY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46248</v>
      </c>
      <c r="F125" t="inlineStr">
        <is>
          <t>KALMAR LÄN</t>
        </is>
      </c>
      <c r="G125" t="inlineStr">
        <is>
          <t>HÖGSBY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37811-2024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45544</v>
      </c>
      <c r="E126" s="1" t="n">
        <v>46248</v>
      </c>
      <c r="F126" t="inlineStr">
        <is>
          <t>KALMAR LÄN</t>
        </is>
      </c>
      <c r="G126" t="inlineStr">
        <is>
          <t>HÖGSBY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46248</v>
      </c>
      <c r="F127" t="inlineStr">
        <is>
          <t>KALMAR LÄN</t>
        </is>
      </c>
      <c r="G127" t="inlineStr">
        <is>
          <t>HÖGSBY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8613-2022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44613</v>
      </c>
      <c r="E128" s="1" t="n">
        <v>46248</v>
      </c>
      <c r="F128" t="inlineStr">
        <is>
          <t>KALMAR LÄN</t>
        </is>
      </c>
      <c r="G128" t="inlineStr">
        <is>
          <t>HÖGSBY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44991</v>
      </c>
      <c r="E129" s="1" t="n">
        <v>46248</v>
      </c>
      <c r="F129" t="inlineStr">
        <is>
          <t>KALMAR LÄN</t>
        </is>
      </c>
      <c r="G129" t="inlineStr">
        <is>
          <t>HÖGSBY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26545-2024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45469</v>
      </c>
      <c r="E130" s="1" t="n">
        <v>46248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45348</v>
      </c>
      <c r="E131" s="1" t="n">
        <v>46248</v>
      </c>
      <c r="F131" t="inlineStr">
        <is>
          <t>KALMAR LÄN</t>
        </is>
      </c>
      <c r="G131" t="inlineStr">
        <is>
          <t>HÖGSBY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46248</v>
      </c>
      <c r="F132" t="inlineStr">
        <is>
          <t>KALMAR LÄN</t>
        </is>
      </c>
      <c r="G132" t="inlineStr">
        <is>
          <t>HÖGSBY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45348</v>
      </c>
      <c r="E133" s="1" t="n">
        <v>46248</v>
      </c>
      <c r="F133" t="inlineStr">
        <is>
          <t>KALMAR LÄN</t>
        </is>
      </c>
      <c r="G133" t="inlineStr">
        <is>
          <t>HÖGSBY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45173</v>
      </c>
      <c r="E134" s="1" t="n">
        <v>46248</v>
      </c>
      <c r="F134" t="inlineStr">
        <is>
          <t>KALMAR LÄN</t>
        </is>
      </c>
      <c r="G134" t="inlineStr">
        <is>
          <t>HÖGSBY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71635-2021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46248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45729</v>
      </c>
      <c r="E136" s="1" t="n">
        <v>46248</v>
      </c>
      <c r="F136" t="inlineStr">
        <is>
          <t>KALMAR LÄN</t>
        </is>
      </c>
      <c r="G136" t="inlineStr">
        <is>
          <t>HÖGSBY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44972</v>
      </c>
      <c r="E137" s="1" t="n">
        <v>46248</v>
      </c>
      <c r="F137" t="inlineStr">
        <is>
          <t>KALMAR LÄN</t>
        </is>
      </c>
      <c r="G137" t="inlineStr">
        <is>
          <t>HÖGSBY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46248</v>
      </c>
      <c r="F138" t="inlineStr">
        <is>
          <t>KALMAR LÄN</t>
        </is>
      </c>
      <c r="G138" t="inlineStr">
        <is>
          <t>HÖGSBY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46248</v>
      </c>
      <c r="F139" t="inlineStr">
        <is>
          <t>KALMAR LÄN</t>
        </is>
      </c>
      <c r="G139" t="inlineStr">
        <is>
          <t>HÖGSBY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45360</v>
      </c>
      <c r="E140" s="1" t="n">
        <v>46248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45228</v>
      </c>
      <c r="E141" s="1" t="n">
        <v>46248</v>
      </c>
      <c r="F141" t="inlineStr">
        <is>
          <t>KALMAR LÄN</t>
        </is>
      </c>
      <c r="G141" t="inlineStr">
        <is>
          <t>HÖGSBY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44907</v>
      </c>
      <c r="E142" s="1" t="n">
        <v>46248</v>
      </c>
      <c r="F142" t="inlineStr">
        <is>
          <t>KALMAR LÄN</t>
        </is>
      </c>
      <c r="G142" t="inlineStr">
        <is>
          <t>HÖGSBY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46248</v>
      </c>
      <c r="F143" t="inlineStr">
        <is>
          <t>KALMAR LÄN</t>
        </is>
      </c>
      <c r="G143" t="inlineStr">
        <is>
          <t>HÖGSBY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46248</v>
      </c>
      <c r="F144" t="inlineStr">
        <is>
          <t>KALMAR LÄN</t>
        </is>
      </c>
      <c r="G144" t="inlineStr">
        <is>
          <t>HÖGSBY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45447</v>
      </c>
      <c r="E145" s="1" t="n">
        <v>46248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45622</v>
      </c>
      <c r="E146" s="1" t="n">
        <v>46248</v>
      </c>
      <c r="F146" t="inlineStr">
        <is>
          <t>KALMAR LÄN</t>
        </is>
      </c>
      <c r="G146" t="inlineStr">
        <is>
          <t>HÖGSBY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46248</v>
      </c>
      <c r="F147" t="inlineStr">
        <is>
          <t>KALMAR LÄN</t>
        </is>
      </c>
      <c r="G147" t="inlineStr">
        <is>
          <t>HÖGSBY</t>
        </is>
      </c>
      <c r="H147" t="inlineStr">
        <is>
          <t>Övriga Aktiebolag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46248</v>
      </c>
      <c r="F148" t="inlineStr">
        <is>
          <t>KALMAR LÄN</t>
        </is>
      </c>
      <c r="G148" t="inlineStr">
        <is>
          <t>HÖGSBY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46248</v>
      </c>
      <c r="F149" t="inlineStr">
        <is>
          <t>KALMAR LÄN</t>
        </is>
      </c>
      <c r="G149" t="inlineStr">
        <is>
          <t>HÖGSBY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45114</v>
      </c>
      <c r="E150" s="1" t="n">
        <v>46248</v>
      </c>
      <c r="F150" t="inlineStr">
        <is>
          <t>KALMAR LÄN</t>
        </is>
      </c>
      <c r="G150" t="inlineStr">
        <is>
          <t>HÖGSBY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57000-2024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45626</v>
      </c>
      <c r="E151" s="1" t="n">
        <v>46248</v>
      </c>
      <c r="F151" t="inlineStr">
        <is>
          <t>KALMAR LÄN</t>
        </is>
      </c>
      <c r="G151" t="inlineStr">
        <is>
          <t>HÖGSBY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46248</v>
      </c>
      <c r="F152" t="inlineStr">
        <is>
          <t>KALMAR LÄN</t>
        </is>
      </c>
      <c r="G152" t="inlineStr">
        <is>
          <t>HÖGSBY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44991</v>
      </c>
      <c r="E153" s="1" t="n">
        <v>46248</v>
      </c>
      <c r="F153" t="inlineStr">
        <is>
          <t>KALMAR LÄN</t>
        </is>
      </c>
      <c r="G153" t="inlineStr">
        <is>
          <t>HÖGSBY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46248</v>
      </c>
      <c r="F154" t="inlineStr">
        <is>
          <t>KALMAR LÄN</t>
        </is>
      </c>
      <c r="G154" t="inlineStr">
        <is>
          <t>HÖGSBY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49338-2022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46248</v>
      </c>
      <c r="F155" t="inlineStr">
        <is>
          <t>KALMAR LÄN</t>
        </is>
      </c>
      <c r="G155" t="inlineStr">
        <is>
          <t>HÖGSBY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44993</v>
      </c>
      <c r="E156" s="1" t="n">
        <v>46248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7325-2025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45702</v>
      </c>
      <c r="E157" s="1" t="n">
        <v>46248</v>
      </c>
      <c r="F157" t="inlineStr">
        <is>
          <t>KALMAR LÄN</t>
        </is>
      </c>
      <c r="G157" t="inlineStr">
        <is>
          <t>HÖGSBY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46248</v>
      </c>
      <c r="F158" t="inlineStr">
        <is>
          <t>KALMAR LÄN</t>
        </is>
      </c>
      <c r="G158" t="inlineStr">
        <is>
          <t>HÖGSBY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44601</v>
      </c>
      <c r="E159" s="1" t="n">
        <v>46248</v>
      </c>
      <c r="F159" t="inlineStr">
        <is>
          <t>KALMAR LÄN</t>
        </is>
      </c>
      <c r="G159" t="inlineStr">
        <is>
          <t>HÖGSBY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46248</v>
      </c>
      <c r="F160" t="inlineStr">
        <is>
          <t>KALMAR LÄN</t>
        </is>
      </c>
      <c r="G160" t="inlineStr">
        <is>
          <t>HÖGSBY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45160</v>
      </c>
      <c r="E161" s="1" t="n">
        <v>46248</v>
      </c>
      <c r="F161" t="inlineStr">
        <is>
          <t>KALMAR LÄN</t>
        </is>
      </c>
      <c r="G161" t="inlineStr">
        <is>
          <t>HÖGSBY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46248</v>
      </c>
      <c r="F162" t="inlineStr">
        <is>
          <t>KALMAR LÄN</t>
        </is>
      </c>
      <c r="G162" t="inlineStr">
        <is>
          <t>HÖGSBY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45222</v>
      </c>
      <c r="E163" s="1" t="n">
        <v>46248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46248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46248</v>
      </c>
      <c r="F165" t="inlineStr">
        <is>
          <t>KALMAR LÄN</t>
        </is>
      </c>
      <c r="G165" t="inlineStr">
        <is>
          <t>HÖGSBY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45175</v>
      </c>
      <c r="E166" s="1" t="n">
        <v>46248</v>
      </c>
      <c r="F166" t="inlineStr">
        <is>
          <t>KALMAR LÄN</t>
        </is>
      </c>
      <c r="G166" t="inlineStr">
        <is>
          <t>HÖGSBY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44625</v>
      </c>
      <c r="E167" s="1" t="n">
        <v>46248</v>
      </c>
      <c r="F167" t="inlineStr">
        <is>
          <t>KALMAR LÄN</t>
        </is>
      </c>
      <c r="G167" t="inlineStr">
        <is>
          <t>HÖGSBY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44625</v>
      </c>
      <c r="E168" s="1" t="n">
        <v>46248</v>
      </c>
      <c r="F168" t="inlineStr">
        <is>
          <t>KALMAR LÄN</t>
        </is>
      </c>
      <c r="G168" t="inlineStr">
        <is>
          <t>HÖGSBY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46248</v>
      </c>
      <c r="F169" t="inlineStr">
        <is>
          <t>KALMAR LÄN</t>
        </is>
      </c>
      <c r="G169" t="inlineStr">
        <is>
          <t>HÖGSBY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44623</v>
      </c>
      <c r="E170" s="1" t="n">
        <v>46248</v>
      </c>
      <c r="F170" t="inlineStr">
        <is>
          <t>KALMAR LÄN</t>
        </is>
      </c>
      <c r="G170" t="inlineStr">
        <is>
          <t>HÖGSBY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45546</v>
      </c>
      <c r="E171" s="1" t="n">
        <v>46248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46248</v>
      </c>
      <c r="F172" t="inlineStr">
        <is>
          <t>KALMAR LÄN</t>
        </is>
      </c>
      <c r="G172" t="inlineStr">
        <is>
          <t>HÖGSBY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38802-2024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45547</v>
      </c>
      <c r="E173" s="1" t="n">
        <v>46248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46248</v>
      </c>
      <c r="F174" t="inlineStr">
        <is>
          <t>KALMAR LÄN</t>
        </is>
      </c>
      <c r="G174" t="inlineStr">
        <is>
          <t>HÖGSBY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45040</v>
      </c>
      <c r="E175" s="1" t="n">
        <v>46248</v>
      </c>
      <c r="F175" t="inlineStr">
        <is>
          <t>KALMAR LÄN</t>
        </is>
      </c>
      <c r="G175" t="inlineStr">
        <is>
          <t>HÖGSBY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46248</v>
      </c>
      <c r="F176" t="inlineStr">
        <is>
          <t>KALMAR LÄN</t>
        </is>
      </c>
      <c r="G176" t="inlineStr">
        <is>
          <t>HÖGSBY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45239</v>
      </c>
      <c r="E177" s="1" t="n">
        <v>46248</v>
      </c>
      <c r="F177" t="inlineStr">
        <is>
          <t>KALMAR LÄN</t>
        </is>
      </c>
      <c r="G177" t="inlineStr">
        <is>
          <t>HÖGSBY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46248</v>
      </c>
      <c r="F178" t="inlineStr">
        <is>
          <t>KALMAR LÄN</t>
        </is>
      </c>
      <c r="G178" t="inlineStr">
        <is>
          <t>HÖGSBY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45393</v>
      </c>
      <c r="E179" s="1" t="n">
        <v>46248</v>
      </c>
      <c r="F179" t="inlineStr">
        <is>
          <t>KALMAR LÄN</t>
        </is>
      </c>
      <c r="G179" t="inlineStr">
        <is>
          <t>HÖGSBY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44809</v>
      </c>
      <c r="E180" s="1" t="n">
        <v>46248</v>
      </c>
      <c r="F180" t="inlineStr">
        <is>
          <t>KALMAR LÄN</t>
        </is>
      </c>
      <c r="G180" t="inlineStr">
        <is>
          <t>HÖGSBY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46248</v>
      </c>
      <c r="F181" t="inlineStr">
        <is>
          <t>KALMAR LÄN</t>
        </is>
      </c>
      <c r="G181" t="inlineStr">
        <is>
          <t>HÖGSBY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46248</v>
      </c>
      <c r="F182" t="inlineStr">
        <is>
          <t>KALMAR LÄN</t>
        </is>
      </c>
      <c r="G182" t="inlineStr">
        <is>
          <t>HÖGSBY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17185-2022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44677</v>
      </c>
      <c r="E183" s="1" t="n">
        <v>46248</v>
      </c>
      <c r="F183" t="inlineStr">
        <is>
          <t>KALMAR LÄN</t>
        </is>
      </c>
      <c r="G183" t="inlineStr">
        <is>
          <t>HÖGSBY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44981</v>
      </c>
      <c r="E184" s="1" t="n">
        <v>46248</v>
      </c>
      <c r="F184" t="inlineStr">
        <is>
          <t>KALMAR LÄN</t>
        </is>
      </c>
      <c r="G184" t="inlineStr">
        <is>
          <t>HÖGSBY</t>
        </is>
      </c>
      <c r="H184" t="inlineStr">
        <is>
          <t>Övriga Aktiebolag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46248</v>
      </c>
      <c r="F185" t="inlineStr">
        <is>
          <t>KALMAR LÄN</t>
        </is>
      </c>
      <c r="G185" t="inlineStr">
        <is>
          <t>HÖGSBY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45034</v>
      </c>
      <c r="E186" s="1" t="n">
        <v>46248</v>
      </c>
      <c r="F186" t="inlineStr">
        <is>
          <t>KALMAR LÄN</t>
        </is>
      </c>
      <c r="G186" t="inlineStr">
        <is>
          <t>HÖGSBY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60555-2021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44496</v>
      </c>
      <c r="E187" s="1" t="n">
        <v>46248</v>
      </c>
      <c r="F187" t="inlineStr">
        <is>
          <t>KALMAR LÄN</t>
        </is>
      </c>
      <c r="G187" t="inlineStr">
        <is>
          <t>HÖGSBY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46248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45749</v>
      </c>
      <c r="E189" s="1" t="n">
        <v>46248</v>
      </c>
      <c r="F189" t="inlineStr">
        <is>
          <t>KALMAR LÄN</t>
        </is>
      </c>
      <c r="G189" t="inlineStr">
        <is>
          <t>HÖGSBY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45247</v>
      </c>
      <c r="E190" s="1" t="n">
        <v>46248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44861</v>
      </c>
      <c r="E191" s="1" t="n">
        <v>46248</v>
      </c>
      <c r="F191" t="inlineStr">
        <is>
          <t>KALMAR LÄN</t>
        </is>
      </c>
      <c r="G191" t="inlineStr">
        <is>
          <t>HÖGSBY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46248</v>
      </c>
      <c r="F192" t="inlineStr">
        <is>
          <t>KALMAR LÄN</t>
        </is>
      </c>
      <c r="G192" t="inlineStr">
        <is>
          <t>HÖGSBY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45090</v>
      </c>
      <c r="E193" s="1" t="n">
        <v>46248</v>
      </c>
      <c r="F193" t="inlineStr">
        <is>
          <t>KALMAR LÄN</t>
        </is>
      </c>
      <c r="G193" t="inlineStr">
        <is>
          <t>HÖGSBY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46248</v>
      </c>
      <c r="F194" t="inlineStr">
        <is>
          <t>KALMAR LÄN</t>
        </is>
      </c>
      <c r="G194" t="inlineStr">
        <is>
          <t>HÖGSBY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46248</v>
      </c>
      <c r="F195" t="inlineStr">
        <is>
          <t>KALMAR LÄN</t>
        </is>
      </c>
      <c r="G195" t="inlineStr">
        <is>
          <t>HÖGSBY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45414</v>
      </c>
      <c r="E196" s="1" t="n">
        <v>46248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46248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46248</v>
      </c>
      <c r="F198" t="inlineStr">
        <is>
          <t>KALMAR LÄN</t>
        </is>
      </c>
      <c r="G198" t="inlineStr">
        <is>
          <t>HÖGSBY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30294-2022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46248</v>
      </c>
      <c r="F199" t="inlineStr">
        <is>
          <t>KALMAR LÄN</t>
        </is>
      </c>
      <c r="G199" t="inlineStr">
        <is>
          <t>HÖGSBY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46248</v>
      </c>
      <c r="F200" t="inlineStr">
        <is>
          <t>KALMAR LÄN</t>
        </is>
      </c>
      <c r="G200" t="inlineStr">
        <is>
          <t>HÖGSBY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46248</v>
      </c>
      <c r="F201" t="inlineStr">
        <is>
          <t>KALMAR LÄN</t>
        </is>
      </c>
      <c r="G201" t="inlineStr">
        <is>
          <t>HÖGSBY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46248</v>
      </c>
      <c r="F202" t="inlineStr">
        <is>
          <t>KALMAR LÄN</t>
        </is>
      </c>
      <c r="G202" t="inlineStr">
        <is>
          <t>HÖGSBY</t>
        </is>
      </c>
      <c r="I202" t="n">
        <v>8.699999999999999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46248</v>
      </c>
      <c r="F203" t="inlineStr">
        <is>
          <t>KALMAR LÄN</t>
        </is>
      </c>
      <c r="G203" t="inlineStr">
        <is>
          <t>HÖGSBY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46248</v>
      </c>
      <c r="F204" t="inlineStr">
        <is>
          <t>KALMAR LÄN</t>
        </is>
      </c>
      <c r="G204" t="inlineStr">
        <is>
          <t>HÖGSBY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46248</v>
      </c>
      <c r="F205" t="inlineStr">
        <is>
          <t>KALMAR LÄN</t>
        </is>
      </c>
      <c r="G205" t="inlineStr">
        <is>
          <t>HÖGSBY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44886</v>
      </c>
      <c r="E206" s="1" t="n">
        <v>46248</v>
      </c>
      <c r="F206" t="inlineStr">
        <is>
          <t>KALMAR LÄN</t>
        </is>
      </c>
      <c r="G206" t="inlineStr">
        <is>
          <t>HÖGSBY</t>
        </is>
      </c>
      <c r="H206" t="inlineStr">
        <is>
          <t>Kyrkan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46248</v>
      </c>
      <c r="F207" t="inlineStr">
        <is>
          <t>KALMAR LÄN</t>
        </is>
      </c>
      <c r="G207" t="inlineStr">
        <is>
          <t>HÖGSBY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46248</v>
      </c>
      <c r="F208" t="inlineStr">
        <is>
          <t>KALMAR LÄN</t>
        </is>
      </c>
      <c r="G208" t="inlineStr">
        <is>
          <t>HÖGSBY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45189</v>
      </c>
      <c r="E209" s="1" t="n">
        <v>46248</v>
      </c>
      <c r="F209" t="inlineStr">
        <is>
          <t>KALMAR LÄN</t>
        </is>
      </c>
      <c r="G209" t="inlineStr">
        <is>
          <t>HÖGSBY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36909-2023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46248</v>
      </c>
      <c r="F210" t="inlineStr">
        <is>
          <t>KALMAR LÄN</t>
        </is>
      </c>
      <c r="G210" t="inlineStr">
        <is>
          <t>HÖGSBY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46248</v>
      </c>
      <c r="F211" t="inlineStr">
        <is>
          <t>KALMAR LÄN</t>
        </is>
      </c>
      <c r="G211" t="inlineStr">
        <is>
          <t>HÖGSBY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45393</v>
      </c>
      <c r="E212" s="1" t="n">
        <v>46248</v>
      </c>
      <c r="F212" t="inlineStr">
        <is>
          <t>KALMAR LÄN</t>
        </is>
      </c>
      <c r="G212" t="inlineStr">
        <is>
          <t>HÖGSBY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44924</v>
      </c>
      <c r="E213" s="1" t="n">
        <v>46248</v>
      </c>
      <c r="F213" t="inlineStr">
        <is>
          <t>KALMAR LÄN</t>
        </is>
      </c>
      <c r="G213" t="inlineStr">
        <is>
          <t>HÖGSBY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46248</v>
      </c>
      <c r="F214" t="inlineStr">
        <is>
          <t>KALMAR LÄN</t>
        </is>
      </c>
      <c r="G214" t="inlineStr">
        <is>
          <t>HÖGSBY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46248</v>
      </c>
      <c r="F215" t="inlineStr">
        <is>
          <t>KALMAR LÄN</t>
        </is>
      </c>
      <c r="G215" t="inlineStr">
        <is>
          <t>HÖGSBY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57006-2024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45626</v>
      </c>
      <c r="E216" s="1" t="n">
        <v>46248</v>
      </c>
      <c r="F216" t="inlineStr">
        <is>
          <t>KALMAR LÄN</t>
        </is>
      </c>
      <c r="G216" t="inlineStr">
        <is>
          <t>HÖGSBY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46248</v>
      </c>
      <c r="F217" t="inlineStr">
        <is>
          <t>KALMAR LÄN</t>
        </is>
      </c>
      <c r="G217" t="inlineStr">
        <is>
          <t>HÖGSBY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60853-2021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44496</v>
      </c>
      <c r="E218" s="1" t="n">
        <v>46248</v>
      </c>
      <c r="F218" t="inlineStr">
        <is>
          <t>KALMAR LÄN</t>
        </is>
      </c>
      <c r="G218" t="inlineStr">
        <is>
          <t>HÖGSBY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53129-2022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44876</v>
      </c>
      <c r="E219" s="1" t="n">
        <v>46248</v>
      </c>
      <c r="F219" t="inlineStr">
        <is>
          <t>KALMAR LÄN</t>
        </is>
      </c>
      <c r="G219" t="inlineStr">
        <is>
          <t>HÖGSBY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46248</v>
      </c>
      <c r="F220" t="inlineStr">
        <is>
          <t>KALMAR LÄN</t>
        </is>
      </c>
      <c r="G220" t="inlineStr">
        <is>
          <t>HÖGSBY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45552</v>
      </c>
      <c r="E221" s="1" t="n">
        <v>46248</v>
      </c>
      <c r="F221" t="inlineStr">
        <is>
          <t>KALMAR LÄN</t>
        </is>
      </c>
      <c r="G221" t="inlineStr">
        <is>
          <t>HÖGSBY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44999</v>
      </c>
      <c r="E222" s="1" t="n">
        <v>46248</v>
      </c>
      <c r="F222" t="inlineStr">
        <is>
          <t>KALMAR LÄN</t>
        </is>
      </c>
      <c r="G222" t="inlineStr">
        <is>
          <t>HÖGSBY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32049-2023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45119</v>
      </c>
      <c r="E223" s="1" t="n">
        <v>46248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45274</v>
      </c>
      <c r="E224" s="1" t="n">
        <v>46248</v>
      </c>
      <c r="F224" t="inlineStr">
        <is>
          <t>KALMAR LÄN</t>
        </is>
      </c>
      <c r="G224" t="inlineStr">
        <is>
          <t>HÖGSBY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54238-2021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44470</v>
      </c>
      <c r="E225" s="1" t="n">
        <v>46248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46248</v>
      </c>
      <c r="F226" t="inlineStr">
        <is>
          <t>KALMAR LÄN</t>
        </is>
      </c>
      <c r="G226" t="inlineStr">
        <is>
          <t>HÖGSBY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46248</v>
      </c>
      <c r="F227" t="inlineStr">
        <is>
          <t>KALMAR LÄN</t>
        </is>
      </c>
      <c r="G227" t="inlineStr">
        <is>
          <t>HÖGSBY</t>
        </is>
      </c>
      <c r="H227" t="inlineStr">
        <is>
          <t>Övriga Aktiebolag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38824-2024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45547</v>
      </c>
      <c r="E228" s="1" t="n">
        <v>46248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45176</v>
      </c>
      <c r="E229" s="1" t="n">
        <v>46248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45600</v>
      </c>
      <c r="E230" s="1" t="n">
        <v>46248</v>
      </c>
      <c r="F230" t="inlineStr">
        <is>
          <t>KALMAR LÄN</t>
        </is>
      </c>
      <c r="G230" t="inlineStr">
        <is>
          <t>HÖGSBY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45546</v>
      </c>
      <c r="E231" s="1" t="n">
        <v>46248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45341</v>
      </c>
      <c r="E232" s="1" t="n">
        <v>46248</v>
      </c>
      <c r="F232" t="inlineStr">
        <is>
          <t>KALMAR LÄN</t>
        </is>
      </c>
      <c r="G232" t="inlineStr">
        <is>
          <t>HÖGSBY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46248</v>
      </c>
      <c r="F233" t="inlineStr">
        <is>
          <t>KALMAR LÄN</t>
        </is>
      </c>
      <c r="G233" t="inlineStr">
        <is>
          <t>HÖGSBY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49486-2022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44861</v>
      </c>
      <c r="E234" s="1" t="n">
        <v>46248</v>
      </c>
      <c r="F234" t="inlineStr">
        <is>
          <t>KALMAR LÄN</t>
        </is>
      </c>
      <c r="G234" t="inlineStr">
        <is>
          <t>HÖGSBY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46248</v>
      </c>
      <c r="F235" t="inlineStr">
        <is>
          <t>KALMAR LÄN</t>
        </is>
      </c>
      <c r="G235" t="inlineStr">
        <is>
          <t>HÖGSBY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46248</v>
      </c>
      <c r="F236" t="inlineStr">
        <is>
          <t>KALMAR LÄN</t>
        </is>
      </c>
      <c r="G236" t="inlineStr">
        <is>
          <t>HÖGSBY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65130-2023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45288</v>
      </c>
      <c r="E237" s="1" t="n">
        <v>46248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46248</v>
      </c>
      <c r="F238" t="inlineStr">
        <is>
          <t>KALMAR LÄN</t>
        </is>
      </c>
      <c r="G238" t="inlineStr">
        <is>
          <t>HÖGSBY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22688-2025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45789</v>
      </c>
      <c r="E239" s="1" t="n">
        <v>46248</v>
      </c>
      <c r="F239" t="inlineStr">
        <is>
          <t>KALMAR LÄN</t>
        </is>
      </c>
      <c r="G239" t="inlineStr">
        <is>
          <t>HÖGSBY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46248</v>
      </c>
      <c r="F240" t="inlineStr">
        <is>
          <t>KALMAR LÄN</t>
        </is>
      </c>
      <c r="G240" t="inlineStr">
        <is>
          <t>HÖGSBY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46248</v>
      </c>
      <c r="F241" t="inlineStr">
        <is>
          <t>KALMAR LÄN</t>
        </is>
      </c>
      <c r="G241" t="inlineStr">
        <is>
          <t>HÖGSBY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25223-2022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44729</v>
      </c>
      <c r="E242" s="1" t="n">
        <v>46248</v>
      </c>
      <c r="F242" t="inlineStr">
        <is>
          <t>KALMAR LÄN</t>
        </is>
      </c>
      <c r="G242" t="inlineStr">
        <is>
          <t>HÖGSBY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55697-2023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45239</v>
      </c>
      <c r="E243" s="1" t="n">
        <v>46248</v>
      </c>
      <c r="F243" t="inlineStr">
        <is>
          <t>KALMAR LÄN</t>
        </is>
      </c>
      <c r="G243" t="inlineStr">
        <is>
          <t>HÖGSBY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46248</v>
      </c>
      <c r="F244" t="inlineStr">
        <is>
          <t>KALMAR LÄN</t>
        </is>
      </c>
      <c r="G244" t="inlineStr">
        <is>
          <t>HÖGSBY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45707</v>
      </c>
      <c r="E245" s="1" t="n">
        <v>46248</v>
      </c>
      <c r="F245" t="inlineStr">
        <is>
          <t>KALMAR LÄN</t>
        </is>
      </c>
      <c r="G245" t="inlineStr">
        <is>
          <t>HÖGSBY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46248</v>
      </c>
      <c r="F246" t="inlineStr">
        <is>
          <t>KALMAR LÄN</t>
        </is>
      </c>
      <c r="G246" t="inlineStr">
        <is>
          <t>HÖGSBY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46248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44809</v>
      </c>
      <c r="E248" s="1" t="n">
        <v>46248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46248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46248</v>
      </c>
      <c r="F250" t="inlineStr">
        <is>
          <t>KALMAR LÄN</t>
        </is>
      </c>
      <c r="G250" t="inlineStr">
        <is>
          <t>HÖGSBY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46248</v>
      </c>
      <c r="F251" t="inlineStr">
        <is>
          <t>KALMAR LÄN</t>
        </is>
      </c>
      <c r="G251" t="inlineStr">
        <is>
          <t>HÖGSBY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46248</v>
      </c>
      <c r="F252" t="inlineStr">
        <is>
          <t>KALMAR LÄN</t>
        </is>
      </c>
      <c r="G252" t="inlineStr">
        <is>
          <t>HÖGSBY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46248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56339-2024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45624</v>
      </c>
      <c r="E254" s="1" t="n">
        <v>46248</v>
      </c>
      <c r="F254" t="inlineStr">
        <is>
          <t>KALMAR LÄN</t>
        </is>
      </c>
      <c r="G254" t="inlineStr">
        <is>
          <t>HÖGSBY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46248</v>
      </c>
      <c r="F255" t="inlineStr">
        <is>
          <t>KALMAR LÄN</t>
        </is>
      </c>
      <c r="G255" t="inlineStr">
        <is>
          <t>HÖGSBY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45544</v>
      </c>
      <c r="E256" s="1" t="n">
        <v>46248</v>
      </c>
      <c r="F256" t="inlineStr">
        <is>
          <t>KALMAR LÄN</t>
        </is>
      </c>
      <c r="G256" t="inlineStr">
        <is>
          <t>HÖGSBY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46248</v>
      </c>
      <c r="F257" t="inlineStr">
        <is>
          <t>KALMAR LÄN</t>
        </is>
      </c>
      <c r="G257" t="inlineStr">
        <is>
          <t>HÖGSBY</t>
        </is>
      </c>
      <c r="H257" t="inlineStr">
        <is>
          <t>Övriga Aktiebolag</t>
        </is>
      </c>
      <c r="I257" t="n">
        <v>15.2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46248</v>
      </c>
      <c r="F258" t="inlineStr">
        <is>
          <t>KALMAR LÄN</t>
        </is>
      </c>
      <c r="G258" t="inlineStr">
        <is>
          <t>HÖGSBY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45203</v>
      </c>
      <c r="E259" s="1" t="n">
        <v>46248</v>
      </c>
      <c r="F259" t="inlineStr">
        <is>
          <t>KALMAR LÄN</t>
        </is>
      </c>
      <c r="G259" t="inlineStr">
        <is>
          <t>HÖGSBY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46248</v>
      </c>
      <c r="F260" t="inlineStr">
        <is>
          <t>KALMAR LÄN</t>
        </is>
      </c>
      <c r="G260" t="inlineStr">
        <is>
          <t>HÖGSBY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44939</v>
      </c>
      <c r="E261" s="1" t="n">
        <v>46248</v>
      </c>
      <c r="F261" t="inlineStr">
        <is>
          <t>KALMAR LÄN</t>
        </is>
      </c>
      <c r="G261" t="inlineStr">
        <is>
          <t>HÖGSBY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45804</v>
      </c>
      <c r="E262" s="1" t="n">
        <v>46248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46248</v>
      </c>
      <c r="F263" t="inlineStr">
        <is>
          <t>KALMAR LÄN</t>
        </is>
      </c>
      <c r="G263" t="inlineStr">
        <is>
          <t>HÖGSBY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45847</v>
      </c>
      <c r="E264" s="1" t="n">
        <v>46248</v>
      </c>
      <c r="F264" t="inlineStr">
        <is>
          <t>KALMAR LÄN</t>
        </is>
      </c>
      <c r="G264" t="inlineStr">
        <is>
          <t>HÖGSBY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45581</v>
      </c>
      <c r="E265" s="1" t="n">
        <v>46248</v>
      </c>
      <c r="F265" t="inlineStr">
        <is>
          <t>KALMAR LÄN</t>
        </is>
      </c>
      <c r="G265" t="inlineStr">
        <is>
          <t>HÖGSBY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45692</v>
      </c>
      <c r="E266" s="1" t="n">
        <v>46248</v>
      </c>
      <c r="F266" t="inlineStr">
        <is>
          <t>KALMAR LÄN</t>
        </is>
      </c>
      <c r="G266" t="inlineStr">
        <is>
          <t>HÖGSBY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45847</v>
      </c>
      <c r="E267" s="1" t="n">
        <v>46248</v>
      </c>
      <c r="F267" t="inlineStr">
        <is>
          <t>KALMAR LÄN</t>
        </is>
      </c>
      <c r="G267" t="inlineStr">
        <is>
          <t>HÖGSBY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46248</v>
      </c>
      <c r="F268" t="inlineStr">
        <is>
          <t>KALMAR LÄN</t>
        </is>
      </c>
      <c r="G268" t="inlineStr">
        <is>
          <t>HÖGSBY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45554</v>
      </c>
      <c r="E269" s="1" t="n">
        <v>46248</v>
      </c>
      <c r="F269" t="inlineStr">
        <is>
          <t>KALMAR LÄN</t>
        </is>
      </c>
      <c r="G269" t="inlineStr">
        <is>
          <t>HÖGSBY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44866</v>
      </c>
      <c r="E270" s="1" t="n">
        <v>46248</v>
      </c>
      <c r="F270" t="inlineStr">
        <is>
          <t>KALMAR LÄN</t>
        </is>
      </c>
      <c r="G270" t="inlineStr">
        <is>
          <t>HÖGSBY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59581-2024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46248</v>
      </c>
      <c r="F271" t="inlineStr">
        <is>
          <t>KALMAR LÄN</t>
        </is>
      </c>
      <c r="G271" t="inlineStr">
        <is>
          <t>HÖGSBY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45307</v>
      </c>
      <c r="E272" s="1" t="n">
        <v>46248</v>
      </c>
      <c r="F272" t="inlineStr">
        <is>
          <t>KALMAR LÄN</t>
        </is>
      </c>
      <c r="G272" t="inlineStr">
        <is>
          <t>HÖGSBY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34078-2024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45523</v>
      </c>
      <c r="E273" s="1" t="n">
        <v>46248</v>
      </c>
      <c r="F273" t="inlineStr">
        <is>
          <t>KALMAR LÄN</t>
        </is>
      </c>
      <c r="G273" t="inlineStr">
        <is>
          <t>HÖGSBY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38068-2025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45882</v>
      </c>
      <c r="E274" s="1" t="n">
        <v>46248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46248</v>
      </c>
      <c r="F275" t="inlineStr">
        <is>
          <t>KALMAR LÄN</t>
        </is>
      </c>
      <c r="G275" t="inlineStr">
        <is>
          <t>HÖGSBY</t>
        </is>
      </c>
      <c r="H275" t="inlineStr">
        <is>
          <t>Kommuner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45782</v>
      </c>
      <c r="E276" s="1" t="n">
        <v>46248</v>
      </c>
      <c r="F276" t="inlineStr">
        <is>
          <t>KALMAR LÄN</t>
        </is>
      </c>
      <c r="G276" t="inlineStr">
        <is>
          <t>HÖGSBY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46248</v>
      </c>
      <c r="F277" t="inlineStr">
        <is>
          <t>KALMAR LÄN</t>
        </is>
      </c>
      <c r="G277" t="inlineStr">
        <is>
          <t>HÖGSBY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22562-2026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46155</v>
      </c>
      <c r="E278" s="1" t="n">
        <v>46248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22564-2026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46155</v>
      </c>
      <c r="E279" s="1" t="n">
        <v>46248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46248</v>
      </c>
      <c r="F280" t="inlineStr">
        <is>
          <t>KALMAR LÄN</t>
        </is>
      </c>
      <c r="G280" t="inlineStr">
        <is>
          <t>HÖGSBY</t>
        </is>
      </c>
      <c r="H280" t="inlineStr">
        <is>
          <t>Kyrkan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46248</v>
      </c>
      <c r="F281" t="inlineStr">
        <is>
          <t>KALMAR LÄN</t>
        </is>
      </c>
      <c r="G281" t="inlineStr">
        <is>
          <t>HÖGSBY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45554</v>
      </c>
      <c r="E282" s="1" t="n">
        <v>46248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  <c r="Z282">
        <f>HYPERLINK("https://klasma.github.io/Logging_0821/knärot/A 40137-2024 karta knärot.png", "A 40137-2024")</f>
        <v/>
      </c>
      <c r="AA282">
        <f>HYPERLINK("https://klasma.github.io/Logging_0821/klagomål/A 40137-2024 FSC-klagomål.docx", "A 40137-2024")</f>
        <v/>
      </c>
      <c r="AB282">
        <f>HYPERLINK("https://klasma.github.io/Logging_0821/klagomålsmail/A 40137-2024 FSC-klagomål mail.docx", "A 40137-2024")</f>
        <v/>
      </c>
      <c r="AC282">
        <f>HYPERLINK("https://klasma.github.io/Logging_0821/tillsyn/A 40137-2024 tillsynsbegäran.docx", "A 40137-2024")</f>
        <v/>
      </c>
      <c r="AD282">
        <f>HYPERLINK("https://klasma.github.io/Logging_0821/tillsynsmail/A 40137-2024 tillsynsbegäran mail.docx", "A 40137-2024")</f>
        <v/>
      </c>
    </row>
    <row r="283" ht="15" customHeight="1">
      <c r="A283" t="inlineStr">
        <is>
          <t>A 22755-2026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46157</v>
      </c>
      <c r="E283" s="1" t="n">
        <v>46248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22757-2026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46157</v>
      </c>
      <c r="E284" s="1" t="n">
        <v>46248</v>
      </c>
      <c r="F284" t="inlineStr">
        <is>
          <t>KALMAR LÄN</t>
        </is>
      </c>
      <c r="G284" t="inlineStr">
        <is>
          <t>HÖGSBY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46161</v>
      </c>
      <c r="E285" s="1" t="n">
        <v>46248</v>
      </c>
      <c r="F285" t="inlineStr">
        <is>
          <t>KALMAR LÄN</t>
        </is>
      </c>
      <c r="G285" t="inlineStr">
        <is>
          <t>HÖGSBY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46248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46248</v>
      </c>
      <c r="F287" t="inlineStr">
        <is>
          <t>KALMAR LÄN</t>
        </is>
      </c>
      <c r="G287" t="inlineStr">
        <is>
          <t>HÖGSBY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46248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46248</v>
      </c>
      <c r="F289" t="inlineStr">
        <is>
          <t>KALMAR LÄN</t>
        </is>
      </c>
      <c r="G289" t="inlineStr">
        <is>
          <t>HÖGSBY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46248</v>
      </c>
      <c r="F290" t="inlineStr">
        <is>
          <t>KALMAR LÄN</t>
        </is>
      </c>
      <c r="G290" t="inlineStr">
        <is>
          <t>HÖGSBY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23937-2026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46167</v>
      </c>
      <c r="E291" s="1" t="n">
        <v>46248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46248</v>
      </c>
      <c r="F292" t="inlineStr">
        <is>
          <t>KALMAR LÄN</t>
        </is>
      </c>
      <c r="G292" t="inlineStr">
        <is>
          <t>HÖGSBY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46248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46248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46248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46248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46248</v>
      </c>
      <c r="F297" t="inlineStr">
        <is>
          <t>KALMAR LÄN</t>
        </is>
      </c>
      <c r="G297" t="inlineStr">
        <is>
          <t>HÖGSBY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24601-2024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45460</v>
      </c>
      <c r="E298" s="1" t="n">
        <v>46248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46248</v>
      </c>
      <c r="F299" t="inlineStr">
        <is>
          <t>KALMAR LÄN</t>
        </is>
      </c>
      <c r="G299" t="inlineStr">
        <is>
          <t>HÖGSBY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46248</v>
      </c>
      <c r="F300" t="inlineStr">
        <is>
          <t>KALMAR LÄN</t>
        </is>
      </c>
      <c r="G300" t="inlineStr">
        <is>
          <t>HÖGSBY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46248</v>
      </c>
      <c r="F301" t="inlineStr">
        <is>
          <t>KALMAR LÄN</t>
        </is>
      </c>
      <c r="G301" t="inlineStr">
        <is>
          <t>HÖGSBY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46248</v>
      </c>
      <c r="F302" t="inlineStr">
        <is>
          <t>KALMAR LÄN</t>
        </is>
      </c>
      <c r="G302" t="inlineStr">
        <is>
          <t>HÖGSBY</t>
        </is>
      </c>
      <c r="H302" t="inlineStr">
        <is>
          <t>Kommuner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45950</v>
      </c>
      <c r="E303" s="1" t="n">
        <v>46248</v>
      </c>
      <c r="F303" t="inlineStr">
        <is>
          <t>KALMAR LÄN</t>
        </is>
      </c>
      <c r="G303" t="inlineStr">
        <is>
          <t>HÖGSBY</t>
        </is>
      </c>
      <c r="I303" t="n">
        <v>12.8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46248</v>
      </c>
      <c r="F304" t="inlineStr">
        <is>
          <t>KALMAR LÄN</t>
        </is>
      </c>
      <c r="G304" t="inlineStr">
        <is>
          <t>HÖGSBY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46248</v>
      </c>
      <c r="F305" t="inlineStr">
        <is>
          <t>KALMAR LÄN</t>
        </is>
      </c>
      <c r="G305" t="inlineStr">
        <is>
          <t>HÖGSBY</t>
        </is>
      </c>
      <c r="H305" t="inlineStr">
        <is>
          <t>Kyrkan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46248</v>
      </c>
      <c r="F306" t="inlineStr">
        <is>
          <t>KALMAR LÄN</t>
        </is>
      </c>
      <c r="G306" t="inlineStr">
        <is>
          <t>HÖGSBY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46176</v>
      </c>
      <c r="E307" s="1" t="n">
        <v>46248</v>
      </c>
      <c r="F307" t="inlineStr">
        <is>
          <t>KALMAR LÄN</t>
        </is>
      </c>
      <c r="G307" t="inlineStr">
        <is>
          <t>HÖGSBY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46248</v>
      </c>
      <c r="F308" t="inlineStr">
        <is>
          <t>KALMAR LÄN</t>
        </is>
      </c>
      <c r="G308" t="inlineStr">
        <is>
          <t>HÖGSBY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46248</v>
      </c>
      <c r="F309" t="inlineStr">
        <is>
          <t>KALMAR LÄN</t>
        </is>
      </c>
      <c r="G309" t="inlineStr">
        <is>
          <t>HÖGSBY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46248</v>
      </c>
      <c r="F310" t="inlineStr">
        <is>
          <t>KALMAR LÄN</t>
        </is>
      </c>
      <c r="G310" t="inlineStr">
        <is>
          <t>HÖGSBY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46248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46248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46248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46248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46248</v>
      </c>
      <c r="F315" t="inlineStr">
        <is>
          <t>KALMAR LÄN</t>
        </is>
      </c>
      <c r="G315" t="inlineStr">
        <is>
          <t>HÖGSBY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46184</v>
      </c>
      <c r="E316" s="1" t="n">
        <v>46248</v>
      </c>
      <c r="F316" t="inlineStr">
        <is>
          <t>KALMAR LÄN</t>
        </is>
      </c>
      <c r="G316" t="inlineStr">
        <is>
          <t>HÖGSBY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46248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46248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46248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46248</v>
      </c>
      <c r="F320" t="inlineStr">
        <is>
          <t>KALMAR LÄN</t>
        </is>
      </c>
      <c r="G320" t="inlineStr">
        <is>
          <t>HÖGSBY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46248</v>
      </c>
      <c r="F321" t="inlineStr">
        <is>
          <t>KALMAR LÄN</t>
        </is>
      </c>
      <c r="G321" t="inlineStr">
        <is>
          <t>HÖGSBY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58017-2025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45982</v>
      </c>
      <c r="E322" s="1" t="n">
        <v>46248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8.4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46248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46248</v>
      </c>
      <c r="F324" t="inlineStr">
        <is>
          <t>KALMAR LÄN</t>
        </is>
      </c>
      <c r="G324" t="inlineStr">
        <is>
          <t>HÖGSBY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46248</v>
      </c>
      <c r="F325" t="inlineStr">
        <is>
          <t>KALMAR LÄN</t>
        </is>
      </c>
      <c r="G325" t="inlineStr">
        <is>
          <t>HÖGSBY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46237</v>
      </c>
      <c r="E326" s="1" t="n">
        <v>46248</v>
      </c>
      <c r="F326" t="inlineStr">
        <is>
          <t>KALMAR LÄN</t>
        </is>
      </c>
      <c r="G326" t="inlineStr">
        <is>
          <t>HÖGSBY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46248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46248</v>
      </c>
      <c r="F328" t="inlineStr">
        <is>
          <t>KALMAR LÄN</t>
        </is>
      </c>
      <c r="G328" t="inlineStr">
        <is>
          <t>HÖGSBY</t>
        </is>
      </c>
      <c r="H328" t="inlineStr">
        <is>
          <t>Kommuner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46248</v>
      </c>
      <c r="F329" t="inlineStr">
        <is>
          <t>KALMAR LÄN</t>
        </is>
      </c>
      <c r="G329" t="inlineStr">
        <is>
          <t>HÖGSBY</t>
        </is>
      </c>
      <c r="H329" t="inlineStr">
        <is>
          <t>Kommuner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28702-2026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46198</v>
      </c>
      <c r="E330" s="1" t="n">
        <v>46248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28692-2026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46198</v>
      </c>
      <c r="E331" s="1" t="n">
        <v>46248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28691-2026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46198</v>
      </c>
      <c r="E332" s="1" t="n">
        <v>46248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28697-2026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46198</v>
      </c>
      <c r="E333" s="1" t="n">
        <v>46248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46248</v>
      </c>
      <c r="F334" t="inlineStr">
        <is>
          <t>KALMAR LÄN</t>
        </is>
      </c>
      <c r="G334" t="inlineStr">
        <is>
          <t>HÖGSBY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46248</v>
      </c>
      <c r="F335" t="inlineStr">
        <is>
          <t>KALMAR LÄN</t>
        </is>
      </c>
      <c r="G335" t="inlineStr">
        <is>
          <t>HÖGSBY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46248</v>
      </c>
      <c r="F336" t="inlineStr">
        <is>
          <t>KALMAR LÄN</t>
        </is>
      </c>
      <c r="G336" t="inlineStr">
        <is>
          <t>HÖGSBY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46001</v>
      </c>
      <c r="E337" s="1" t="n">
        <v>46248</v>
      </c>
      <c r="F337" t="inlineStr">
        <is>
          <t>KALMAR LÄN</t>
        </is>
      </c>
      <c r="G337" t="inlineStr">
        <is>
          <t>HÖGSBY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46248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46248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46248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46248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28713-2026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46198</v>
      </c>
      <c r="E342" s="1" t="n">
        <v>46248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46248</v>
      </c>
      <c r="F343" t="inlineStr">
        <is>
          <t>KALMAR LÄN</t>
        </is>
      </c>
      <c r="G343" t="inlineStr">
        <is>
          <t>HÖGSBY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46248</v>
      </c>
      <c r="F344" t="inlineStr">
        <is>
          <t>KALMAR LÄN</t>
        </is>
      </c>
      <c r="G344" t="inlineStr">
        <is>
          <t>HÖGSBY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46248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46248</v>
      </c>
      <c r="F346" t="inlineStr">
        <is>
          <t>KALMAR LÄN</t>
        </is>
      </c>
      <c r="G346" t="inlineStr">
        <is>
          <t>HÖGSBY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46248</v>
      </c>
      <c r="F347" t="inlineStr">
        <is>
          <t>KALMAR LÄN</t>
        </is>
      </c>
      <c r="G347" t="inlineStr">
        <is>
          <t>HÖGSBY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46248</v>
      </c>
      <c r="F348" t="inlineStr">
        <is>
          <t>KALMAR LÄN</t>
        </is>
      </c>
      <c r="G348" t="inlineStr">
        <is>
          <t>HÖGSBY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46248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46248</v>
      </c>
      <c r="F350" t="inlineStr">
        <is>
          <t>KALMAR LÄN</t>
        </is>
      </c>
      <c r="G350" t="inlineStr">
        <is>
          <t>HÖGSBY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46248</v>
      </c>
      <c r="F351" t="inlineStr">
        <is>
          <t>KALMAR LÄN</t>
        </is>
      </c>
      <c r="G351" t="inlineStr">
        <is>
          <t>HÖGSBY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46248</v>
      </c>
      <c r="F352" t="inlineStr">
        <is>
          <t>KALMAR LÄN</t>
        </is>
      </c>
      <c r="G352" t="inlineStr">
        <is>
          <t>HÖGSBY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62720-2025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46008</v>
      </c>
      <c r="E353" s="1" t="n">
        <v>46248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62722-2025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46008</v>
      </c>
      <c r="E354" s="1" t="n">
        <v>46248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46248</v>
      </c>
      <c r="F355" t="inlineStr">
        <is>
          <t>KALMAR LÄN</t>
        </is>
      </c>
      <c r="G355" t="inlineStr">
        <is>
          <t>HÖGSBY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46013</v>
      </c>
      <c r="E356" s="1" t="n">
        <v>46248</v>
      </c>
      <c r="F356" t="inlineStr">
        <is>
          <t>KALMAR LÄN</t>
        </is>
      </c>
      <c r="G356" t="inlineStr">
        <is>
          <t>HÖGSBY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46248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46248</v>
      </c>
      <c r="F358" t="inlineStr">
        <is>
          <t>KALMAR LÄN</t>
        </is>
      </c>
      <c r="G358" t="inlineStr">
        <is>
          <t>HÖGSBY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46248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7443-2026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46059</v>
      </c>
      <c r="E360" s="1" t="n">
        <v>46248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46248</v>
      </c>
      <c r="F361" t="inlineStr">
        <is>
          <t>KALMAR LÄN</t>
        </is>
      </c>
      <c r="G361" t="inlineStr">
        <is>
          <t>HÖGSBY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46248</v>
      </c>
      <c r="F362" t="inlineStr">
        <is>
          <t>KALMAR LÄN</t>
        </is>
      </c>
      <c r="G362" t="inlineStr">
        <is>
          <t>HÖGSBY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14894-2025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45743</v>
      </c>
      <c r="E363" s="1" t="n">
        <v>46248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15864-2026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46248</v>
      </c>
      <c r="F364" t="inlineStr">
        <is>
          <t>KALMAR LÄN</t>
        </is>
      </c>
      <c r="G364" t="inlineStr">
        <is>
          <t>HÖGSBY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46248</v>
      </c>
      <c r="F365" t="inlineStr">
        <is>
          <t>KALMAR LÄN</t>
        </is>
      </c>
      <c r="G365" t="inlineStr">
        <is>
          <t>HÖGSBY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46248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17090-2026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46248</v>
      </c>
      <c r="F367" t="inlineStr">
        <is>
          <t>KALMAR LÄN</t>
        </is>
      </c>
      <c r="G367" t="inlineStr">
        <is>
          <t>HÖGSBY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46248</v>
      </c>
      <c r="F368" t="inlineStr">
        <is>
          <t>KALMAR LÄN</t>
        </is>
      </c>
      <c r="G368" t="inlineStr">
        <is>
          <t>HÖGSBY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46248</v>
      </c>
      <c r="F369" t="inlineStr">
        <is>
          <t>KALMAR LÄN</t>
        </is>
      </c>
      <c r="G369" t="inlineStr">
        <is>
          <t>HÖGSBY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46248</v>
      </c>
      <c r="F370" t="inlineStr">
        <is>
          <t>KALMAR LÄN</t>
        </is>
      </c>
      <c r="G370" t="inlineStr">
        <is>
          <t>HÖGSBY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46248</v>
      </c>
      <c r="F371" t="inlineStr">
        <is>
          <t>KALMAR LÄN</t>
        </is>
      </c>
      <c r="G371" t="inlineStr">
        <is>
          <t>HÖGSBY</t>
        </is>
      </c>
      <c r="H371" t="inlineStr">
        <is>
          <t>Kommuner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45754</v>
      </c>
      <c r="E372" s="1" t="n">
        <v>46248</v>
      </c>
      <c r="F372" t="inlineStr">
        <is>
          <t>KALMAR LÄN</t>
        </is>
      </c>
      <c r="G372" t="inlineStr">
        <is>
          <t>HÖGSBY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63508-2025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46248</v>
      </c>
      <c r="F373" t="inlineStr">
        <is>
          <t>KALMAR LÄN</t>
        </is>
      </c>
      <c r="G373" t="inlineStr">
        <is>
          <t>HÖGSBY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45758</v>
      </c>
      <c r="E374" s="1" t="n">
        <v>46248</v>
      </c>
      <c r="F374" t="inlineStr">
        <is>
          <t>KALMAR LÄN</t>
        </is>
      </c>
      <c r="G374" t="inlineStr">
        <is>
          <t>HÖGSBY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45727</v>
      </c>
      <c r="E375" s="1" t="n">
        <v>46248</v>
      </c>
      <c r="F375" t="inlineStr">
        <is>
          <t>KALMAR LÄN</t>
        </is>
      </c>
      <c r="G375" t="inlineStr">
        <is>
          <t>HÖGSBY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45793</v>
      </c>
      <c r="E376" s="1" t="n">
        <v>46248</v>
      </c>
      <c r="F376" t="inlineStr">
        <is>
          <t>KALMAR LÄN</t>
        </is>
      </c>
      <c r="G376" t="inlineStr">
        <is>
          <t>HÖGSBY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46248</v>
      </c>
      <c r="F377" t="inlineStr">
        <is>
          <t>KALMAR LÄN</t>
        </is>
      </c>
      <c r="G377" t="inlineStr">
        <is>
          <t>HÖGSBY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46248</v>
      </c>
      <c r="F378" t="inlineStr">
        <is>
          <t>KALMAR LÄN</t>
        </is>
      </c>
      <c r="G378" t="inlineStr">
        <is>
          <t>HÖGSBY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46248</v>
      </c>
      <c r="F379" t="inlineStr">
        <is>
          <t>KALMAR LÄN</t>
        </is>
      </c>
      <c r="G379" t="inlineStr">
        <is>
          <t>HÖGSBY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45951</v>
      </c>
      <c r="E380" s="1" t="n">
        <v>46248</v>
      </c>
      <c r="F380" t="inlineStr">
        <is>
          <t>KALMAR LÄN</t>
        </is>
      </c>
      <c r="G380" t="inlineStr">
        <is>
          <t>HÖGSBY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513-2023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44966</v>
      </c>
      <c r="E381" s="1" t="n">
        <v>46248</v>
      </c>
      <c r="F381" t="inlineStr">
        <is>
          <t>KALMAR LÄN</t>
        </is>
      </c>
      <c r="G381" t="inlineStr">
        <is>
          <t>HÖGSBY</t>
        </is>
      </c>
      <c r="I381" t="n">
        <v>12.4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4463-2022</t>
        </is>
      </c>
      <c r="B382" t="inlineStr">
        <is>
          <t>samrådsanmälan</t>
        </is>
      </c>
      <c r="C382" t="inlineStr">
        <is>
          <t>Åtgärd i nyckelbiotop</t>
        </is>
      </c>
      <c r="D382" s="1" t="n">
        <v>44788</v>
      </c>
      <c r="E382" s="1" t="n">
        <v>46248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3208-2024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45524</v>
      </c>
      <c r="E383" s="1" t="n">
        <v>46248</v>
      </c>
      <c r="F383" t="inlineStr">
        <is>
          <t>KALMAR LÄN</t>
        </is>
      </c>
      <c r="G383" t="inlineStr">
        <is>
          <t>HÖGSBY</t>
        </is>
      </c>
      <c r="I383" t="n">
        <v>23.3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7006-2022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44903</v>
      </c>
      <c r="E384" s="1" t="n">
        <v>46248</v>
      </c>
      <c r="F384" t="inlineStr">
        <is>
          <t>KALMAR LÄN</t>
        </is>
      </c>
      <c r="G384" t="inlineStr">
        <is>
          <t>HÖGSBY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514-2023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44966</v>
      </c>
      <c r="E385" s="1" t="n">
        <v>46248</v>
      </c>
      <c r="F385" t="inlineStr">
        <is>
          <t>KALMAR LÄN</t>
        </is>
      </c>
      <c r="G385" t="inlineStr">
        <is>
          <t>HÖGSBY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512-2023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46248</v>
      </c>
      <c r="F386" t="inlineStr">
        <is>
          <t>KALMAR LÄN</t>
        </is>
      </c>
      <c r="G386" t="inlineStr">
        <is>
          <t>HÖGSBY</t>
        </is>
      </c>
      <c r="I386" t="n">
        <v>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2564-2023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45140</v>
      </c>
      <c r="E387" s="1" t="n">
        <v>46248</v>
      </c>
      <c r="F387" t="inlineStr">
        <is>
          <t>KALMAR LÄN</t>
        </is>
      </c>
      <c r="G387" t="inlineStr">
        <is>
          <t>HÖGSBY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46248</v>
      </c>
      <c r="F388" t="inlineStr">
        <is>
          <t>KALMAR LÄN</t>
        </is>
      </c>
      <c r="G388" t="inlineStr">
        <is>
          <t>HÖGSBY</t>
        </is>
      </c>
      <c r="I388" t="n">
        <v>28.7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566-2022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44592</v>
      </c>
      <c r="E389" s="1" t="n">
        <v>46248</v>
      </c>
      <c r="F389" t="inlineStr">
        <is>
          <t>KALMAR LÄN</t>
        </is>
      </c>
      <c r="G389" t="inlineStr">
        <is>
          <t>HÖGSBY</t>
        </is>
      </c>
      <c r="I389" t="n">
        <v>15.1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5035-2024</t>
        </is>
      </c>
      <c r="B390" t="inlineStr">
        <is>
          <t>samrådsanmälan</t>
        </is>
      </c>
      <c r="C390" t="inlineStr">
        <is>
          <t>Stubbskörd</t>
        </is>
      </c>
      <c r="D390" s="1" t="n">
        <v>45636</v>
      </c>
      <c r="E390" s="1" t="n">
        <v>46248</v>
      </c>
      <c r="F390" t="inlineStr">
        <is>
          <t>KALMAR LÄN</t>
        </is>
      </c>
      <c r="G390" t="inlineStr">
        <is>
          <t>HÖGSBY</t>
        </is>
      </c>
      <c r="I390" t="n">
        <v>14.2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561-2022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44592</v>
      </c>
      <c r="E391" s="1" t="n">
        <v>46248</v>
      </c>
      <c r="F391" t="inlineStr">
        <is>
          <t>KALMAR LÄN</t>
        </is>
      </c>
      <c r="G391" t="inlineStr">
        <is>
          <t>HÖGSBY</t>
        </is>
      </c>
      <c r="I391" t="n">
        <v>30.3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2021-2025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45835</v>
      </c>
      <c r="E392" s="1" t="n">
        <v>46248</v>
      </c>
      <c r="F392" t="inlineStr">
        <is>
          <t>KALMAR LÄN</t>
        </is>
      </c>
      <c r="G392" t="inlineStr">
        <is>
          <t>HÖGSBY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379-2023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44958</v>
      </c>
      <c r="E393" s="1" t="n">
        <v>46248</v>
      </c>
      <c r="F393" t="inlineStr">
        <is>
          <t>KALMAR LÄN</t>
        </is>
      </c>
      <c r="G393" t="inlineStr">
        <is>
          <t>HÖGSBY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351-2023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46248</v>
      </c>
      <c r="F394" t="inlineStr">
        <is>
          <t>KALMAR LÄN</t>
        </is>
      </c>
      <c r="G394" t="inlineStr">
        <is>
          <t>HÖGSBY</t>
        </is>
      </c>
      <c r="I394" t="n">
        <v>21.3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2809-2025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45938</v>
      </c>
      <c r="E395" s="1" t="n">
        <v>46248</v>
      </c>
      <c r="F395" t="inlineStr">
        <is>
          <t>KALMAR LÄN</t>
        </is>
      </c>
      <c r="G395" t="inlineStr">
        <is>
          <t>HÖGSBY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1031-2026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46125</v>
      </c>
      <c r="E396" s="1" t="n">
        <v>46248</v>
      </c>
      <c r="F396" t="inlineStr">
        <is>
          <t>KALMAR LÄN</t>
        </is>
      </c>
      <c r="G396" t="inlineStr">
        <is>
          <t>HÖGSBY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1417-2026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46155</v>
      </c>
      <c r="E397" s="1" t="n">
        <v>46248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46248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1846-2026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46198</v>
      </c>
      <c r="E399" s="1" t="n">
        <v>46248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46248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1847-2026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46248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1866-2026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46199</v>
      </c>
      <c r="E402" s="1" t="n">
        <v>46248</v>
      </c>
      <c r="F402" t="inlineStr">
        <is>
          <t>KALMAR LÄN</t>
        </is>
      </c>
      <c r="G402" t="inlineStr">
        <is>
          <t>HÖGSBY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1938-2026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46203</v>
      </c>
      <c r="E403" s="1" t="n">
        <v>46248</v>
      </c>
      <c r="F403" t="inlineStr">
        <is>
          <t>KALMAR LÄN</t>
        </is>
      </c>
      <c r="G403" t="inlineStr">
        <is>
          <t>HÖGSBY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2026-08-14T01:56:54Z</dcterms:created>
  <dcterms:modified xmlns:dcterms="http://purl.org/dc/terms/" xmlns:xsi="http://www.w3.org/2001/XMLSchema-instance" xsi:type="dcterms:W3CDTF">2026-08-14T01:56:54Z</dcterms:modified>
</cp:coreProperties>
</file>