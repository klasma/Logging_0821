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45927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45927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45927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45927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45927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45927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45927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45927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57171-2022</t>
        </is>
      </c>
      <c r="B14" s="1" t="n">
        <v>44895</v>
      </c>
      <c r="C14" s="1" t="n">
        <v>45927</v>
      </c>
      <c r="D14" t="inlineStr">
        <is>
          <t>KALMAR LÄN</t>
        </is>
      </c>
      <c r="E14" t="inlineStr">
        <is>
          <t>HÖGSBY</t>
        </is>
      </c>
      <c r="G14" t="n">
        <v>4.3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Gulsparv
Mindre träfjäril
Talltita
Gröngöling</t>
        </is>
      </c>
      <c r="S14">
        <f>HYPERLINK("https://klasma.github.io/Logging_0821/artfynd/A 57171-2022 artfynd.xlsx", "A 57171-2022")</f>
        <v/>
      </c>
      <c r="T14">
        <f>HYPERLINK("https://klasma.github.io/Logging_0821/kartor/A 57171-2022 karta.png", "A 57171-2022")</f>
        <v/>
      </c>
      <c r="V14">
        <f>HYPERLINK("https://klasma.github.io/Logging_0821/klagomål/A 57171-2022 FSC-klagomål.docx", "A 57171-2022")</f>
        <v/>
      </c>
      <c r="W14">
        <f>HYPERLINK("https://klasma.github.io/Logging_0821/klagomålsmail/A 57171-2022 FSC-klagomål mail.docx", "A 57171-2022")</f>
        <v/>
      </c>
      <c r="X14">
        <f>HYPERLINK("https://klasma.github.io/Logging_0821/tillsyn/A 57171-2022 tillsynsbegäran.docx", "A 57171-2022")</f>
        <v/>
      </c>
      <c r="Y14">
        <f>HYPERLINK("https://klasma.github.io/Logging_0821/tillsynsmail/A 57171-2022 tillsynsbegäran mail.docx", "A 57171-2022")</f>
        <v/>
      </c>
      <c r="Z14">
        <f>HYPERLINK("https://klasma.github.io/Logging_0821/fåglar/A 57171-2022 prioriterade fågelarter.docx", "A 57171-2022")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45927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45927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45927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45927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45927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45927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45927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45927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45927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45927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45927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45927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45927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45927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45927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45927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45927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45927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45927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45927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45927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42083-2025</t>
        </is>
      </c>
      <c r="B36" s="1" t="n">
        <v>45903.69008101852</v>
      </c>
      <c r="C36" s="1" t="n">
        <v>45927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42083-2025 artfynd.xlsx", "A 42083-2025")</f>
        <v/>
      </c>
      <c r="T36">
        <f>HYPERLINK("https://klasma.github.io/Logging_0821/kartor/A 42083-2025 karta.png", "A 42083-2025")</f>
        <v/>
      </c>
      <c r="V36">
        <f>HYPERLINK("https://klasma.github.io/Logging_0821/klagomål/A 42083-2025 FSC-klagomål.docx", "A 42083-2025")</f>
        <v/>
      </c>
      <c r="W36">
        <f>HYPERLINK("https://klasma.github.io/Logging_0821/klagomålsmail/A 42083-2025 FSC-klagomål mail.docx", "A 42083-2025")</f>
        <v/>
      </c>
      <c r="X36">
        <f>HYPERLINK("https://klasma.github.io/Logging_0821/tillsyn/A 42083-2025 tillsynsbegäran.docx", "A 42083-2025")</f>
        <v/>
      </c>
      <c r="Y36">
        <f>HYPERLINK("https://klasma.github.io/Logging_0821/tillsynsmail/A 42083-2025 tillsynsbegäran mail.docx", "A 42083-2025")</f>
        <v/>
      </c>
    </row>
    <row r="37" ht="15" customHeight="1">
      <c r="A37" t="inlineStr">
        <is>
          <t>A 59407-2022</t>
        </is>
      </c>
      <c r="B37" s="1" t="n">
        <v>44907</v>
      </c>
      <c r="C37" s="1" t="n">
        <v>45927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59407-2022 artfynd.xlsx", "A 59407-2022")</f>
        <v/>
      </c>
      <c r="T37">
        <f>HYPERLINK("https://klasma.github.io/Logging_0821/kartor/A 59407-2022 karta.png", "A 59407-2022")</f>
        <v/>
      </c>
      <c r="V37">
        <f>HYPERLINK("https://klasma.github.io/Logging_0821/klagomål/A 59407-2022 FSC-klagomål.docx", "A 59407-2022")</f>
        <v/>
      </c>
      <c r="W37">
        <f>HYPERLINK("https://klasma.github.io/Logging_0821/klagomålsmail/A 59407-2022 FSC-klagomål mail.docx", "A 59407-2022")</f>
        <v/>
      </c>
      <c r="X37">
        <f>HYPERLINK("https://klasma.github.io/Logging_0821/tillsyn/A 59407-2022 tillsynsbegäran.docx", "A 59407-2022")</f>
        <v/>
      </c>
      <c r="Y37">
        <f>HYPERLINK("https://klasma.github.io/Logging_0821/tillsynsmail/A 59407-2022 tillsynsbegäran mail.docx", "A 59407-2022")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45927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45927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45927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45927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45927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45927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45927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45927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45927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74475-2021</t>
        </is>
      </c>
      <c r="B47" s="1" t="n">
        <v>44559</v>
      </c>
      <c r="C47" s="1" t="n">
        <v>45927</v>
      </c>
      <c r="D47" t="inlineStr">
        <is>
          <t>KALMAR LÄN</t>
        </is>
      </c>
      <c r="E47" t="inlineStr">
        <is>
          <t>HÖGSBY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45927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45927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45927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45927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45927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45927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45927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45927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45927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45927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45927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45927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45927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45927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45927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45927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64209-2020</t>
        </is>
      </c>
      <c r="B64" s="1" t="n">
        <v>44168</v>
      </c>
      <c r="C64" s="1" t="n">
        <v>45927</v>
      </c>
      <c r="D64" t="inlineStr">
        <is>
          <t>KALMAR LÄN</t>
        </is>
      </c>
      <c r="E64" t="inlineStr">
        <is>
          <t>HÖGSBY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45927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45927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45927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45927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45927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45927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45927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45927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45927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45927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45927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45927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45927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57680-2020</t>
        </is>
      </c>
      <c r="B78" s="1" t="n">
        <v>44140</v>
      </c>
      <c r="C78" s="1" t="n">
        <v>45927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37497-2022</t>
        </is>
      </c>
      <c r="B79" s="1" t="n">
        <v>44809.56568287037</v>
      </c>
      <c r="C79" s="1" t="n">
        <v>45927</v>
      </c>
      <c r="D79" t="inlineStr">
        <is>
          <t>KALMAR LÄN</t>
        </is>
      </c>
      <c r="E79" t="inlineStr">
        <is>
          <t>HÖGSBY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51088-2021</t>
        </is>
      </c>
      <c r="B80" s="1" t="n">
        <v>44461.37548611111</v>
      </c>
      <c r="C80" s="1" t="n">
        <v>45927</v>
      </c>
      <c r="D80" t="inlineStr">
        <is>
          <t>KALMAR LÄN</t>
        </is>
      </c>
      <c r="E80" t="inlineStr">
        <is>
          <t>HÖGSBY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11529-2021</t>
        </is>
      </c>
      <c r="B81" s="1" t="n">
        <v>44264</v>
      </c>
      <c r="C81" s="1" t="n">
        <v>45927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30775-2021</t>
        </is>
      </c>
      <c r="B82" s="1" t="n">
        <v>44365.48300925926</v>
      </c>
      <c r="C82" s="1" t="n">
        <v>45927</v>
      </c>
      <c r="D82" t="inlineStr">
        <is>
          <t>KALMAR LÄN</t>
        </is>
      </c>
      <c r="E82" t="inlineStr">
        <is>
          <t>HÖGSBY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23105-2022</t>
        </is>
      </c>
      <c r="B83" s="1" t="n">
        <v>44719</v>
      </c>
      <c r="C83" s="1" t="n">
        <v>45927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39237-2021</t>
        </is>
      </c>
      <c r="B84" s="1" t="n">
        <v>44413.45931712963</v>
      </c>
      <c r="C84" s="1" t="n">
        <v>45927</v>
      </c>
      <c r="D84" t="inlineStr">
        <is>
          <t>KALMAR LÄN</t>
        </is>
      </c>
      <c r="E84" t="inlineStr">
        <is>
          <t>HÖGSBY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53808-2022</t>
        </is>
      </c>
      <c r="B85" s="1" t="n">
        <v>44880.54645833333</v>
      </c>
      <c r="C85" s="1" t="n">
        <v>45927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45927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12883-2021</t>
        </is>
      </c>
      <c r="B87" s="1" t="n">
        <v>44271.43744212963</v>
      </c>
      <c r="C87" s="1" t="n">
        <v>45927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19694-2021</t>
        </is>
      </c>
      <c r="B88" s="1" t="n">
        <v>44312.72291666667</v>
      </c>
      <c r="C88" s="1" t="n">
        <v>45927</v>
      </c>
      <c r="D88" t="inlineStr">
        <is>
          <t>KALMAR LÄN</t>
        </is>
      </c>
      <c r="E88" t="inlineStr">
        <is>
          <t>HÖGSBY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72059-2021</t>
        </is>
      </c>
      <c r="B89" s="1" t="n">
        <v>44542</v>
      </c>
      <c r="C89" s="1" t="n">
        <v>45927</v>
      </c>
      <c r="D89" t="inlineStr">
        <is>
          <t>KALMAR LÄN</t>
        </is>
      </c>
      <c r="E89" t="inlineStr">
        <is>
          <t>HÖGSBY</t>
        </is>
      </c>
      <c r="G89" t="n">
        <v>16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72066-2021</t>
        </is>
      </c>
      <c r="B90" s="1" t="n">
        <v>44542</v>
      </c>
      <c r="C90" s="1" t="n">
        <v>45927</v>
      </c>
      <c r="D90" t="inlineStr">
        <is>
          <t>KALMAR LÄN</t>
        </is>
      </c>
      <c r="E90" t="inlineStr">
        <is>
          <t>HÖGSBY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66158-2020</t>
        </is>
      </c>
      <c r="B91" s="1" t="n">
        <v>44175</v>
      </c>
      <c r="C91" s="1" t="n">
        <v>45927</v>
      </c>
      <c r="D91" t="inlineStr">
        <is>
          <t>KALMAR LÄN</t>
        </is>
      </c>
      <c r="E91" t="inlineStr">
        <is>
          <t>HÖGSBY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39235-2021</t>
        </is>
      </c>
      <c r="B92" s="1" t="n">
        <v>44413.45243055555</v>
      </c>
      <c r="C92" s="1" t="n">
        <v>45927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20128-2022</t>
        </is>
      </c>
      <c r="B93" s="1" t="n">
        <v>44698</v>
      </c>
      <c r="C93" s="1" t="n">
        <v>45927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62274-2021</t>
        </is>
      </c>
      <c r="B94" s="1" t="n">
        <v>44503</v>
      </c>
      <c r="C94" s="1" t="n">
        <v>45927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20415-2021</t>
        </is>
      </c>
      <c r="B95" s="1" t="n">
        <v>44315</v>
      </c>
      <c r="C95" s="1" t="n">
        <v>45927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6540-2022</t>
        </is>
      </c>
      <c r="B96" s="1" t="n">
        <v>44601</v>
      </c>
      <c r="C96" s="1" t="n">
        <v>45927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50414-2024</t>
        </is>
      </c>
      <c r="B97" s="1" t="n">
        <v>45600</v>
      </c>
      <c r="C97" s="1" t="n">
        <v>45927</v>
      </c>
      <c r="D97" t="inlineStr">
        <is>
          <t>KALMAR LÄN</t>
        </is>
      </c>
      <c r="E97" t="inlineStr">
        <is>
          <t>HÖGSBY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35047-2023</t>
        </is>
      </c>
      <c r="B98" s="1" t="n">
        <v>45145</v>
      </c>
      <c r="C98" s="1" t="n">
        <v>45927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1768-2024</t>
        </is>
      </c>
      <c r="B99" s="1" t="n">
        <v>45307</v>
      </c>
      <c r="C99" s="1" t="n">
        <v>45927</v>
      </c>
      <c r="D99" t="inlineStr">
        <is>
          <t>KALMAR LÄN</t>
        </is>
      </c>
      <c r="E99" t="inlineStr">
        <is>
          <t>HÖGSBY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56706-2023</t>
        </is>
      </c>
      <c r="B100" s="1" t="n">
        <v>45244</v>
      </c>
      <c r="C100" s="1" t="n">
        <v>45927</v>
      </c>
      <c r="D100" t="inlineStr">
        <is>
          <t>KALMAR LÄN</t>
        </is>
      </c>
      <c r="E100" t="inlineStr">
        <is>
          <t>HÖGSBY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35087-2023</t>
        </is>
      </c>
      <c r="B101" s="1" t="n">
        <v>45145.44652777778</v>
      </c>
      <c r="C101" s="1" t="n">
        <v>45927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14394-2023</t>
        </is>
      </c>
      <c r="B102" s="1" t="n">
        <v>45012.47266203703</v>
      </c>
      <c r="C102" s="1" t="n">
        <v>45927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27916-2023</t>
        </is>
      </c>
      <c r="B103" s="1" t="n">
        <v>45093</v>
      </c>
      <c r="C103" s="1" t="n">
        <v>45927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7438-2023</t>
        </is>
      </c>
      <c r="B104" s="1" t="n">
        <v>44966</v>
      </c>
      <c r="C104" s="1" t="n">
        <v>45927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57173-2022</t>
        </is>
      </c>
      <c r="B105" s="1" t="n">
        <v>44895.60672453704</v>
      </c>
      <c r="C105" s="1" t="n">
        <v>45927</v>
      </c>
      <c r="D105" t="inlineStr">
        <is>
          <t>KALMAR LÄN</t>
        </is>
      </c>
      <c r="E105" t="inlineStr">
        <is>
          <t>HÖGSBY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22544-2023</t>
        </is>
      </c>
      <c r="B106" s="1" t="n">
        <v>45071.43813657408</v>
      </c>
      <c r="C106" s="1" t="n">
        <v>45927</v>
      </c>
      <c r="D106" t="inlineStr">
        <is>
          <t>KALMAR LÄN</t>
        </is>
      </c>
      <c r="E106" t="inlineStr">
        <is>
          <t>HÖGSBY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34078-2024</t>
        </is>
      </c>
      <c r="B107" s="1" t="n">
        <v>45523.65054398148</v>
      </c>
      <c r="C107" s="1" t="n">
        <v>45927</v>
      </c>
      <c r="D107" t="inlineStr">
        <is>
          <t>KALMAR LÄN</t>
        </is>
      </c>
      <c r="E107" t="inlineStr">
        <is>
          <t>HÖGSBY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53413-2024</t>
        </is>
      </c>
      <c r="B108" s="1" t="n">
        <v>45614.5066087963</v>
      </c>
      <c r="C108" s="1" t="n">
        <v>45927</v>
      </c>
      <c r="D108" t="inlineStr">
        <is>
          <t>KALMAR LÄN</t>
        </is>
      </c>
      <c r="E108" t="inlineStr">
        <is>
          <t>HÖGSBY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53816-2024</t>
        </is>
      </c>
      <c r="B109" s="1" t="n">
        <v>45615.6027662037</v>
      </c>
      <c r="C109" s="1" t="n">
        <v>45927</v>
      </c>
      <c r="D109" t="inlineStr">
        <is>
          <t>KALMAR LÄN</t>
        </is>
      </c>
      <c r="E109" t="inlineStr">
        <is>
          <t>HÖGSBY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21569-2025</t>
        </is>
      </c>
      <c r="B110" s="1" t="n">
        <v>45782.74405092592</v>
      </c>
      <c r="C110" s="1" t="n">
        <v>45927</v>
      </c>
      <c r="D110" t="inlineStr">
        <is>
          <t>KALMAR LÄN</t>
        </is>
      </c>
      <c r="E110" t="inlineStr">
        <is>
          <t>HÖGSBY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3549-2024</t>
        </is>
      </c>
      <c r="B111" s="1" t="n">
        <v>45320.60465277778</v>
      </c>
      <c r="C111" s="1" t="n">
        <v>45927</v>
      </c>
      <c r="D111" t="inlineStr">
        <is>
          <t>KALMAR LÄN</t>
        </is>
      </c>
      <c r="E111" t="inlineStr">
        <is>
          <t>HÖGSBY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45927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74478-2021</t>
        </is>
      </c>
      <c r="B113" s="1" t="n">
        <v>44559</v>
      </c>
      <c r="C113" s="1" t="n">
        <v>45927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30490-2023</t>
        </is>
      </c>
      <c r="B114" s="1" t="n">
        <v>45111</v>
      </c>
      <c r="C114" s="1" t="n">
        <v>45927</v>
      </c>
      <c r="D114" t="inlineStr">
        <is>
          <t>KALMAR LÄN</t>
        </is>
      </c>
      <c r="E114" t="inlineStr">
        <is>
          <t>HÖGSBY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38797-2024</t>
        </is>
      </c>
      <c r="B115" s="1" t="n">
        <v>45547.5249537037</v>
      </c>
      <c r="C115" s="1" t="n">
        <v>45927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54483-2022</t>
        </is>
      </c>
      <c r="B116" s="1" t="n">
        <v>44882</v>
      </c>
      <c r="C116" s="1" t="n">
        <v>45927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22103-2025</t>
        </is>
      </c>
      <c r="B117" s="1" t="n">
        <v>45785.48605324074</v>
      </c>
      <c r="C117" s="1" t="n">
        <v>45927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15284-2025</t>
        </is>
      </c>
      <c r="B118" s="1" t="n">
        <v>45744.89434027778</v>
      </c>
      <c r="C118" s="1" t="n">
        <v>45927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31707-2023</t>
        </is>
      </c>
      <c r="B119" s="1" t="n">
        <v>45105</v>
      </c>
      <c r="C119" s="1" t="n">
        <v>45927</v>
      </c>
      <c r="D119" t="inlineStr">
        <is>
          <t>KALMAR LÄN</t>
        </is>
      </c>
      <c r="E119" t="inlineStr">
        <is>
          <t>HÖGSBY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57006-2024</t>
        </is>
      </c>
      <c r="B120" s="1" t="n">
        <v>45626</v>
      </c>
      <c r="C120" s="1" t="n">
        <v>45927</v>
      </c>
      <c r="D120" t="inlineStr">
        <is>
          <t>KALMAR LÄN</t>
        </is>
      </c>
      <c r="E120" t="inlineStr">
        <is>
          <t>HÖGSBY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61955-2023</t>
        </is>
      </c>
      <c r="B121" s="1" t="n">
        <v>45266</v>
      </c>
      <c r="C121" s="1" t="n">
        <v>45927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52117-2024</t>
        </is>
      </c>
      <c r="B122" s="1" t="n">
        <v>45608.44456018518</v>
      </c>
      <c r="C122" s="1" t="n">
        <v>45927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40464-2023</t>
        </is>
      </c>
      <c r="B123" s="1" t="n">
        <v>45170.34314814815</v>
      </c>
      <c r="C123" s="1" t="n">
        <v>45927</v>
      </c>
      <c r="D123" t="inlineStr">
        <is>
          <t>KALMAR LÄN</t>
        </is>
      </c>
      <c r="E123" t="inlineStr">
        <is>
          <t>HÖGSBY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22405-2025</t>
        </is>
      </c>
      <c r="B124" s="1" t="n">
        <v>45786.54319444444</v>
      </c>
      <c r="C124" s="1" t="n">
        <v>45927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60853-2021</t>
        </is>
      </c>
      <c r="B125" s="1" t="n">
        <v>44496</v>
      </c>
      <c r="C125" s="1" t="n">
        <v>45927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19340-2025</t>
        </is>
      </c>
      <c r="B126" s="1" t="n">
        <v>45769.5946875</v>
      </c>
      <c r="C126" s="1" t="n">
        <v>45927</v>
      </c>
      <c r="D126" t="inlineStr">
        <is>
          <t>KALMAR LÄN</t>
        </is>
      </c>
      <c r="E126" t="inlineStr">
        <is>
          <t>HÖGSBY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53129-2022</t>
        </is>
      </c>
      <c r="B127" s="1" t="n">
        <v>44876.46896990741</v>
      </c>
      <c r="C127" s="1" t="n">
        <v>45927</v>
      </c>
      <c r="D127" t="inlineStr">
        <is>
          <t>KALMAR LÄN</t>
        </is>
      </c>
      <c r="E127" t="inlineStr">
        <is>
          <t>HÖGSBY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22365-2025</t>
        </is>
      </c>
      <c r="B128" s="1" t="n">
        <v>45786.46979166667</v>
      </c>
      <c r="C128" s="1" t="n">
        <v>45927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17080-2025</t>
        </is>
      </c>
      <c r="B129" s="1" t="n">
        <v>45755.63402777778</v>
      </c>
      <c r="C129" s="1" t="n">
        <v>45927</v>
      </c>
      <c r="D129" t="inlineStr">
        <is>
          <t>KALMAR LÄN</t>
        </is>
      </c>
      <c r="E129" t="inlineStr">
        <is>
          <t>HÖGSBY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4739-2025</t>
        </is>
      </c>
      <c r="B130" s="1" t="n">
        <v>45688</v>
      </c>
      <c r="C130" s="1" t="n">
        <v>45927</v>
      </c>
      <c r="D130" t="inlineStr">
        <is>
          <t>KALMAR LÄN</t>
        </is>
      </c>
      <c r="E130" t="inlineStr">
        <is>
          <t>HÖGSBY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63379-2023</t>
        </is>
      </c>
      <c r="B131" s="1" t="n">
        <v>45274.47944444444</v>
      </c>
      <c r="C131" s="1" t="n">
        <v>45927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54942-2022</t>
        </is>
      </c>
      <c r="B132" s="1" t="n">
        <v>44886</v>
      </c>
      <c r="C132" s="1" t="n">
        <v>45927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22404-2025</t>
        </is>
      </c>
      <c r="B133" s="1" t="n">
        <v>45786.53828703704</v>
      </c>
      <c r="C133" s="1" t="n">
        <v>45927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22407-2025</t>
        </is>
      </c>
      <c r="B134" s="1" t="n">
        <v>45786.54587962963</v>
      </c>
      <c r="C134" s="1" t="n">
        <v>45927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54238-2021</t>
        </is>
      </c>
      <c r="B135" s="1" t="n">
        <v>44470.63657407407</v>
      </c>
      <c r="C135" s="1" t="n">
        <v>45927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62385-2023</t>
        </is>
      </c>
      <c r="B136" s="1" t="n">
        <v>45268</v>
      </c>
      <c r="C136" s="1" t="n">
        <v>45927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11768-2022</t>
        </is>
      </c>
      <c r="B137" s="1" t="n">
        <v>44634</v>
      </c>
      <c r="C137" s="1" t="n">
        <v>45927</v>
      </c>
      <c r="D137" t="inlineStr">
        <is>
          <t>KALMAR LÄN</t>
        </is>
      </c>
      <c r="E137" t="inlineStr">
        <is>
          <t>HÖGSBY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51581-2020</t>
        </is>
      </c>
      <c r="B138" s="1" t="n">
        <v>44109</v>
      </c>
      <c r="C138" s="1" t="n">
        <v>45927</v>
      </c>
      <c r="D138" t="inlineStr">
        <is>
          <t>KALMAR LÄN</t>
        </is>
      </c>
      <c r="E138" t="inlineStr">
        <is>
          <t>HÖGSBY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22688-2025</t>
        </is>
      </c>
      <c r="B139" s="1" t="n">
        <v>45789.52796296297</v>
      </c>
      <c r="C139" s="1" t="n">
        <v>45927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15034-2023</t>
        </is>
      </c>
      <c r="B140" s="1" t="n">
        <v>45015.63715277778</v>
      </c>
      <c r="C140" s="1" t="n">
        <v>45927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40137-2024</t>
        </is>
      </c>
      <c r="B141" s="1" t="n">
        <v>45554.47766203704</v>
      </c>
      <c r="C141" s="1" t="n">
        <v>45927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HYPERLINK("https://klasma.github.io/Logging_0821/knärot/A 40137-2024 karta knärot.png", "A 40137-2024")</f>
        <v/>
      </c>
      <c r="V141">
        <f>HYPERLINK("https://klasma.github.io/Logging_0821/klagomål/A 40137-2024 FSC-klagomål.docx", "A 40137-2024")</f>
        <v/>
      </c>
      <c r="W141">
        <f>HYPERLINK("https://klasma.github.io/Logging_0821/klagomålsmail/A 40137-2024 FSC-klagomål mail.docx", "A 40137-2024")</f>
        <v/>
      </c>
      <c r="X141">
        <f>HYPERLINK("https://klasma.github.io/Logging_0821/tillsyn/A 40137-2024 tillsynsbegäran.docx", "A 40137-2024")</f>
        <v/>
      </c>
      <c r="Y141">
        <f>HYPERLINK("https://klasma.github.io/Logging_0821/tillsynsmail/A 40137-2024 tillsynsbegäran mail.docx", "A 40137-2024")</f>
        <v/>
      </c>
    </row>
    <row r="142" ht="15" customHeight="1">
      <c r="A142" t="inlineStr">
        <is>
          <t>A 15451-2021</t>
        </is>
      </c>
      <c r="B142" s="1" t="n">
        <v>44285</v>
      </c>
      <c r="C142" s="1" t="n">
        <v>45927</v>
      </c>
      <c r="D142" t="inlineStr">
        <is>
          <t>KALMAR LÄN</t>
        </is>
      </c>
      <c r="E142" t="inlineStr">
        <is>
          <t>HÖGSBY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22687-2025</t>
        </is>
      </c>
      <c r="B143" s="1" t="n">
        <v>45789.51780092593</v>
      </c>
      <c r="C143" s="1" t="n">
        <v>45927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53242-2022</t>
        </is>
      </c>
      <c r="B144" s="1" t="n">
        <v>44876.65719907408</v>
      </c>
      <c r="C144" s="1" t="n">
        <v>45927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55170-2020</t>
        </is>
      </c>
      <c r="B145" s="1" t="n">
        <v>44130.57664351852</v>
      </c>
      <c r="C145" s="1" t="n">
        <v>45927</v>
      </c>
      <c r="D145" t="inlineStr">
        <is>
          <t>KALMAR LÄN</t>
        </is>
      </c>
      <c r="E145" t="inlineStr">
        <is>
          <t>HÖGSBY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1582-2024</t>
        </is>
      </c>
      <c r="B146" s="1" t="n">
        <v>45306</v>
      </c>
      <c r="C146" s="1" t="n">
        <v>45927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9384-2024</t>
        </is>
      </c>
      <c r="B147" s="1" t="n">
        <v>45359.38108796296</v>
      </c>
      <c r="C147" s="1" t="n">
        <v>45927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51621-2023</t>
        </is>
      </c>
      <c r="B148" s="1" t="n">
        <v>45222</v>
      </c>
      <c r="C148" s="1" t="n">
        <v>45927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59281-2022</t>
        </is>
      </c>
      <c r="B149" s="1" t="n">
        <v>44904</v>
      </c>
      <c r="C149" s="1" t="n">
        <v>45927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23124-2025</t>
        </is>
      </c>
      <c r="B150" s="1" t="n">
        <v>45791.37925925926</v>
      </c>
      <c r="C150" s="1" t="n">
        <v>45927</v>
      </c>
      <c r="D150" t="inlineStr">
        <is>
          <t>KALMAR LÄN</t>
        </is>
      </c>
      <c r="E150" t="inlineStr">
        <is>
          <t>HÖGSBY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40920-2021</t>
        </is>
      </c>
      <c r="B151" s="1" t="n">
        <v>44421.50768518518</v>
      </c>
      <c r="C151" s="1" t="n">
        <v>45927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13308-2024</t>
        </is>
      </c>
      <c r="B152" s="1" t="n">
        <v>45386.71230324074</v>
      </c>
      <c r="C152" s="1" t="n">
        <v>45927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44865-2023</t>
        </is>
      </c>
      <c r="B153" s="1" t="n">
        <v>45190</v>
      </c>
      <c r="C153" s="1" t="n">
        <v>45927</v>
      </c>
      <c r="D153" t="inlineStr">
        <is>
          <t>KALMAR LÄN</t>
        </is>
      </c>
      <c r="E153" t="inlineStr">
        <is>
          <t>HÖGSBY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5539-2021</t>
        </is>
      </c>
      <c r="B154" s="1" t="n">
        <v>44230</v>
      </c>
      <c r="C154" s="1" t="n">
        <v>45927</v>
      </c>
      <c r="D154" t="inlineStr">
        <is>
          <t>KALMAR LÄN</t>
        </is>
      </c>
      <c r="E154" t="inlineStr">
        <is>
          <t>HÖGSBY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23644-2025</t>
        </is>
      </c>
      <c r="B155" s="1" t="n">
        <v>45792.69271990741</v>
      </c>
      <c r="C155" s="1" t="n">
        <v>45927</v>
      </c>
      <c r="D155" t="inlineStr">
        <is>
          <t>KALMAR LÄN</t>
        </is>
      </c>
      <c r="E155" t="inlineStr">
        <is>
          <t>HÖGSBY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37811-2024</t>
        </is>
      </c>
      <c r="B156" s="1" t="n">
        <v>45544</v>
      </c>
      <c r="C156" s="1" t="n">
        <v>45927</v>
      </c>
      <c r="D156" t="inlineStr">
        <is>
          <t>KALMAR LÄN</t>
        </is>
      </c>
      <c r="E156" t="inlineStr">
        <is>
          <t>HÖGSBY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24378-2025</t>
        </is>
      </c>
      <c r="B157" s="1" t="n">
        <v>45797.62496527778</v>
      </c>
      <c r="C157" s="1" t="n">
        <v>45927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13808-2024</t>
        </is>
      </c>
      <c r="B158" s="1" t="n">
        <v>45391.39916666667</v>
      </c>
      <c r="C158" s="1" t="n">
        <v>45927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35423-2021</t>
        </is>
      </c>
      <c r="B159" s="1" t="n">
        <v>44385.44460648148</v>
      </c>
      <c r="C159" s="1" t="n">
        <v>45927</v>
      </c>
      <c r="D159" t="inlineStr">
        <is>
          <t>KALMAR LÄN</t>
        </is>
      </c>
      <c r="E159" t="inlineStr">
        <is>
          <t>HÖGSBY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24911-2023</t>
        </is>
      </c>
      <c r="B160" s="1" t="n">
        <v>45085.48943287037</v>
      </c>
      <c r="C160" s="1" t="n">
        <v>45927</v>
      </c>
      <c r="D160" t="inlineStr">
        <is>
          <t>KALMAR LÄN</t>
        </is>
      </c>
      <c r="E160" t="inlineStr">
        <is>
          <t>HÖGSBY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23887-2025</t>
        </is>
      </c>
      <c r="B161" s="1" t="n">
        <v>45793.78212962963</v>
      </c>
      <c r="C161" s="1" t="n">
        <v>45927</v>
      </c>
      <c r="D161" t="inlineStr">
        <is>
          <t>KALMAR LÄN</t>
        </is>
      </c>
      <c r="E161" t="inlineStr">
        <is>
          <t>HÖGSBY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29029-2024</t>
        </is>
      </c>
      <c r="B162" s="1" t="n">
        <v>45481.59611111111</v>
      </c>
      <c r="C162" s="1" t="n">
        <v>45927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24013-2025</t>
        </is>
      </c>
      <c r="B163" s="1" t="n">
        <v>45796.448125</v>
      </c>
      <c r="C163" s="1" t="n">
        <v>45927</v>
      </c>
      <c r="D163" t="inlineStr">
        <is>
          <t>KALMAR LÄN</t>
        </is>
      </c>
      <c r="E163" t="inlineStr">
        <is>
          <t>HÖGSBY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8116-2025</t>
        </is>
      </c>
      <c r="B164" s="1" t="n">
        <v>45707.74365740741</v>
      </c>
      <c r="C164" s="1" t="n">
        <v>45927</v>
      </c>
      <c r="D164" t="inlineStr">
        <is>
          <t>KALMAR LÄN</t>
        </is>
      </c>
      <c r="E164" t="inlineStr">
        <is>
          <t>HÖGSBY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20770-2023</t>
        </is>
      </c>
      <c r="B165" s="1" t="n">
        <v>45058</v>
      </c>
      <c r="C165" s="1" t="n">
        <v>45927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12210-2025</t>
        </is>
      </c>
      <c r="B166" s="1" t="n">
        <v>45729.53024305555</v>
      </c>
      <c r="C166" s="1" t="n">
        <v>45927</v>
      </c>
      <c r="D166" t="inlineStr">
        <is>
          <t>KALMAR LÄN</t>
        </is>
      </c>
      <c r="E166" t="inlineStr">
        <is>
          <t>HÖGSBY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49631-2020</t>
        </is>
      </c>
      <c r="B167" s="1" t="n">
        <v>44106</v>
      </c>
      <c r="C167" s="1" t="n">
        <v>45927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3507-2021</t>
        </is>
      </c>
      <c r="B168" s="1" t="n">
        <v>44216</v>
      </c>
      <c r="C168" s="1" t="n">
        <v>45927</v>
      </c>
      <c r="D168" t="inlineStr">
        <is>
          <t>KALMAR LÄN</t>
        </is>
      </c>
      <c r="E168" t="inlineStr">
        <is>
          <t>HÖGSBY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10244-2024</t>
        </is>
      </c>
      <c r="B169" s="1" t="n">
        <v>45365.37284722222</v>
      </c>
      <c r="C169" s="1" t="n">
        <v>45927</v>
      </c>
      <c r="D169" t="inlineStr">
        <is>
          <t>KALMAR LÄN</t>
        </is>
      </c>
      <c r="E169" t="inlineStr">
        <is>
          <t>HÖGSBY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38520-2023</t>
        </is>
      </c>
      <c r="B170" s="1" t="n">
        <v>45162</v>
      </c>
      <c r="C170" s="1" t="n">
        <v>45927</v>
      </c>
      <c r="D170" t="inlineStr">
        <is>
          <t>KALMAR LÄN</t>
        </is>
      </c>
      <c r="E170" t="inlineStr">
        <is>
          <t>HÖGSBY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24178-2025</t>
        </is>
      </c>
      <c r="B171" s="1" t="n">
        <v>45796</v>
      </c>
      <c r="C171" s="1" t="n">
        <v>45927</v>
      </c>
      <c r="D171" t="inlineStr">
        <is>
          <t>KALMAR LÄN</t>
        </is>
      </c>
      <c r="E171" t="inlineStr">
        <is>
          <t>HÖGSBY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8613-2022</t>
        </is>
      </c>
      <c r="B172" s="1" t="n">
        <v>44613</v>
      </c>
      <c r="C172" s="1" t="n">
        <v>45927</v>
      </c>
      <c r="D172" t="inlineStr">
        <is>
          <t>KALMAR LÄN</t>
        </is>
      </c>
      <c r="E172" t="inlineStr">
        <is>
          <t>HÖGSBY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26545-2024</t>
        </is>
      </c>
      <c r="B173" s="1" t="n">
        <v>45469.61905092592</v>
      </c>
      <c r="C173" s="1" t="n">
        <v>45927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7680-2024</t>
        </is>
      </c>
      <c r="B174" s="1" t="n">
        <v>45348.89568287037</v>
      </c>
      <c r="C174" s="1" t="n">
        <v>45927</v>
      </c>
      <c r="D174" t="inlineStr">
        <is>
          <t>KALMAR LÄN</t>
        </is>
      </c>
      <c r="E174" t="inlineStr">
        <is>
          <t>HÖGSBY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9427-2023</t>
        </is>
      </c>
      <c r="B175" s="1" t="n">
        <v>44981</v>
      </c>
      <c r="C175" s="1" t="n">
        <v>45927</v>
      </c>
      <c r="D175" t="inlineStr">
        <is>
          <t>KALMAR LÄN</t>
        </is>
      </c>
      <c r="E175" t="inlineStr">
        <is>
          <t>HÖGSBY</t>
        </is>
      </c>
      <c r="F175" t="inlineStr">
        <is>
          <t>Övriga Aktiebolag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25426-2025</t>
        </is>
      </c>
      <c r="B176" s="1" t="n">
        <v>45800.70418981482</v>
      </c>
      <c r="C176" s="1" t="n">
        <v>45927</v>
      </c>
      <c r="D176" t="inlineStr">
        <is>
          <t>KALMAR LÄN</t>
        </is>
      </c>
      <c r="E176" t="inlineStr">
        <is>
          <t>HÖGSBY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3982-2023</t>
        </is>
      </c>
      <c r="B177" s="1" t="n">
        <v>44950</v>
      </c>
      <c r="C177" s="1" t="n">
        <v>45927</v>
      </c>
      <c r="D177" t="inlineStr">
        <is>
          <t>KALMAR LÄN</t>
        </is>
      </c>
      <c r="E177" t="inlineStr">
        <is>
          <t>HÖGSBY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45650-2023</t>
        </is>
      </c>
      <c r="B178" s="1" t="n">
        <v>45194.70943287037</v>
      </c>
      <c r="C178" s="1" t="n">
        <v>45927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25948-2025</t>
        </is>
      </c>
      <c r="B179" s="1" t="n">
        <v>45804.59537037037</v>
      </c>
      <c r="C179" s="1" t="n">
        <v>45927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57000-2024</t>
        </is>
      </c>
      <c r="B180" s="1" t="n">
        <v>45626</v>
      </c>
      <c r="C180" s="1" t="n">
        <v>45927</v>
      </c>
      <c r="D180" t="inlineStr">
        <is>
          <t>KALMAR LÄN</t>
        </is>
      </c>
      <c r="E180" t="inlineStr">
        <is>
          <t>HÖGSBY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11478-2023</t>
        </is>
      </c>
      <c r="B181" s="1" t="n">
        <v>44991</v>
      </c>
      <c r="C181" s="1" t="n">
        <v>45927</v>
      </c>
      <c r="D181" t="inlineStr">
        <is>
          <t>KALMAR LÄN</t>
        </is>
      </c>
      <c r="E181" t="inlineStr">
        <is>
          <t>HÖGSBY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25875-2025</t>
        </is>
      </c>
      <c r="B182" s="1" t="n">
        <v>45804</v>
      </c>
      <c r="C182" s="1" t="n">
        <v>45927</v>
      </c>
      <c r="D182" t="inlineStr">
        <is>
          <t>KALMAR LÄN</t>
        </is>
      </c>
      <c r="E182" t="inlineStr">
        <is>
          <t>HÖGSBY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25899-2025</t>
        </is>
      </c>
      <c r="B183" s="1" t="n">
        <v>45804.54818287037</v>
      </c>
      <c r="C183" s="1" t="n">
        <v>45927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7599-2024</t>
        </is>
      </c>
      <c r="B184" s="1" t="n">
        <v>45348.55726851852</v>
      </c>
      <c r="C184" s="1" t="n">
        <v>45927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25905-2025</t>
        </is>
      </c>
      <c r="B185" s="1" t="n">
        <v>45804.55607638889</v>
      </c>
      <c r="C185" s="1" t="n">
        <v>45927</v>
      </c>
      <c r="D185" t="inlineStr">
        <is>
          <t>KALMAR LÄN</t>
        </is>
      </c>
      <c r="E185" t="inlineStr">
        <is>
          <t>HÖGSBY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26052-2025</t>
        </is>
      </c>
      <c r="B186" s="1" t="n">
        <v>45804.75068287037</v>
      </c>
      <c r="C186" s="1" t="n">
        <v>45927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10413-2023</t>
        </is>
      </c>
      <c r="B187" s="1" t="n">
        <v>44987.50263888889</v>
      </c>
      <c r="C187" s="1" t="n">
        <v>45927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49338-2022</t>
        </is>
      </c>
      <c r="B188" s="1" t="n">
        <v>44861.56807870371</v>
      </c>
      <c r="C188" s="1" t="n">
        <v>45927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21496-2021</t>
        </is>
      </c>
      <c r="B189" s="1" t="n">
        <v>44321</v>
      </c>
      <c r="C189" s="1" t="n">
        <v>45927</v>
      </c>
      <c r="D189" t="inlineStr">
        <is>
          <t>KALMAR LÄN</t>
        </is>
      </c>
      <c r="E189" t="inlineStr">
        <is>
          <t>HÖGSBY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8463-2023</t>
        </is>
      </c>
      <c r="B190" s="1" t="n">
        <v>44972</v>
      </c>
      <c r="C190" s="1" t="n">
        <v>45927</v>
      </c>
      <c r="D190" t="inlineStr">
        <is>
          <t>KALMAR LÄN</t>
        </is>
      </c>
      <c r="E190" t="inlineStr">
        <is>
          <t>HÖGSBY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30890-2023</t>
        </is>
      </c>
      <c r="B191" s="1" t="n">
        <v>45113.39403935185</v>
      </c>
      <c r="C191" s="1" t="n">
        <v>45927</v>
      </c>
      <c r="D191" t="inlineStr">
        <is>
          <t>KALMAR LÄN</t>
        </is>
      </c>
      <c r="E191" t="inlineStr">
        <is>
          <t>HÖGSBY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8341-2025</t>
        </is>
      </c>
      <c r="B192" s="1" t="n">
        <v>45708</v>
      </c>
      <c r="C192" s="1" t="n">
        <v>45927</v>
      </c>
      <c r="D192" t="inlineStr">
        <is>
          <t>KALMAR LÄN</t>
        </is>
      </c>
      <c r="E192" t="inlineStr">
        <is>
          <t>HÖGSBY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53327-2022</t>
        </is>
      </c>
      <c r="B193" s="1" t="n">
        <v>44879.2925</v>
      </c>
      <c r="C193" s="1" t="n">
        <v>45927</v>
      </c>
      <c r="D193" t="inlineStr">
        <is>
          <t>KALMAR LÄN</t>
        </is>
      </c>
      <c r="E193" t="inlineStr">
        <is>
          <t>HÖGSBY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9592-2024</t>
        </is>
      </c>
      <c r="B194" s="1" t="n">
        <v>45360.7003125</v>
      </c>
      <c r="C194" s="1" t="n">
        <v>45927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59409-2022</t>
        </is>
      </c>
      <c r="B195" s="1" t="n">
        <v>44907</v>
      </c>
      <c r="C195" s="1" t="n">
        <v>45927</v>
      </c>
      <c r="D195" t="inlineStr">
        <is>
          <t>KALMAR LÄN</t>
        </is>
      </c>
      <c r="E195" t="inlineStr">
        <is>
          <t>HÖGSBY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10504-2024</t>
        </is>
      </c>
      <c r="B196" s="1" t="n">
        <v>45366.49097222222</v>
      </c>
      <c r="C196" s="1" t="n">
        <v>45927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40155-2023</t>
        </is>
      </c>
      <c r="B197" s="1" t="n">
        <v>45168</v>
      </c>
      <c r="C197" s="1" t="n">
        <v>45927</v>
      </c>
      <c r="D197" t="inlineStr">
        <is>
          <t>KALMAR LÄN</t>
        </is>
      </c>
      <c r="E197" t="inlineStr">
        <is>
          <t>HÖGSBY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47797-2024</t>
        </is>
      </c>
      <c r="B198" s="1" t="n">
        <v>45588.60645833334</v>
      </c>
      <c r="C198" s="1" t="n">
        <v>45927</v>
      </c>
      <c r="D198" t="inlineStr">
        <is>
          <t>KALMAR LÄN</t>
        </is>
      </c>
      <c r="E198" t="inlineStr">
        <is>
          <t>HÖGSBY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24611-2024</t>
        </is>
      </c>
      <c r="B199" s="1" t="n">
        <v>45460.48354166667</v>
      </c>
      <c r="C199" s="1" t="n">
        <v>45927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22524-2024</t>
        </is>
      </c>
      <c r="B200" s="1" t="n">
        <v>45447.43503472222</v>
      </c>
      <c r="C200" s="1" t="n">
        <v>45927</v>
      </c>
      <c r="D200" t="inlineStr">
        <is>
          <t>KALMAR LÄN</t>
        </is>
      </c>
      <c r="E200" t="inlineStr">
        <is>
          <t>HÖGSBY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51619-2023</t>
        </is>
      </c>
      <c r="B201" s="1" t="n">
        <v>45222</v>
      </c>
      <c r="C201" s="1" t="n">
        <v>45927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38596-2024</t>
        </is>
      </c>
      <c r="B202" s="1" t="n">
        <v>45546.66493055555</v>
      </c>
      <c r="C202" s="1" t="n">
        <v>45927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50426-2024</t>
        </is>
      </c>
      <c r="B203" s="1" t="n">
        <v>45600</v>
      </c>
      <c r="C203" s="1" t="n">
        <v>45927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33112-2023</t>
        </is>
      </c>
      <c r="B204" s="1" t="n">
        <v>45126</v>
      </c>
      <c r="C204" s="1" t="n">
        <v>45927</v>
      </c>
      <c r="D204" t="inlineStr">
        <is>
          <t>KALMAR LÄN</t>
        </is>
      </c>
      <c r="E204" t="inlineStr">
        <is>
          <t>HÖGSBY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42072-2024</t>
        </is>
      </c>
      <c r="B205" s="1" t="n">
        <v>45562.28719907408</v>
      </c>
      <c r="C205" s="1" t="n">
        <v>45927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31429-2023</t>
        </is>
      </c>
      <c r="B206" s="1" t="n">
        <v>45114.61946759259</v>
      </c>
      <c r="C206" s="1" t="n">
        <v>45927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10412-2022</t>
        </is>
      </c>
      <c r="B207" s="1" t="n">
        <v>44623</v>
      </c>
      <c r="C207" s="1" t="n">
        <v>45927</v>
      </c>
      <c r="D207" t="inlineStr">
        <is>
          <t>KALMAR LÄN</t>
        </is>
      </c>
      <c r="E207" t="inlineStr">
        <is>
          <t>HÖGSBY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38608-2024</t>
        </is>
      </c>
      <c r="B208" s="1" t="n">
        <v>45546.67864583333</v>
      </c>
      <c r="C208" s="1" t="n">
        <v>45927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4931-2024</t>
        </is>
      </c>
      <c r="B209" s="1" t="n">
        <v>45329</v>
      </c>
      <c r="C209" s="1" t="n">
        <v>45927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28086-2025</t>
        </is>
      </c>
      <c r="B210" s="1" t="n">
        <v>45817.72613425926</v>
      </c>
      <c r="C210" s="1" t="n">
        <v>45927</v>
      </c>
      <c r="D210" t="inlineStr">
        <is>
          <t>KALMAR LÄN</t>
        </is>
      </c>
      <c r="E210" t="inlineStr">
        <is>
          <t>HÖGSBY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28349-2025</t>
        </is>
      </c>
      <c r="B211" s="1" t="n">
        <v>45818</v>
      </c>
      <c r="C211" s="1" t="n">
        <v>45927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42073-2024</t>
        </is>
      </c>
      <c r="B212" s="1" t="n">
        <v>45562.28920138889</v>
      </c>
      <c r="C212" s="1" t="n">
        <v>45927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4333-2024</t>
        </is>
      </c>
      <c r="B213" s="1" t="n">
        <v>45324.68684027778</v>
      </c>
      <c r="C213" s="1" t="n">
        <v>45927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55703-2023</t>
        </is>
      </c>
      <c r="B214" s="1" t="n">
        <v>45239</v>
      </c>
      <c r="C214" s="1" t="n">
        <v>45927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18099-2023</t>
        </is>
      </c>
      <c r="B215" s="1" t="n">
        <v>45040.67196759259</v>
      </c>
      <c r="C215" s="1" t="n">
        <v>45927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56332-2024</t>
        </is>
      </c>
      <c r="B216" s="1" t="n">
        <v>45624.79982638889</v>
      </c>
      <c r="C216" s="1" t="n">
        <v>45927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6478-2022</t>
        </is>
      </c>
      <c r="B217" s="1" t="n">
        <v>44601</v>
      </c>
      <c r="C217" s="1" t="n">
        <v>45927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8617-2024</t>
        </is>
      </c>
      <c r="B218" s="1" t="n">
        <v>45355.72739583333</v>
      </c>
      <c r="C218" s="1" t="n">
        <v>45927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17185-2022</t>
        </is>
      </c>
      <c r="B219" s="1" t="n">
        <v>44677</v>
      </c>
      <c r="C219" s="1" t="n">
        <v>45927</v>
      </c>
      <c r="D219" t="inlineStr">
        <is>
          <t>KALMAR LÄN</t>
        </is>
      </c>
      <c r="E219" t="inlineStr">
        <is>
          <t>HÖGSBY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59700-2023</t>
        </is>
      </c>
      <c r="B220" s="1" t="n">
        <v>45256.8952199074</v>
      </c>
      <c r="C220" s="1" t="n">
        <v>45927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38285-2023</t>
        </is>
      </c>
      <c r="B221" s="1" t="n">
        <v>45160</v>
      </c>
      <c r="C221" s="1" t="n">
        <v>45927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54941-2022</t>
        </is>
      </c>
      <c r="B222" s="1" t="n">
        <v>44886.45516203704</v>
      </c>
      <c r="C222" s="1" t="n">
        <v>45927</v>
      </c>
      <c r="D222" t="inlineStr">
        <is>
          <t>KALMAR LÄN</t>
        </is>
      </c>
      <c r="E222" t="inlineStr">
        <is>
          <t>HÖGSBY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58753-2022</t>
        </is>
      </c>
      <c r="B223" s="1" t="n">
        <v>44903.33788194445</v>
      </c>
      <c r="C223" s="1" t="n">
        <v>45927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42076-2024</t>
        </is>
      </c>
      <c r="B224" s="1" t="n">
        <v>45562.30304398148</v>
      </c>
      <c r="C224" s="1" t="n">
        <v>45927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46285-2024</t>
        </is>
      </c>
      <c r="B225" s="1" t="n">
        <v>45581.64787037037</v>
      </c>
      <c r="C225" s="1" t="n">
        <v>45927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47503-2023</t>
        </is>
      </c>
      <c r="B226" s="1" t="n">
        <v>45203.2680787037</v>
      </c>
      <c r="C226" s="1" t="n">
        <v>45927</v>
      </c>
      <c r="D226" t="inlineStr">
        <is>
          <t>KALMAR LÄN</t>
        </is>
      </c>
      <c r="E226" t="inlineStr">
        <is>
          <t>HÖGSBY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41479-2023</t>
        </is>
      </c>
      <c r="B227" s="1" t="n">
        <v>45175.44179398148</v>
      </c>
      <c r="C227" s="1" t="n">
        <v>45927</v>
      </c>
      <c r="D227" t="inlineStr">
        <is>
          <t>KALMAR LÄN</t>
        </is>
      </c>
      <c r="E227" t="inlineStr">
        <is>
          <t>HÖGSBY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16014-2025</t>
        </is>
      </c>
      <c r="B228" s="1" t="n">
        <v>45749.60484953703</v>
      </c>
      <c r="C228" s="1" t="n">
        <v>45927</v>
      </c>
      <c r="D228" t="inlineStr">
        <is>
          <t>KALMAR LÄN</t>
        </is>
      </c>
      <c r="E228" t="inlineStr">
        <is>
          <t>HÖGSBY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10954-2024</t>
        </is>
      </c>
      <c r="B229" s="1" t="n">
        <v>45370.48122685185</v>
      </c>
      <c r="C229" s="1" t="n">
        <v>45927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44437-2023</t>
        </is>
      </c>
      <c r="B230" s="1" t="n">
        <v>45189</v>
      </c>
      <c r="C230" s="1" t="n">
        <v>45927</v>
      </c>
      <c r="D230" t="inlineStr">
        <is>
          <t>KALMAR LÄN</t>
        </is>
      </c>
      <c r="E230" t="inlineStr">
        <is>
          <t>HÖGSBY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25861-2023</t>
        </is>
      </c>
      <c r="B231" s="1" t="n">
        <v>45090.59741898148</v>
      </c>
      <c r="C231" s="1" t="n">
        <v>45927</v>
      </c>
      <c r="D231" t="inlineStr">
        <is>
          <t>KALMAR LÄN</t>
        </is>
      </c>
      <c r="E231" t="inlineStr">
        <is>
          <t>HÖGSBY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25876-2023</t>
        </is>
      </c>
      <c r="B232" s="1" t="n">
        <v>45090</v>
      </c>
      <c r="C232" s="1" t="n">
        <v>45927</v>
      </c>
      <c r="D232" t="inlineStr">
        <is>
          <t>KALMAR LÄN</t>
        </is>
      </c>
      <c r="E232" t="inlineStr">
        <is>
          <t>HÖGSBY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11707-2025</t>
        </is>
      </c>
      <c r="B233" s="1" t="n">
        <v>45727.58512731481</v>
      </c>
      <c r="C233" s="1" t="n">
        <v>45927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38802-2024</t>
        </is>
      </c>
      <c r="B234" s="1" t="n">
        <v>45547.53318287037</v>
      </c>
      <c r="C234" s="1" t="n">
        <v>45927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35723-2024</t>
        </is>
      </c>
      <c r="B235" s="1" t="n">
        <v>45532.49380787037</v>
      </c>
      <c r="C235" s="1" t="n">
        <v>45927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47236-2023</t>
        </is>
      </c>
      <c r="B236" s="1" t="n">
        <v>45202</v>
      </c>
      <c r="C236" s="1" t="n">
        <v>45927</v>
      </c>
      <c r="D236" t="inlineStr">
        <is>
          <t>KALMAR LÄN</t>
        </is>
      </c>
      <c r="E236" t="inlineStr">
        <is>
          <t>HÖGSBY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50458-2022</t>
        </is>
      </c>
      <c r="B237" s="1" t="n">
        <v>44866.48024305556</v>
      </c>
      <c r="C237" s="1" t="n">
        <v>45927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9700-2023</t>
        </is>
      </c>
      <c r="B238" s="1" t="n">
        <v>44984.46820601852</v>
      </c>
      <c r="C238" s="1" t="n">
        <v>45927</v>
      </c>
      <c r="D238" t="inlineStr">
        <is>
          <t>KALMAR LÄN</t>
        </is>
      </c>
      <c r="E238" t="inlineStr">
        <is>
          <t>HÖGSBY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6823-2025</t>
        </is>
      </c>
      <c r="B239" s="1" t="n">
        <v>45700</v>
      </c>
      <c r="C239" s="1" t="n">
        <v>45927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6824-2025</t>
        </is>
      </c>
      <c r="B240" s="1" t="n">
        <v>45700</v>
      </c>
      <c r="C240" s="1" t="n">
        <v>45927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38269-2024</t>
        </is>
      </c>
      <c r="B241" s="1" t="n">
        <v>45545</v>
      </c>
      <c r="C241" s="1" t="n">
        <v>45927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60555-2021</t>
        </is>
      </c>
      <c r="B242" s="1" t="n">
        <v>44496.54194444444</v>
      </c>
      <c r="C242" s="1" t="n">
        <v>45927</v>
      </c>
      <c r="D242" t="inlineStr">
        <is>
          <t>KALMAR LÄN</t>
        </is>
      </c>
      <c r="E242" t="inlineStr">
        <is>
          <t>HÖGSBY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12899-2021</t>
        </is>
      </c>
      <c r="B243" s="1" t="n">
        <v>44271.46438657407</v>
      </c>
      <c r="C243" s="1" t="n">
        <v>45927</v>
      </c>
      <c r="D243" t="inlineStr">
        <is>
          <t>KALMAR LÄN</t>
        </is>
      </c>
      <c r="E243" t="inlineStr">
        <is>
          <t>HÖGSBY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44436-2023</t>
        </is>
      </c>
      <c r="B244" s="1" t="n">
        <v>45189</v>
      </c>
      <c r="C244" s="1" t="n">
        <v>45927</v>
      </c>
      <c r="D244" t="inlineStr">
        <is>
          <t>KALMAR LÄN</t>
        </is>
      </c>
      <c r="E244" t="inlineStr">
        <is>
          <t>HÖGSBY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36909-2023</t>
        </is>
      </c>
      <c r="B245" s="1" t="n">
        <v>45154.65267361111</v>
      </c>
      <c r="C245" s="1" t="n">
        <v>45927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64130-2023</t>
        </is>
      </c>
      <c r="B246" s="1" t="n">
        <v>45279.52777777778</v>
      </c>
      <c r="C246" s="1" t="n">
        <v>45927</v>
      </c>
      <c r="D246" t="inlineStr">
        <is>
          <t>KALMAR LÄN</t>
        </is>
      </c>
      <c r="E246" t="inlineStr">
        <is>
          <t>HÖGSBY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8108-2025</t>
        </is>
      </c>
      <c r="B247" s="1" t="n">
        <v>45707.71280092592</v>
      </c>
      <c r="C247" s="1" t="n">
        <v>45927</v>
      </c>
      <c r="D247" t="inlineStr">
        <is>
          <t>KALMAR LÄN</t>
        </is>
      </c>
      <c r="E247" t="inlineStr">
        <is>
          <t>HÖGSBY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12757-2023</t>
        </is>
      </c>
      <c r="B248" s="1" t="n">
        <v>45001.27540509259</v>
      </c>
      <c r="C248" s="1" t="n">
        <v>45927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25223-2022</t>
        </is>
      </c>
      <c r="B249" s="1" t="n">
        <v>44729</v>
      </c>
      <c r="C249" s="1" t="n">
        <v>45927</v>
      </c>
      <c r="D249" t="inlineStr">
        <is>
          <t>KALMAR LÄN</t>
        </is>
      </c>
      <c r="E249" t="inlineStr">
        <is>
          <t>HÖGSBY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39892-2024</t>
        </is>
      </c>
      <c r="B250" s="1" t="n">
        <v>45553</v>
      </c>
      <c r="C250" s="1" t="n">
        <v>45927</v>
      </c>
      <c r="D250" t="inlineStr">
        <is>
          <t>KALMAR LÄN</t>
        </is>
      </c>
      <c r="E250" t="inlineStr">
        <is>
          <t>HÖGSBY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24609-2024</t>
        </is>
      </c>
      <c r="B251" s="1" t="n">
        <v>45460.48144675926</v>
      </c>
      <c r="C251" s="1" t="n">
        <v>45927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29640-2025</t>
        </is>
      </c>
      <c r="B252" s="1" t="n">
        <v>45825.46209490741</v>
      </c>
      <c r="C252" s="1" t="n">
        <v>45927</v>
      </c>
      <c r="D252" t="inlineStr">
        <is>
          <t>KALMAR LÄN</t>
        </is>
      </c>
      <c r="E252" t="inlineStr">
        <is>
          <t>HÖGSBY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29646-2025</t>
        </is>
      </c>
      <c r="B253" s="1" t="n">
        <v>45825.46601851852</v>
      </c>
      <c r="C253" s="1" t="n">
        <v>45927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30294-2022</t>
        </is>
      </c>
      <c r="B254" s="1" t="n">
        <v>44760</v>
      </c>
      <c r="C254" s="1" t="n">
        <v>45927</v>
      </c>
      <c r="D254" t="inlineStr">
        <is>
          <t>KALMAR LÄN</t>
        </is>
      </c>
      <c r="E254" t="inlineStr">
        <is>
          <t>HÖGSBY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5088-2025</t>
        </is>
      </c>
      <c r="B255" s="1" t="n">
        <v>45691.52231481481</v>
      </c>
      <c r="C255" s="1" t="n">
        <v>45927</v>
      </c>
      <c r="D255" t="inlineStr">
        <is>
          <t>KALMAR LÄN</t>
        </is>
      </c>
      <c r="E255" t="inlineStr">
        <is>
          <t>HÖGSBY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32049-2023</t>
        </is>
      </c>
      <c r="B256" s="1" t="n">
        <v>45119.55300925926</v>
      </c>
      <c r="C256" s="1" t="n">
        <v>45927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53328-2022</t>
        </is>
      </c>
      <c r="B257" s="1" t="n">
        <v>44879.29515046296</v>
      </c>
      <c r="C257" s="1" t="n">
        <v>45927</v>
      </c>
      <c r="D257" t="inlineStr">
        <is>
          <t>KALMAR LÄN</t>
        </is>
      </c>
      <c r="E257" t="inlineStr">
        <is>
          <t>HÖGSBY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58792-2022</t>
        </is>
      </c>
      <c r="B258" s="1" t="n">
        <v>44903</v>
      </c>
      <c r="C258" s="1" t="n">
        <v>45927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7678-2024</t>
        </is>
      </c>
      <c r="B259" s="1" t="n">
        <v>45348.88706018519</v>
      </c>
      <c r="C259" s="1" t="n">
        <v>45927</v>
      </c>
      <c r="D259" t="inlineStr">
        <is>
          <t>KALMAR LÄN</t>
        </is>
      </c>
      <c r="E259" t="inlineStr">
        <is>
          <t>HÖGSBY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38824-2024</t>
        </is>
      </c>
      <c r="B260" s="1" t="n">
        <v>45547.56364583333</v>
      </c>
      <c r="C260" s="1" t="n">
        <v>45927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41706-2023</t>
        </is>
      </c>
      <c r="B261" s="1" t="n">
        <v>45176.38636574074</v>
      </c>
      <c r="C261" s="1" t="n">
        <v>45927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10409-2023</t>
        </is>
      </c>
      <c r="B262" s="1" t="n">
        <v>44987</v>
      </c>
      <c r="C262" s="1" t="n">
        <v>45927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11694-2025</t>
        </is>
      </c>
      <c r="B263" s="1" t="n">
        <v>45727.57010416667</v>
      </c>
      <c r="C263" s="1" t="n">
        <v>45927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28648-2023</t>
        </is>
      </c>
      <c r="B264" s="1" t="n">
        <v>45103.64608796296</v>
      </c>
      <c r="C264" s="1" t="n">
        <v>45927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14193-2024</t>
        </is>
      </c>
      <c r="B265" s="1" t="n">
        <v>45393.36902777778</v>
      </c>
      <c r="C265" s="1" t="n">
        <v>45927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62562-2022</t>
        </is>
      </c>
      <c r="B266" s="1" t="n">
        <v>44924.78539351852</v>
      </c>
      <c r="C266" s="1" t="n">
        <v>45927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14894-2025</t>
        </is>
      </c>
      <c r="B267" s="1" t="n">
        <v>45743</v>
      </c>
      <c r="C267" s="1" t="n">
        <v>45927</v>
      </c>
      <c r="D267" t="inlineStr">
        <is>
          <t>KALMAR LÄN</t>
        </is>
      </c>
      <c r="E267" t="inlineStr">
        <is>
          <t>HÖGSBY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29895-2025</t>
        </is>
      </c>
      <c r="B268" s="1" t="n">
        <v>45826.38111111111</v>
      </c>
      <c r="C268" s="1" t="n">
        <v>45927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9616-2022</t>
        </is>
      </c>
      <c r="B269" s="1" t="n">
        <v>44617</v>
      </c>
      <c r="C269" s="1" t="n">
        <v>45927</v>
      </c>
      <c r="D269" t="inlineStr">
        <is>
          <t>KALMAR LÄN</t>
        </is>
      </c>
      <c r="E269" t="inlineStr">
        <is>
          <t>HÖGSBY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17864-2025</t>
        </is>
      </c>
      <c r="B270" s="1" t="n">
        <v>45758.62858796296</v>
      </c>
      <c r="C270" s="1" t="n">
        <v>45927</v>
      </c>
      <c r="D270" t="inlineStr">
        <is>
          <t>KALMAR LÄN</t>
        </is>
      </c>
      <c r="E270" t="inlineStr">
        <is>
          <t>HÖGSBY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73709-2021</t>
        </is>
      </c>
      <c r="B271" s="1" t="n">
        <v>44552</v>
      </c>
      <c r="C271" s="1" t="n">
        <v>45927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20398-2025</t>
        </is>
      </c>
      <c r="B272" s="1" t="n">
        <v>45775.45506944445</v>
      </c>
      <c r="C272" s="1" t="n">
        <v>45927</v>
      </c>
      <c r="D272" t="inlineStr">
        <is>
          <t>KALMAR LÄN</t>
        </is>
      </c>
      <c r="E272" t="inlineStr">
        <is>
          <t>HÖGSBY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59430-2023</t>
        </is>
      </c>
      <c r="B273" s="1" t="n">
        <v>45254.288125</v>
      </c>
      <c r="C273" s="1" t="n">
        <v>45927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24612-2024</t>
        </is>
      </c>
      <c r="B274" s="1" t="n">
        <v>45460.48450231482</v>
      </c>
      <c r="C274" s="1" t="n">
        <v>45927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29899-2025</t>
        </is>
      </c>
      <c r="B275" s="1" t="n">
        <v>45826.38655092593</v>
      </c>
      <c r="C275" s="1" t="n">
        <v>45927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52177-2022</t>
        </is>
      </c>
      <c r="B276" s="1" t="n">
        <v>44868</v>
      </c>
      <c r="C276" s="1" t="n">
        <v>45927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39629-2024</t>
        </is>
      </c>
      <c r="B277" s="1" t="n">
        <v>45552.43846064815</v>
      </c>
      <c r="C277" s="1" t="n">
        <v>45927</v>
      </c>
      <c r="D277" t="inlineStr">
        <is>
          <t>KALMAR LÄN</t>
        </is>
      </c>
      <c r="E277" t="inlineStr">
        <is>
          <t>HÖGSBY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12396-2023</t>
        </is>
      </c>
      <c r="B278" s="1" t="n">
        <v>44999</v>
      </c>
      <c r="C278" s="1" t="n">
        <v>45927</v>
      </c>
      <c r="D278" t="inlineStr">
        <is>
          <t>KALMAR LÄN</t>
        </is>
      </c>
      <c r="E278" t="inlineStr">
        <is>
          <t>HÖGSBY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58679-2022</t>
        </is>
      </c>
      <c r="B279" s="1" t="n">
        <v>44902.68434027778</v>
      </c>
      <c r="C279" s="1" t="n">
        <v>45927</v>
      </c>
      <c r="D279" t="inlineStr">
        <is>
          <t>KALMAR LÄN</t>
        </is>
      </c>
      <c r="E279" t="inlineStr">
        <is>
          <t>HÖGSBY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3548-2024</t>
        </is>
      </c>
      <c r="B280" s="1" t="n">
        <v>45320.60097222222</v>
      </c>
      <c r="C280" s="1" t="n">
        <v>45927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9454-2023</t>
        </is>
      </c>
      <c r="B281" s="1" t="n">
        <v>44981</v>
      </c>
      <c r="C281" s="1" t="n">
        <v>45927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60446-2023</t>
        </is>
      </c>
      <c r="B282" s="1" t="n">
        <v>45259.53137731482</v>
      </c>
      <c r="C282" s="1" t="n">
        <v>45927</v>
      </c>
      <c r="D282" t="inlineStr">
        <is>
          <t>KALMAR LÄN</t>
        </is>
      </c>
      <c r="E282" t="inlineStr">
        <is>
          <t>HÖGSBY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50428-2024</t>
        </is>
      </c>
      <c r="B283" s="1" t="n">
        <v>45600</v>
      </c>
      <c r="C283" s="1" t="n">
        <v>45927</v>
      </c>
      <c r="D283" t="inlineStr">
        <is>
          <t>KALMAR LÄN</t>
        </is>
      </c>
      <c r="E283" t="inlineStr">
        <is>
          <t>HÖGSBY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32098-2025</t>
        </is>
      </c>
      <c r="B284" s="1" t="n">
        <v>45835.4666087963</v>
      </c>
      <c r="C284" s="1" t="n">
        <v>45927</v>
      </c>
      <c r="D284" t="inlineStr">
        <is>
          <t>KALMAR LÄN</t>
        </is>
      </c>
      <c r="E284" t="inlineStr">
        <is>
          <t>HÖGSBY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32083-2025</t>
        </is>
      </c>
      <c r="B285" s="1" t="n">
        <v>45835.45325231482</v>
      </c>
      <c r="C285" s="1" t="n">
        <v>45927</v>
      </c>
      <c r="D285" t="inlineStr">
        <is>
          <t>KALMAR LÄN</t>
        </is>
      </c>
      <c r="E285" t="inlineStr">
        <is>
          <t>HÖGSBY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32042-2025</t>
        </is>
      </c>
      <c r="B286" s="1" t="n">
        <v>45835.43494212963</v>
      </c>
      <c r="C286" s="1" t="n">
        <v>45927</v>
      </c>
      <c r="D286" t="inlineStr">
        <is>
          <t>KALMAR LÄN</t>
        </is>
      </c>
      <c r="E286" t="inlineStr">
        <is>
          <t>HÖGSBY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38600-2024</t>
        </is>
      </c>
      <c r="B287" s="1" t="n">
        <v>45546.67505787037</v>
      </c>
      <c r="C287" s="1" t="n">
        <v>45927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6819-2025</t>
        </is>
      </c>
      <c r="B288" s="1" t="n">
        <v>45700</v>
      </c>
      <c r="C288" s="1" t="n">
        <v>45927</v>
      </c>
      <c r="D288" t="inlineStr">
        <is>
          <t>KALMAR LÄN</t>
        </is>
      </c>
      <c r="E288" t="inlineStr">
        <is>
          <t>HÖGSBY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6828-2025</t>
        </is>
      </c>
      <c r="B289" s="1" t="n">
        <v>45700</v>
      </c>
      <c r="C289" s="1" t="n">
        <v>45927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10546-2025</t>
        </is>
      </c>
      <c r="B290" s="1" t="n">
        <v>45721.49203703704</v>
      </c>
      <c r="C290" s="1" t="n">
        <v>45927</v>
      </c>
      <c r="D290" t="inlineStr">
        <is>
          <t>KALMAR LÄN</t>
        </is>
      </c>
      <c r="E290" t="inlineStr">
        <is>
          <t>HÖGSBY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10547-2025</t>
        </is>
      </c>
      <c r="B291" s="1" t="n">
        <v>45721.49525462963</v>
      </c>
      <c r="C291" s="1" t="n">
        <v>45927</v>
      </c>
      <c r="D291" t="inlineStr">
        <is>
          <t>KALMAR LÄN</t>
        </is>
      </c>
      <c r="E291" t="inlineStr">
        <is>
          <t>HÖGSBY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32671-2025</t>
        </is>
      </c>
      <c r="B292" s="1" t="n">
        <v>45838.7009375</v>
      </c>
      <c r="C292" s="1" t="n">
        <v>45927</v>
      </c>
      <c r="D292" t="inlineStr">
        <is>
          <t>KALMAR LÄN</t>
        </is>
      </c>
      <c r="E292" t="inlineStr">
        <is>
          <t>HÖGSBY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56705-2023</t>
        </is>
      </c>
      <c r="B293" s="1" t="n">
        <v>45244</v>
      </c>
      <c r="C293" s="1" t="n">
        <v>45927</v>
      </c>
      <c r="D293" t="inlineStr">
        <is>
          <t>KALMAR LÄN</t>
        </is>
      </c>
      <c r="E293" t="inlineStr">
        <is>
          <t>HÖGSBY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32667-2025</t>
        </is>
      </c>
      <c r="B294" s="1" t="n">
        <v>45838.69145833333</v>
      </c>
      <c r="C294" s="1" t="n">
        <v>45927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32662-2025</t>
        </is>
      </c>
      <c r="B295" s="1" t="n">
        <v>45838.68005787037</v>
      </c>
      <c r="C295" s="1" t="n">
        <v>45927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32644-2025</t>
        </is>
      </c>
      <c r="B296" s="1" t="n">
        <v>45838.66334490741</v>
      </c>
      <c r="C296" s="1" t="n">
        <v>45927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58050-2023</t>
        </is>
      </c>
      <c r="B297" s="1" t="n">
        <v>45247</v>
      </c>
      <c r="C297" s="1" t="n">
        <v>45927</v>
      </c>
      <c r="D297" t="inlineStr">
        <is>
          <t>KALMAR LÄN</t>
        </is>
      </c>
      <c r="E297" t="inlineStr">
        <is>
          <t>HÖGSBY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28650-2023</t>
        </is>
      </c>
      <c r="B298" s="1" t="n">
        <v>45103.64746527778</v>
      </c>
      <c r="C298" s="1" t="n">
        <v>45927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38597-2024</t>
        </is>
      </c>
      <c r="B299" s="1" t="n">
        <v>45546.67172453704</v>
      </c>
      <c r="C299" s="1" t="n">
        <v>45927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32632-2025</t>
        </is>
      </c>
      <c r="B300" s="1" t="n">
        <v>45838.65675925926</v>
      </c>
      <c r="C300" s="1" t="n">
        <v>45927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32663-2025</t>
        </is>
      </c>
      <c r="B301" s="1" t="n">
        <v>45838.68266203703</v>
      </c>
      <c r="C301" s="1" t="n">
        <v>45927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3622-2022</t>
        </is>
      </c>
      <c r="B302" s="1" t="n">
        <v>44586</v>
      </c>
      <c r="C302" s="1" t="n">
        <v>45927</v>
      </c>
      <c r="D302" t="inlineStr">
        <is>
          <t>KALMAR LÄN</t>
        </is>
      </c>
      <c r="E302" t="inlineStr">
        <is>
          <t>HÖGSBY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23413-2023</t>
        </is>
      </c>
      <c r="B303" s="1" t="n">
        <v>45076.506875</v>
      </c>
      <c r="C303" s="1" t="n">
        <v>45927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65130-2023</t>
        </is>
      </c>
      <c r="B304" s="1" t="n">
        <v>45288.50891203704</v>
      </c>
      <c r="C304" s="1" t="n">
        <v>45927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51819-2024</t>
        </is>
      </c>
      <c r="B305" s="1" t="n">
        <v>45604</v>
      </c>
      <c r="C305" s="1" t="n">
        <v>45927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33831-2025</t>
        </is>
      </c>
      <c r="B306" s="1" t="n">
        <v>45842.47414351852</v>
      </c>
      <c r="C306" s="1" t="n">
        <v>45927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33834-2025</t>
        </is>
      </c>
      <c r="B307" s="1" t="n">
        <v>45842.47575231481</v>
      </c>
      <c r="C307" s="1" t="n">
        <v>45927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10871-2023</t>
        </is>
      </c>
      <c r="B308" s="1" t="n">
        <v>44991.41760416667</v>
      </c>
      <c r="C308" s="1" t="n">
        <v>45927</v>
      </c>
      <c r="D308" t="inlineStr">
        <is>
          <t>KALMAR LÄN</t>
        </is>
      </c>
      <c r="E308" t="inlineStr">
        <is>
          <t>HÖGSBY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6597-2024</t>
        </is>
      </c>
      <c r="B309" s="1" t="n">
        <v>45341.54589120371</v>
      </c>
      <c r="C309" s="1" t="n">
        <v>45927</v>
      </c>
      <c r="D309" t="inlineStr">
        <is>
          <t>KALMAR LÄN</t>
        </is>
      </c>
      <c r="E309" t="inlineStr">
        <is>
          <t>HÖGSBY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8118-2025</t>
        </is>
      </c>
      <c r="B310" s="1" t="n">
        <v>45707.7502662037</v>
      </c>
      <c r="C310" s="1" t="n">
        <v>45927</v>
      </c>
      <c r="D310" t="inlineStr">
        <is>
          <t>KALMAR LÄN</t>
        </is>
      </c>
      <c r="E310" t="inlineStr">
        <is>
          <t>HÖGSBY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20573-2025</t>
        </is>
      </c>
      <c r="B311" s="1" t="n">
        <v>45775.67554398148</v>
      </c>
      <c r="C311" s="1" t="n">
        <v>45927</v>
      </c>
      <c r="D311" t="inlineStr">
        <is>
          <t>KALMAR LÄN</t>
        </is>
      </c>
      <c r="E311" t="inlineStr">
        <is>
          <t>HÖGSBY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33959-2025</t>
        </is>
      </c>
      <c r="B312" s="1" t="n">
        <v>45842.68583333334</v>
      </c>
      <c r="C312" s="1" t="n">
        <v>45927</v>
      </c>
      <c r="D312" t="inlineStr">
        <is>
          <t>KALMAR LÄN</t>
        </is>
      </c>
      <c r="E312" t="inlineStr">
        <is>
          <t>HÖGSBY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49486-2022</t>
        </is>
      </c>
      <c r="B313" s="1" t="n">
        <v>44861</v>
      </c>
      <c r="C313" s="1" t="n">
        <v>45927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27830-2023</t>
        </is>
      </c>
      <c r="B314" s="1" t="n">
        <v>45093</v>
      </c>
      <c r="C314" s="1" t="n">
        <v>45927</v>
      </c>
      <c r="D314" t="inlineStr">
        <is>
          <t>KALMAR LÄN</t>
        </is>
      </c>
      <c r="E314" t="inlineStr">
        <is>
          <t>HÖGSBY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34577-2025</t>
        </is>
      </c>
      <c r="B315" s="1" t="n">
        <v>45847.60380787037</v>
      </c>
      <c r="C315" s="1" t="n">
        <v>45927</v>
      </c>
      <c r="D315" t="inlineStr">
        <is>
          <t>KALMAR LÄN</t>
        </is>
      </c>
      <c r="E315" t="inlineStr">
        <is>
          <t>HÖGSBY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26927-2023</t>
        </is>
      </c>
      <c r="B316" s="1" t="n">
        <v>45093.62174768518</v>
      </c>
      <c r="C316" s="1" t="n">
        <v>45927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34579-2025</t>
        </is>
      </c>
      <c r="B317" s="1" t="n">
        <v>45847.60523148148</v>
      </c>
      <c r="C317" s="1" t="n">
        <v>45927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40990-2023</t>
        </is>
      </c>
      <c r="B318" s="1" t="n">
        <v>45173</v>
      </c>
      <c r="C318" s="1" t="n">
        <v>45927</v>
      </c>
      <c r="D318" t="inlineStr">
        <is>
          <t>KALMAR LÄN</t>
        </is>
      </c>
      <c r="E318" t="inlineStr">
        <is>
          <t>HÖGSBY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34640-2025</t>
        </is>
      </c>
      <c r="B319" s="1" t="n">
        <v>45848.31346064815</v>
      </c>
      <c r="C319" s="1" t="n">
        <v>45927</v>
      </c>
      <c r="D319" t="inlineStr">
        <is>
          <t>KALMAR LÄN</t>
        </is>
      </c>
      <c r="E319" t="inlineStr">
        <is>
          <t>HÖGSBY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44543.30291666667</v>
      </c>
      <c r="C320" s="1" t="n">
        <v>45927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53108-2023</t>
        </is>
      </c>
      <c r="B321" s="1" t="n">
        <v>45228.69381944444</v>
      </c>
      <c r="C321" s="1" t="n">
        <v>45927</v>
      </c>
      <c r="D321" t="inlineStr">
        <is>
          <t>KALMAR LÄN</t>
        </is>
      </c>
      <c r="E321" t="inlineStr">
        <is>
          <t>HÖGSBY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43213-2023</t>
        </is>
      </c>
      <c r="B322" s="1" t="n">
        <v>45183</v>
      </c>
      <c r="C322" s="1" t="n">
        <v>45927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34634-2025</t>
        </is>
      </c>
      <c r="B323" s="1" t="n">
        <v>45848.27699074074</v>
      </c>
      <c r="C323" s="1" t="n">
        <v>45927</v>
      </c>
      <c r="D323" t="inlineStr">
        <is>
          <t>KALMAR LÄN</t>
        </is>
      </c>
      <c r="E323" t="inlineStr">
        <is>
          <t>HÖGSBY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34635-2025</t>
        </is>
      </c>
      <c r="B324" s="1" t="n">
        <v>45848.28428240741</v>
      </c>
      <c r="C324" s="1" t="n">
        <v>45927</v>
      </c>
      <c r="D324" t="inlineStr">
        <is>
          <t>KALMAR LÄN</t>
        </is>
      </c>
      <c r="E324" t="inlineStr">
        <is>
          <t>HÖGSBY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40135-2024</t>
        </is>
      </c>
      <c r="B325" s="1" t="n">
        <v>45554.47412037037</v>
      </c>
      <c r="C325" s="1" t="n">
        <v>45927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55902-2024</t>
        </is>
      </c>
      <c r="B326" s="1" t="n">
        <v>45622</v>
      </c>
      <c r="C326" s="1" t="n">
        <v>45927</v>
      </c>
      <c r="D326" t="inlineStr">
        <is>
          <t>KALMAR LÄN</t>
        </is>
      </c>
      <c r="E326" t="inlineStr">
        <is>
          <t>HÖGSBY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40802-2025</t>
        </is>
      </c>
      <c r="B327" s="1" t="n">
        <v>45897.45994212963</v>
      </c>
      <c r="C327" s="1" t="n">
        <v>45927</v>
      </c>
      <c r="D327" t="inlineStr">
        <is>
          <t>KALMAR LÄN</t>
        </is>
      </c>
      <c r="E327" t="inlineStr">
        <is>
          <t>HÖGSBY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40496-2025</t>
        </is>
      </c>
      <c r="B328" s="1" t="n">
        <v>45896.31922453704</v>
      </c>
      <c r="C328" s="1" t="n">
        <v>45927</v>
      </c>
      <c r="D328" t="inlineStr">
        <is>
          <t>KALMAR LÄN</t>
        </is>
      </c>
      <c r="E328" t="inlineStr">
        <is>
          <t>HÖGSBY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45927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41619-2025</t>
        </is>
      </c>
      <c r="B330" s="1" t="n">
        <v>45901.70181712963</v>
      </c>
      <c r="C330" s="1" t="n">
        <v>45927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16766-2025</t>
        </is>
      </c>
      <c r="B331" s="1" t="n">
        <v>45754.57780092592</v>
      </c>
      <c r="C331" s="1" t="n">
        <v>45927</v>
      </c>
      <c r="D331" t="inlineStr">
        <is>
          <t>KALMAR LÄN</t>
        </is>
      </c>
      <c r="E331" t="inlineStr">
        <is>
          <t>HÖGSBY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11343-2023</t>
        </is>
      </c>
      <c r="B332" s="1" t="n">
        <v>44993.36159722223</v>
      </c>
      <c r="C332" s="1" t="n">
        <v>45927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41986-2025</t>
        </is>
      </c>
      <c r="B333" s="1" t="n">
        <v>45903.54209490741</v>
      </c>
      <c r="C333" s="1" t="n">
        <v>45927</v>
      </c>
      <c r="D333" t="inlineStr">
        <is>
          <t>KALMAR LÄN</t>
        </is>
      </c>
      <c r="E333" t="inlineStr">
        <is>
          <t>HÖGSBY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7325-2025</t>
        </is>
      </c>
      <c r="B334" s="1" t="n">
        <v>45702</v>
      </c>
      <c r="C334" s="1" t="n">
        <v>45927</v>
      </c>
      <c r="D334" t="inlineStr">
        <is>
          <t>KALMAR LÄN</t>
        </is>
      </c>
      <c r="E334" t="inlineStr">
        <is>
          <t>HÖGSBY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42042-2025</t>
        </is>
      </c>
      <c r="B335" s="1" t="n">
        <v>45903.62023148148</v>
      </c>
      <c r="C335" s="1" t="n">
        <v>45927</v>
      </c>
      <c r="D335" t="inlineStr">
        <is>
          <t>KALMAR LÄN</t>
        </is>
      </c>
      <c r="E335" t="inlineStr">
        <is>
          <t>HÖGSBY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42044-2025</t>
        </is>
      </c>
      <c r="B336" s="1" t="n">
        <v>45903.62221064815</v>
      </c>
      <c r="C336" s="1" t="n">
        <v>45927</v>
      </c>
      <c r="D336" t="inlineStr">
        <is>
          <t>KALMAR LÄN</t>
        </is>
      </c>
      <c r="E336" t="inlineStr">
        <is>
          <t>HÖGSBY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42053-2025</t>
        </is>
      </c>
      <c r="B337" s="1" t="n">
        <v>45903.63909722222</v>
      </c>
      <c r="C337" s="1" t="n">
        <v>45927</v>
      </c>
      <c r="D337" t="inlineStr">
        <is>
          <t>KALMAR LÄN</t>
        </is>
      </c>
      <c r="E337" t="inlineStr">
        <is>
          <t>HÖGSBY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55697-2023</t>
        </is>
      </c>
      <c r="B338" s="1" t="n">
        <v>45239.37023148148</v>
      </c>
      <c r="C338" s="1" t="n">
        <v>45927</v>
      </c>
      <c r="D338" t="inlineStr">
        <is>
          <t>KALMAR LÄN</t>
        </is>
      </c>
      <c r="E338" t="inlineStr">
        <is>
          <t>HÖGSBY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10535-2025</t>
        </is>
      </c>
      <c r="B339" s="1" t="n">
        <v>45721.46292824074</v>
      </c>
      <c r="C339" s="1" t="n">
        <v>45927</v>
      </c>
      <c r="D339" t="inlineStr">
        <is>
          <t>KALMAR LÄN</t>
        </is>
      </c>
      <c r="E339" t="inlineStr">
        <is>
          <t>HÖGSBY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24292-2022</t>
        </is>
      </c>
      <c r="B340" s="1" t="n">
        <v>44725.91041666667</v>
      </c>
      <c r="C340" s="1" t="n">
        <v>45927</v>
      </c>
      <c r="D340" t="inlineStr">
        <is>
          <t>KALMAR LÄN</t>
        </is>
      </c>
      <c r="E340" t="inlineStr">
        <is>
          <t>HÖGSBY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59408-2022</t>
        </is>
      </c>
      <c r="B341" s="1" t="n">
        <v>44907</v>
      </c>
      <c r="C341" s="1" t="n">
        <v>45927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52116-2024</t>
        </is>
      </c>
      <c r="B342" s="1" t="n">
        <v>45608.44344907408</v>
      </c>
      <c r="C342" s="1" t="n">
        <v>45927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51624-2023</t>
        </is>
      </c>
      <c r="B343" s="1" t="n">
        <v>45222</v>
      </c>
      <c r="C343" s="1" t="n">
        <v>45927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56339-2024</t>
        </is>
      </c>
      <c r="B344" s="1" t="n">
        <v>45624.8238425926</v>
      </c>
      <c r="C344" s="1" t="n">
        <v>45927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44625.57487268518</v>
      </c>
      <c r="C345" s="1" t="n">
        <v>45927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44625.5828125</v>
      </c>
      <c r="C346" s="1" t="n">
        <v>45927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43557-2025</t>
        </is>
      </c>
      <c r="B347" s="1" t="n">
        <v>45911.62422453704</v>
      </c>
      <c r="C347" s="1" t="n">
        <v>45927</v>
      </c>
      <c r="D347" t="inlineStr">
        <is>
          <t>KALMAR LÄN</t>
        </is>
      </c>
      <c r="E347" t="inlineStr">
        <is>
          <t>HÖGSBY</t>
        </is>
      </c>
      <c r="F347" t="inlineStr">
        <is>
          <t>Kommuner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43544-2025</t>
        </is>
      </c>
      <c r="B348" s="1" t="n">
        <v>45911.61324074074</v>
      </c>
      <c r="C348" s="1" t="n">
        <v>45927</v>
      </c>
      <c r="D348" t="inlineStr">
        <is>
          <t>KALMAR LÄN</t>
        </is>
      </c>
      <c r="E348" t="inlineStr">
        <is>
          <t>HÖGSBY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47859-2023</t>
        </is>
      </c>
      <c r="B349" s="1" t="n">
        <v>45204</v>
      </c>
      <c r="C349" s="1" t="n">
        <v>45927</v>
      </c>
      <c r="D349" t="inlineStr">
        <is>
          <t>KALMAR LÄN</t>
        </is>
      </c>
      <c r="E349" t="inlineStr">
        <is>
          <t>HÖGSBY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37954-2024</t>
        </is>
      </c>
      <c r="B350" s="1" t="n">
        <v>45544.52295138889</v>
      </c>
      <c r="C350" s="1" t="n">
        <v>45927</v>
      </c>
      <c r="D350" t="inlineStr">
        <is>
          <t>KALMAR LÄN</t>
        </is>
      </c>
      <c r="E350" t="inlineStr">
        <is>
          <t>HÖGSBY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4252-2023</t>
        </is>
      </c>
      <c r="B351" s="1" t="n">
        <v>44953</v>
      </c>
      <c r="C351" s="1" t="n">
        <v>45927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15.2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20396-2025</t>
        </is>
      </c>
      <c r="B352" s="1" t="n">
        <v>45775</v>
      </c>
      <c r="C352" s="1" t="n">
        <v>45927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47502-2023</t>
        </is>
      </c>
      <c r="B353" s="1" t="n">
        <v>45203.26586805555</v>
      </c>
      <c r="C353" s="1" t="n">
        <v>45927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47571-2023</t>
        </is>
      </c>
      <c r="B354" s="1" t="n">
        <v>45203</v>
      </c>
      <c r="C354" s="1" t="n">
        <v>45927</v>
      </c>
      <c r="D354" t="inlineStr">
        <is>
          <t>KALMAR LÄN</t>
        </is>
      </c>
      <c r="E354" t="inlineStr">
        <is>
          <t>HÖGSBY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2079-2023</t>
        </is>
      </c>
      <c r="B355" s="1" t="n">
        <v>44939</v>
      </c>
      <c r="C355" s="1" t="n">
        <v>45927</v>
      </c>
      <c r="D355" t="inlineStr">
        <is>
          <t>KALMAR LÄN</t>
        </is>
      </c>
      <c r="E355" t="inlineStr">
        <is>
          <t>HÖGSBY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36573-2023</t>
        </is>
      </c>
      <c r="B356" s="1" t="n">
        <v>45153.44043981482</v>
      </c>
      <c r="C356" s="1" t="n">
        <v>45927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50727-2023</t>
        </is>
      </c>
      <c r="B357" s="1" t="n">
        <v>45217.5747337963</v>
      </c>
      <c r="C357" s="1" t="n">
        <v>45927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53501-2024</t>
        </is>
      </c>
      <c r="B358" s="1" t="n">
        <v>45614.58605324074</v>
      </c>
      <c r="C358" s="1" t="n">
        <v>45927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14273-2024</t>
        </is>
      </c>
      <c r="B359" s="1" t="n">
        <v>45393.58290509259</v>
      </c>
      <c r="C359" s="1" t="n">
        <v>45927</v>
      </c>
      <c r="D359" t="inlineStr">
        <is>
          <t>KALMAR LÄN</t>
        </is>
      </c>
      <c r="E359" t="inlineStr">
        <is>
          <t>HÖGSBY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44809.32202546296</v>
      </c>
      <c r="C360" s="1" t="n">
        <v>45927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41824-2024</t>
        </is>
      </c>
      <c r="B361" s="1" t="n">
        <v>45561.39777777778</v>
      </c>
      <c r="C361" s="1" t="n">
        <v>45927</v>
      </c>
      <c r="D361" t="inlineStr">
        <is>
          <t>KALMAR LÄN</t>
        </is>
      </c>
      <c r="E361" t="inlineStr">
        <is>
          <t>HÖGSBY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24601-2024</t>
        </is>
      </c>
      <c r="B362" s="1" t="n">
        <v>45460.47599537037</v>
      </c>
      <c r="C362" s="1" t="n">
        <v>45927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10418-2025</t>
        </is>
      </c>
      <c r="B363" s="1" t="n">
        <v>45720.63856481481</v>
      </c>
      <c r="C363" s="1" t="n">
        <v>45927</v>
      </c>
      <c r="D363" t="inlineStr">
        <is>
          <t>KALMAR LÄN</t>
        </is>
      </c>
      <c r="E363" t="inlineStr">
        <is>
          <t>HÖGSBY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9424-2023</t>
        </is>
      </c>
      <c r="B364" s="1" t="n">
        <v>44981.49157407408</v>
      </c>
      <c r="C364" s="1" t="n">
        <v>45927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46329-2024</t>
        </is>
      </c>
      <c r="B365" s="1" t="n">
        <v>45581.86640046296</v>
      </c>
      <c r="C365" s="1" t="n">
        <v>45927</v>
      </c>
      <c r="D365" t="inlineStr">
        <is>
          <t>KALMAR LÄN</t>
        </is>
      </c>
      <c r="E365" t="inlineStr">
        <is>
          <t>HÖGSBY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5430-2025</t>
        </is>
      </c>
      <c r="B366" s="1" t="n">
        <v>45692</v>
      </c>
      <c r="C366" s="1" t="n">
        <v>45927</v>
      </c>
      <c r="D366" t="inlineStr">
        <is>
          <t>KALMAR LÄN</t>
        </is>
      </c>
      <c r="E366" t="inlineStr">
        <is>
          <t>HÖGSBY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17216-2023</t>
        </is>
      </c>
      <c r="B367" s="1" t="n">
        <v>45034.93412037037</v>
      </c>
      <c r="C367" s="1" t="n">
        <v>45927</v>
      </c>
      <c r="D367" t="inlineStr">
        <is>
          <t>KALMAR LÄN</t>
        </is>
      </c>
      <c r="E367" t="inlineStr">
        <is>
          <t>HÖGSBY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6216-2024</t>
        </is>
      </c>
      <c r="B368" s="1" t="n">
        <v>45337.6346875</v>
      </c>
      <c r="C368" s="1" t="n">
        <v>45927</v>
      </c>
      <c r="D368" t="inlineStr">
        <is>
          <t>KALMAR LÄN</t>
        </is>
      </c>
      <c r="E368" t="inlineStr">
        <is>
          <t>HÖGSBY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58045-2023</t>
        </is>
      </c>
      <c r="B369" s="1" t="n">
        <v>45247</v>
      </c>
      <c r="C369" s="1" t="n">
        <v>45927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49485-2022</t>
        </is>
      </c>
      <c r="B370" s="1" t="n">
        <v>44861.83449074074</v>
      </c>
      <c r="C370" s="1" t="n">
        <v>45927</v>
      </c>
      <c r="D370" t="inlineStr">
        <is>
          <t>KALMAR LÄN</t>
        </is>
      </c>
      <c r="E370" t="inlineStr">
        <is>
          <t>HÖGSBY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50367-2022</t>
        </is>
      </c>
      <c r="B371" s="1" t="n">
        <v>44866.35103009259</v>
      </c>
      <c r="C371" s="1" t="n">
        <v>45927</v>
      </c>
      <c r="D371" t="inlineStr">
        <is>
          <t>KALMAR LÄN</t>
        </is>
      </c>
      <c r="E371" t="inlineStr">
        <is>
          <t>HÖGSBY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17250-2024</t>
        </is>
      </c>
      <c r="B372" s="1" t="n">
        <v>45414.3987037037</v>
      </c>
      <c r="C372" s="1" t="n">
        <v>45927</v>
      </c>
      <c r="D372" t="inlineStr">
        <is>
          <t>KALMAR LÄN</t>
        </is>
      </c>
      <c r="E372" t="inlineStr">
        <is>
          <t>HÖGSBY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14326-2025</t>
        </is>
      </c>
      <c r="B373" s="1" t="n">
        <v>45740.81226851852</v>
      </c>
      <c r="C373" s="1" t="n">
        <v>45927</v>
      </c>
      <c r="D373" t="inlineStr">
        <is>
          <t>KALMAR LÄN</t>
        </is>
      </c>
      <c r="E373" t="inlineStr">
        <is>
          <t>HÖGSBY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59581-2024</t>
        </is>
      </c>
      <c r="B374" s="1" t="n">
        <v>45638</v>
      </c>
      <c r="C374" s="1" t="n">
        <v>45927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45835-2025</t>
        </is>
      </c>
      <c r="B375" s="1" t="n">
        <v>45923.6091087963</v>
      </c>
      <c r="C375" s="1" t="n">
        <v>45927</v>
      </c>
      <c r="D375" t="inlineStr">
        <is>
          <t>KALMAR LÄN</t>
        </is>
      </c>
      <c r="E375" t="inlineStr">
        <is>
          <t>HÖGSBY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37819-2025</t>
        </is>
      </c>
      <c r="B376" s="1" t="n">
        <v>45881.39194444445</v>
      </c>
      <c r="C376" s="1" t="n">
        <v>45927</v>
      </c>
      <c r="D376" t="inlineStr">
        <is>
          <t>KALMAR LÄN</t>
        </is>
      </c>
      <c r="E376" t="inlineStr">
        <is>
          <t>HÖGSBY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37657-2025</t>
        </is>
      </c>
      <c r="B377" s="1" t="n">
        <v>45880.4963425926</v>
      </c>
      <c r="C377" s="1" t="n">
        <v>45927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38068-2025</t>
        </is>
      </c>
      <c r="B378" s="1" t="n">
        <v>45882.43810185185</v>
      </c>
      <c r="C378" s="1" t="n">
        <v>45927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38267-2025</t>
        </is>
      </c>
      <c r="B379" s="1" t="n">
        <v>45883.40609953704</v>
      </c>
      <c r="C379" s="1" t="n">
        <v>45927</v>
      </c>
      <c r="D379" t="inlineStr">
        <is>
          <t>KALMAR LÄN</t>
        </is>
      </c>
      <c r="E379" t="inlineStr">
        <is>
          <t>HÖGSBY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2025-09-27T12:00:12Z</dcterms:created>
  <dcterms:modified xmlns:dcterms="http://purl.org/dc/terms/" xmlns:xsi="http://www.w3.org/2001/XMLSchema-instance" xsi:type="dcterms:W3CDTF">2025-09-27T12:00:12Z</dcterms:modified>
</cp:coreProperties>
</file>