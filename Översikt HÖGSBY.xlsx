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45716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45716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45716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45716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45716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45716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45716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45716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8635-2025</t>
        </is>
      </c>
      <c r="B27" s="1" t="n">
        <v>45711</v>
      </c>
      <c r="C27" s="1" t="n">
        <v>45716</v>
      </c>
      <c r="D27" t="inlineStr">
        <is>
          <t>KALMAR LÄN</t>
        </is>
      </c>
      <c r="E27" t="inlineStr">
        <is>
          <t>HÖGSBY</t>
        </is>
      </c>
      <c r="G27" t="n">
        <v>4.4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Vårärt
Blåsippa</t>
        </is>
      </c>
      <c r="S27">
        <f>HYPERLINK("https://klasma.github.io/Logging_0821/artfynd/A 8635-2025 artfynd.xlsx", "A 8635-2025")</f>
        <v/>
      </c>
      <c r="T27">
        <f>HYPERLINK("https://klasma.github.io/Logging_0821/kartor/A 8635-2025 karta.png", "A 8635-2025")</f>
        <v/>
      </c>
      <c r="V27">
        <f>HYPERLINK("https://klasma.github.io/Logging_0821/klagomål/A 8635-2025 FSC-klagomål.docx", "A 8635-2025")</f>
        <v/>
      </c>
      <c r="W27">
        <f>HYPERLINK("https://klasma.github.io/Logging_0821/klagomålsmail/A 8635-2025 FSC-klagomål mail.docx", "A 8635-2025")</f>
        <v/>
      </c>
      <c r="X27">
        <f>HYPERLINK("https://klasma.github.io/Logging_0821/tillsyn/A 8635-2025 tillsynsbegäran.docx", "A 8635-2025")</f>
        <v/>
      </c>
      <c r="Y27">
        <f>HYPERLINK("https://klasma.github.io/Logging_0821/tillsynsmail/A 8635-2025 tillsynsbegäran mail.docx", "A 8635-2025")</f>
        <v/>
      </c>
      <c r="Z27">
        <f>HYPERLINK("https://klasma.github.io/Logging_0821/fåglar/A 8635-2025 prioriterade fågelarter.docx", "A 8635-2025")</f>
        <v/>
      </c>
    </row>
    <row r="28" ht="15" customHeight="1">
      <c r="A28" t="inlineStr">
        <is>
          <t>A 20824-2019</t>
        </is>
      </c>
      <c r="B28" s="1" t="n">
        <v>43573</v>
      </c>
      <c r="C28" s="1" t="n">
        <v>45716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Brandtaggsvamp
Skarp dropptaggsvamp</t>
        </is>
      </c>
      <c r="S28">
        <f>HYPERLINK("https://klasma.github.io/Logging_0821/artfynd/A 20824-2019 artfynd.xlsx", "A 20824-2019")</f>
        <v/>
      </c>
      <c r="T28">
        <f>HYPERLINK("https://klasma.github.io/Logging_0821/kartor/A 20824-2019 karta.png", "A 20824-2019")</f>
        <v/>
      </c>
      <c r="V28">
        <f>HYPERLINK("https://klasma.github.io/Logging_0821/klagomål/A 20824-2019 FSC-klagomål.docx", "A 20824-2019")</f>
        <v/>
      </c>
      <c r="W28">
        <f>HYPERLINK("https://klasma.github.io/Logging_0821/klagomålsmail/A 20824-2019 FSC-klagomål mail.docx", "A 20824-2019")</f>
        <v/>
      </c>
      <c r="X28">
        <f>HYPERLINK("https://klasma.github.io/Logging_0821/tillsyn/A 20824-2019 tillsynsbegäran.docx", "A 20824-2019")</f>
        <v/>
      </c>
      <c r="Y28">
        <f>HYPERLINK("https://klasma.github.io/Logging_0821/tillsynsmail/A 20824-2019 tillsynsbegäran mail.docx", "A 20824-2019")</f>
        <v/>
      </c>
    </row>
    <row r="29" ht="15" customHeight="1">
      <c r="A29" t="inlineStr">
        <is>
          <t>A 36531-2019</t>
        </is>
      </c>
      <c r="B29" s="1" t="n">
        <v>43663</v>
      </c>
      <c r="C29" s="1" t="n">
        <v>45716</v>
      </c>
      <c r="D29" t="inlineStr">
        <is>
          <t>KALMAR LÄN</t>
        </is>
      </c>
      <c r="E29" t="inlineStr">
        <is>
          <t>HÖGSBY</t>
        </is>
      </c>
      <c r="G29" t="n">
        <v>11.5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HYPERLINK("https://klasma.github.io/Logging_0821/artfynd/A 36531-2019 artfynd.xlsx", "A 36531-2019")</f>
        <v/>
      </c>
      <c r="T29">
        <f>HYPERLINK("https://klasma.github.io/Logging_0821/kartor/A 36531-2019 karta.png", "A 36531-2019")</f>
        <v/>
      </c>
      <c r="V29">
        <f>HYPERLINK("https://klasma.github.io/Logging_0821/klagomål/A 36531-2019 FSC-klagomål.docx", "A 36531-2019")</f>
        <v/>
      </c>
      <c r="W29">
        <f>HYPERLINK("https://klasma.github.io/Logging_0821/klagomålsmail/A 36531-2019 FSC-klagomål mail.docx", "A 36531-2019")</f>
        <v/>
      </c>
      <c r="X29">
        <f>HYPERLINK("https://klasma.github.io/Logging_0821/tillsyn/A 36531-2019 tillsynsbegäran.docx", "A 36531-2019")</f>
        <v/>
      </c>
      <c r="Y29">
        <f>HYPERLINK("https://klasma.github.io/Logging_0821/tillsynsmail/A 36531-2019 tillsynsbegäran mail.docx", "A 36531-2019")</f>
        <v/>
      </c>
    </row>
    <row r="30" ht="15" customHeight="1">
      <c r="A30" t="inlineStr">
        <is>
          <t>A 53578-2019</t>
        </is>
      </c>
      <c r="B30" s="1" t="n">
        <v>43748</v>
      </c>
      <c r="C30" s="1" t="n">
        <v>45716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Rävticka</t>
        </is>
      </c>
      <c r="S30">
        <f>HYPERLINK("https://klasma.github.io/Logging_0821/artfynd/A 53578-2019 artfynd.xlsx", "A 53578-2019")</f>
        <v/>
      </c>
      <c r="T30">
        <f>HYPERLINK("https://klasma.github.io/Logging_0821/kartor/A 53578-2019 karta.png", "A 53578-2019")</f>
        <v/>
      </c>
      <c r="V30">
        <f>HYPERLINK("https://klasma.github.io/Logging_0821/klagomål/A 53578-2019 FSC-klagomål.docx", "A 53578-2019")</f>
        <v/>
      </c>
      <c r="W30">
        <f>HYPERLINK("https://klasma.github.io/Logging_0821/klagomålsmail/A 53578-2019 FSC-klagomål mail.docx", "A 53578-2019")</f>
        <v/>
      </c>
      <c r="X30">
        <f>HYPERLINK("https://klasma.github.io/Logging_0821/tillsyn/A 53578-2019 tillsynsbegäran.docx", "A 53578-2019")</f>
        <v/>
      </c>
      <c r="Y30">
        <f>HYPERLINK("https://klasma.github.io/Logging_0821/tillsynsmail/A 53578-2019 tillsynsbegäran mail.docx", "A 53578-2019")</f>
        <v/>
      </c>
      <c r="Z30">
        <f>HYPERLINK("https://klasma.github.io/Logging_0821/fåglar/A 53578-2019 prioriterade fågelarter.docx", "A 53578-2019")</f>
        <v/>
      </c>
    </row>
    <row r="31" ht="15" customHeight="1">
      <c r="A31" t="inlineStr">
        <is>
          <t>A 68563-2021</t>
        </is>
      </c>
      <c r="B31" s="1" t="n">
        <v>44529</v>
      </c>
      <c r="C31" s="1" t="n">
        <v>45716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9.1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Matt blombagge</t>
        </is>
      </c>
      <c r="S31">
        <f>HYPERLINK("https://klasma.github.io/Logging_0821/artfynd/A 68563-2021 artfynd.xlsx", "A 68563-2021")</f>
        <v/>
      </c>
      <c r="T31">
        <f>HYPERLINK("https://klasma.github.io/Logging_0821/kartor/A 68563-2021 karta.png", "A 68563-2021")</f>
        <v/>
      </c>
      <c r="V31">
        <f>HYPERLINK("https://klasma.github.io/Logging_0821/klagomål/A 68563-2021 FSC-klagomål.docx", "A 68563-2021")</f>
        <v/>
      </c>
      <c r="W31">
        <f>HYPERLINK("https://klasma.github.io/Logging_0821/klagomålsmail/A 68563-2021 FSC-klagomål mail.docx", "A 68563-2021")</f>
        <v/>
      </c>
      <c r="X31">
        <f>HYPERLINK("https://klasma.github.io/Logging_0821/tillsyn/A 68563-2021 tillsynsbegäran.docx", "A 68563-2021")</f>
        <v/>
      </c>
      <c r="Y31">
        <f>HYPERLINK("https://klasma.github.io/Logging_0821/tillsynsmail/A 68563-2021 tillsynsbegäran mail.docx", "A 68563-2021")</f>
        <v/>
      </c>
    </row>
    <row r="32" ht="15" customHeight="1">
      <c r="A32" t="inlineStr">
        <is>
          <t>A 57171-2022</t>
        </is>
      </c>
      <c r="B32" s="1" t="n">
        <v>44895</v>
      </c>
      <c r="C32" s="1" t="n">
        <v>45716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träfjäril
Gröngöling</t>
        </is>
      </c>
      <c r="S32">
        <f>HYPERLINK("https://klasma.github.io/Logging_0821/artfynd/A 57171-2022 artfynd.xlsx", "A 57171-2022")</f>
        <v/>
      </c>
      <c r="T32">
        <f>HYPERLINK("https://klasma.github.io/Logging_0821/kartor/A 57171-2022 karta.png", "A 57171-2022")</f>
        <v/>
      </c>
      <c r="V32">
        <f>HYPERLINK("https://klasma.github.io/Logging_0821/klagomål/A 57171-2022 FSC-klagomål.docx", "A 57171-2022")</f>
        <v/>
      </c>
      <c r="W32">
        <f>HYPERLINK("https://klasma.github.io/Logging_0821/klagomålsmail/A 57171-2022 FSC-klagomål mail.docx", "A 57171-2022")</f>
        <v/>
      </c>
      <c r="X32">
        <f>HYPERLINK("https://klasma.github.io/Logging_0821/tillsyn/A 57171-2022 tillsynsbegäran.docx", "A 57171-2022")</f>
        <v/>
      </c>
      <c r="Y32">
        <f>HYPERLINK("https://klasma.github.io/Logging_0821/tillsynsmail/A 57171-2022 tillsynsbegäran mail.docx", "A 57171-2022")</f>
        <v/>
      </c>
      <c r="Z32">
        <f>HYPERLINK("https://klasma.github.io/Logging_0821/fåglar/A 57171-2022 prioriterade fågelarter.docx", "A 57171-2022")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45716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45716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45716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45716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45716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45716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45716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45716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45716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45716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45716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45716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45716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45716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45716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45716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45716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45716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45716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45716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45716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45716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45716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45716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45716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45716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45716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45716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45716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45716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45716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45716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45716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45716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45716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45716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45716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45716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45716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45716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45716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45716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45716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45716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45716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45716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45716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45716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45716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45716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45716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45716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45716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45716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45716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45716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45716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45716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45716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45716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45716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45716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45716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45716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45716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45716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45716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45716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45716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45716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45716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45716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45716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45716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45716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45716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45716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45716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45716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45716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45716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45716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45716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45716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45716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45716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45716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45716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45716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45716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45716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45716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45716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45716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45716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45716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45716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45716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45716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45716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45716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45716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45716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45716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45716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45716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45716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45716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45716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45716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45716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45716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45716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45716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45716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45716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45716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45716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45716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45716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45716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45716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45716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45716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45716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45716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45716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45716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45716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45716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45716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45716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45716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45716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45716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45716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45716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45716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45716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45716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45716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45716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45716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45716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45716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45716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45716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45716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45716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45716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45716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45716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45716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45716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45716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45716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45716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45716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45716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45716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45716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45716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45716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45716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45716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45716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45716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45716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45716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45716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45716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45716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45716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45716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45716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45716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45716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45716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45716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45716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45716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45716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45716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45716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45716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45716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45716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45716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45716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45716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45716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45716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45716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45716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45716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45716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45716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45716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45716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45716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45716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45716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45716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45716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45716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45716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45716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45716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45716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45716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45716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45716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45716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45716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45716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45716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45716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45716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45716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45716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45716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45716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45716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45716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45716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45716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45716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45716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45716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45716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45716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45716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45716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45716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45716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45716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45716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45716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45716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45716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45716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45716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45716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45716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45716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45716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45716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45716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45716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45716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45716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45716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45716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45716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45716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45716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45716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45716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45716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45716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45716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45716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45716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45716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45716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45716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45716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45716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45716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45716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45716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45716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45716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45716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45716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45716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45716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45716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45716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45716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45716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45716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45716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45716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45716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45716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45716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45716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45716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45716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45716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45716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45716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45716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45716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45716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45716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45716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45716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45716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45716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45716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45716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45716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45716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45716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45716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45716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45716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45716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45716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45716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45716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45716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45716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45716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45716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45716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45716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45716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45716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45716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45716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45716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45716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45716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45716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45716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45716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45716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45716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45716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45716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45716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45716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45716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45716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45716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45716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45716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45716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45716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45716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45716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45716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45716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45716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45716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45716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45716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45716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45716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45716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45716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45716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45716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45716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45716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45716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45716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45716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45716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45716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45716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45716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45716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45716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45716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45716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45716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45716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45716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45716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45716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45716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45716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45716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45716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45716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45716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45716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45716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45716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45716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45716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45716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45716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45716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45716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45716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45716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45716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45716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45716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45716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45716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45716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45716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45716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45716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45716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45716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45716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45716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45716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45716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45716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45716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45716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45716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45716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45716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45716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45716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45716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45716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45716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45716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45716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45716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45716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45716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45716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45716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45716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45716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45716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45716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45716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45716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45716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45716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45716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45716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45716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45716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45716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45716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45716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45716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45716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45716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45716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45716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45716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45716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45716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45716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45716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45716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45716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45716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45716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45716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45716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45716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45716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45716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45716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45716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45716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45716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45716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45716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45716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45716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45716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45716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45716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45716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45716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45716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45716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45716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45716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45716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45716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45716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45716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45716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45716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45716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45716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45716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45716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45716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45716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45716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45716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45716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45716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45716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45716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45716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45716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45716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45716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45716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45716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45716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45716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45716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45716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45716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45716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45716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45716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45716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45716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45716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45716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45716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45716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45716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45716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45716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45716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45716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45716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45716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45716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45716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45716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45716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45716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45716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45716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45716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45716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45716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45716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45716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45716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45716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45716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45716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45716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45716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45716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45716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45716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45716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45716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45716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45716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45716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45716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45716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45716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45716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45716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45716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45716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45716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45716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45716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45716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45716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45716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45716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45716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45716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45716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45716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45716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45716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45716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45716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45716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45716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45716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45716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45716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45716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45716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45716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45716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45716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45716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45716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45716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45716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45716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45716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45716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45716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45716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45716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45716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45716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45716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45716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45716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45716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45716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45716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45716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45716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45716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45716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45716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45716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45716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45716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45716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45716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45716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45716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45716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45716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45716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45716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45716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45716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45716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45716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45716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45716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45716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45716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45716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45716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45716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45716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45716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45716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45716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45716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45716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45716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45716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45716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45716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45716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45716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45716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45716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45716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45716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45716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45716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45716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45716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45716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45716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45716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45716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45716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45716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45716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45716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45716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45716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45716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45716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45716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45716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45716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45716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45716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45716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45716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45716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45716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45716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45716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45716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45716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45716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45716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45716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45716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45716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45716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45716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45716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45716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45716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45716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45716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45716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45716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45716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45716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45716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45716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45716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45716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45716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45716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45716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45716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45716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45716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45716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45716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45716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45716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45716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45716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45716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45716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45716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45716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45716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45716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45716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45716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45716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45716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45716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45716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45716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45716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45716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45716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45716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45716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45716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45716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45716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45716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45716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45716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45716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45716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45716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45716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45716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45716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45716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45716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45716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45716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45716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45716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45716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45716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45716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45716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45716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45716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45716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45716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6819-2025</t>
        </is>
      </c>
      <c r="B777" s="1" t="n">
        <v>45700</v>
      </c>
      <c r="C777" s="1" t="n">
        <v>45716</v>
      </c>
      <c r="D777" t="inlineStr">
        <is>
          <t>KALMAR LÄN</t>
        </is>
      </c>
      <c r="E777" t="inlineStr">
        <is>
          <t>HÖGSBY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45716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45716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6824-2025</t>
        </is>
      </c>
      <c r="B780" s="1" t="n">
        <v>45700</v>
      </c>
      <c r="C780" s="1" t="n">
        <v>45716</v>
      </c>
      <c r="D780" t="inlineStr">
        <is>
          <t>KALMAR LÄN</t>
        </is>
      </c>
      <c r="E780" t="inlineStr">
        <is>
          <t>HÖGSBY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45716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45716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45716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45716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45716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45716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45716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45716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45716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45716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9583-2025</t>
        </is>
      </c>
      <c r="B791" s="1" t="n">
        <v>45715</v>
      </c>
      <c r="C791" s="1" t="n">
        <v>45716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2025-02-28T16:02:21Z</dcterms:created>
  <dcterms:modified xmlns:dcterms="http://purl.org/dc/terms/" xmlns:xsi="http://www.w3.org/2001/XMLSchema-instance" xsi:type="dcterms:W3CDTF">2025-02-28T16:02:22Z</dcterms:modified>
</cp:coreProperties>
</file>