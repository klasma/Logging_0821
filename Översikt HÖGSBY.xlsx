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46306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46306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46306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46306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46306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46306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46306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46306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46306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46306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46306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46306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46306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46306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46306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46306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46306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46306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46306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46306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46306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46306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9384-2024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46306</v>
      </c>
      <c r="F26" t="inlineStr">
        <is>
          <t>KALMAR LÄN</t>
        </is>
      </c>
      <c r="G26" t="inlineStr">
        <is>
          <t>HÖGSBY</t>
        </is>
      </c>
      <c r="I26" t="n">
        <v>0.7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Fjällig taggsvamp s.str.
Gultoppig fingersvamp
Skarp dropptaggsvamp</t>
        </is>
      </c>
      <c r="W26">
        <f>HYPERLINK("https://klasma.github.io/Logging_0821/artfynd/A 9384-2024 artfynd.xlsx", "A 9384-2024")</f>
        <v/>
      </c>
      <c r="X26">
        <f>HYPERLINK("https://klasma.github.io/Logging_0821/kartor/A 9384-2024 karta.png", "A 9384-2024")</f>
        <v/>
      </c>
      <c r="Y26">
        <f>HYPERLINK("https://klasma.github.io/Logging_0821/kartor_geotiff/A 9384-2024 georefererad karta.tif", "A 9384-2024")</f>
        <v/>
      </c>
      <c r="AA26">
        <f>HYPERLINK("https://klasma.github.io/Logging_0821/klagomål/A 9384-2024 FSC-klagomål.docx", "A 9384-2024")</f>
        <v/>
      </c>
      <c r="AB26">
        <f>HYPERLINK("https://klasma.github.io/Logging_0821/klagomålsmail/A 9384-2024 FSC-klagomål mail.docx", "A 9384-2024")</f>
        <v/>
      </c>
      <c r="AC26">
        <f>HYPERLINK("https://klasma.github.io/Logging_0821/tillsyn/A 9384-2024 tillsynsbegäran.docx", "A 9384-2024")</f>
        <v/>
      </c>
      <c r="AD26">
        <f>HYPERLINK("https://klasma.github.io/Logging_0821/tillsynsmail/A 9384-2024 tillsynsbegäran mail.docx", "A 9384-2024")</f>
        <v/>
      </c>
    </row>
    <row r="27" ht="15" customHeight="1">
      <c r="A27" t="inlineStr">
        <is>
          <t>A 47236-2023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46306</v>
      </c>
      <c r="F27" t="inlineStr">
        <is>
          <t>KALMAR LÄN</t>
        </is>
      </c>
      <c r="G27" t="inlineStr">
        <is>
          <t>HÖGSBY</t>
        </is>
      </c>
      <c r="I27" t="n">
        <v>13.2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Backklöver
Nötkråka
Revlummer</t>
        </is>
      </c>
      <c r="W27">
        <f>HYPERLINK("https://klasma.github.io/Logging_0821/artfynd/A 47236-2023 artfynd.xlsx", "A 47236-2023")</f>
        <v/>
      </c>
      <c r="X27">
        <f>HYPERLINK("https://klasma.github.io/Logging_0821/kartor/A 47236-2023 karta.png", "A 47236-2023")</f>
        <v/>
      </c>
      <c r="Y27">
        <f>HYPERLINK("https://klasma.github.io/Logging_0821/kartor_geotiff/A 47236-2023 georefererad karta.tif", "A 47236-2023")</f>
        <v/>
      </c>
      <c r="AA27">
        <f>HYPERLINK("https://klasma.github.io/Logging_0821/klagomål/A 47236-2023 FSC-klagomål.docx", "A 47236-2023")</f>
        <v/>
      </c>
      <c r="AB27">
        <f>HYPERLINK("https://klasma.github.io/Logging_0821/klagomålsmail/A 47236-2023 FSC-klagomål mail.docx", "A 47236-2023")</f>
        <v/>
      </c>
      <c r="AC27">
        <f>HYPERLINK("https://klasma.github.io/Logging_0821/tillsyn/A 47236-2023 tillsynsbegäran.docx", "A 47236-2023")</f>
        <v/>
      </c>
      <c r="AD27">
        <f>HYPERLINK("https://klasma.github.io/Logging_0821/tillsynsmail/A 47236-2023 tillsynsbegäran mail.docx", "A 47236-2023")</f>
        <v/>
      </c>
      <c r="AE27">
        <f>HYPERLINK("https://klasma.github.io/Logging_0821/fåglar/A 47236-2023 prioriterade fågelarter.docx", "A 47236-2023")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46306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46306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46306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46306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62371-2023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46306</v>
      </c>
      <c r="F32" t="inlineStr">
        <is>
          <t>KALMAR LÄN</t>
        </is>
      </c>
      <c r="G32" t="inlineStr">
        <is>
          <t>HÖGSBY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Spillkråka</t>
        </is>
      </c>
      <c r="W32">
        <f>HYPERLINK("https://klasma.github.io/Logging_0821/artfynd/A 62371-2023 artfynd.xlsx", "A 62371-2023")</f>
        <v/>
      </c>
      <c r="X32">
        <f>HYPERLINK("https://klasma.github.io/Logging_0821/kartor/A 62371-2023 karta.png", "A 62371-2023")</f>
        <v/>
      </c>
      <c r="Y32">
        <f>HYPERLINK("https://klasma.github.io/Logging_0821/kartor_geotiff/A 62371-2023 georefererad karta.tif", "A 62371-2023")</f>
        <v/>
      </c>
      <c r="Z32">
        <f>HYPERLINK("https://klasma.github.io/Logging_0821/knärot/A 62371-2023 karta knärot.png", "A 62371-2023")</f>
        <v/>
      </c>
      <c r="AA32">
        <f>HYPERLINK("https://klasma.github.io/Logging_0821/klagomål/A 62371-2023 FSC-klagomål.docx", "A 62371-2023")</f>
        <v/>
      </c>
      <c r="AB32">
        <f>HYPERLINK("https://klasma.github.io/Logging_0821/klagomålsmail/A 62371-2023 FSC-klagomål mail.docx", "A 62371-2023")</f>
        <v/>
      </c>
      <c r="AC32">
        <f>HYPERLINK("https://klasma.github.io/Logging_0821/tillsyn/A 62371-2023 tillsynsbegäran.docx", "A 62371-2023")</f>
        <v/>
      </c>
      <c r="AD32">
        <f>HYPERLINK("https://klasma.github.io/Logging_0821/tillsynsmail/A 62371-2023 tillsynsbegäran mail.docx", "A 62371-2023")</f>
        <v/>
      </c>
      <c r="AE32">
        <f>HYPERLINK("https://klasma.github.io/Logging_0821/fåglar/A 62371-2023 prioriterade fågelarter.docx", "A 62371-2023")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46306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9616-2022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46306</v>
      </c>
      <c r="F34" t="inlineStr">
        <is>
          <t>KALMAR LÄN</t>
        </is>
      </c>
      <c r="G34" t="inlineStr">
        <is>
          <t>HÖGSBY</t>
        </is>
      </c>
      <c r="I34" t="n">
        <v>6.4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Knippnejlika
Solvända</t>
        </is>
      </c>
      <c r="W34">
        <f>HYPERLINK("https://klasma.github.io/Logging_0821/artfynd/A 9616-2022 artfynd.xlsx", "A 9616-2022")</f>
        <v/>
      </c>
      <c r="X34">
        <f>HYPERLINK("https://klasma.github.io/Logging_0821/kartor/A 9616-2022 karta.png", "A 9616-2022")</f>
        <v/>
      </c>
      <c r="Y34">
        <f>HYPERLINK("https://klasma.github.io/Logging_0821/kartor_geotiff/A 9616-2022 georefererad karta.tif", "A 9616-2022")</f>
        <v/>
      </c>
      <c r="AA34">
        <f>HYPERLINK("https://klasma.github.io/Logging_0821/klagomål/A 9616-2022 FSC-klagomål.docx", "A 9616-2022")</f>
        <v/>
      </c>
      <c r="AB34">
        <f>HYPERLINK("https://klasma.github.io/Logging_0821/klagomålsmail/A 9616-2022 FSC-klagomål mail.docx", "A 9616-2022")</f>
        <v/>
      </c>
      <c r="AC34">
        <f>HYPERLINK("https://klasma.github.io/Logging_0821/tillsyn/A 9616-2022 tillsynsbegäran.docx", "A 9616-2022")</f>
        <v/>
      </c>
      <c r="AD34">
        <f>HYPERLINK("https://klasma.github.io/Logging_0821/tillsynsmail/A 9616-2022 tillsynsbegäran mail.docx", "A 9616-2022")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46306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46306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Blåsippa</t>
        </is>
      </c>
      <c r="W36">
        <f>HYPERLINK("https://klasma.github.io/Logging_0821/artfynd/A 26775-2026 artfynd.xlsx", "A 26775-2026")</f>
        <v/>
      </c>
      <c r="X36">
        <f>HYPERLINK("https://klasma.github.io/Logging_0821/kartor/A 26775-2026 karta.png", "A 26775-2026")</f>
        <v/>
      </c>
      <c r="Y36">
        <f>HYPERLINK("https://klasma.github.io/Logging_0821/kartor_geotiff/A 26775-2026 georefererad karta.tif", "A 26775-2026")</f>
        <v/>
      </c>
      <c r="AA36">
        <f>HYPERLINK("https://klasma.github.io/Logging_0821/klagomål/A 26775-2026 FSC-klagomål.docx", "A 26775-2026")</f>
        <v/>
      </c>
      <c r="AB36">
        <f>HYPERLINK("https://klasma.github.io/Logging_0821/klagomålsmail/A 26775-2026 FSC-klagomål mail.docx", "A 26775-2026")</f>
        <v/>
      </c>
      <c r="AC36">
        <f>HYPERLINK("https://klasma.github.io/Logging_0821/tillsyn/A 26775-2026 tillsynsbegäran.docx", "A 26775-2026")</f>
        <v/>
      </c>
      <c r="AD36">
        <f>HYPERLINK("https://klasma.github.io/Logging_0821/tillsynsmail/A 26775-2026 tillsynsbegäran mail.docx", "A 26775-2026")</f>
        <v/>
      </c>
    </row>
    <row r="37" ht="15" customHeight="1">
      <c r="A37" t="inlineStr">
        <is>
          <t>A 26759-2026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46184</v>
      </c>
      <c r="E37" s="1" t="n">
        <v>46306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5.5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Kungsfågel</t>
        </is>
      </c>
      <c r="W37">
        <f>HYPERLINK("https://klasma.github.io/Logging_0821/artfynd/A 26759-2026 artfynd.xlsx", "A 26759-2026")</f>
        <v/>
      </c>
      <c r="X37">
        <f>HYPERLINK("https://klasma.github.io/Logging_0821/kartor/A 26759-2026 karta.png", "A 26759-2026")</f>
        <v/>
      </c>
      <c r="Y37">
        <f>HYPERLINK("https://klasma.github.io/Logging_0821/kartor_geotiff/A 26759-2026 georefererad karta.tif", "A 26759-2026")</f>
        <v/>
      </c>
      <c r="AA37">
        <f>HYPERLINK("https://klasma.github.io/Logging_0821/klagomål/A 26759-2026 FSC-klagomål.docx", "A 26759-2026")</f>
        <v/>
      </c>
      <c r="AB37">
        <f>HYPERLINK("https://klasma.github.io/Logging_0821/klagomålsmail/A 26759-2026 FSC-klagomål mail.docx", "A 26759-2026")</f>
        <v/>
      </c>
      <c r="AC37">
        <f>HYPERLINK("https://klasma.github.io/Logging_0821/tillsyn/A 26759-2026 tillsynsbegäran.docx", "A 26759-2026")</f>
        <v/>
      </c>
      <c r="AD37">
        <f>HYPERLINK("https://klasma.github.io/Logging_0821/tillsynsmail/A 26759-2026 tillsynsbegäran mail.docx", "A 26759-2026")</f>
        <v/>
      </c>
      <c r="AE37">
        <f>HYPERLINK("https://klasma.github.io/Logging_0821/fåglar/A 26759-2026 prioriterade fågelarter.docx", "A 26759-2026")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46306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46306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46306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46306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46306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46306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38596-2024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45546</v>
      </c>
      <c r="E44" s="1" t="n">
        <v>46306</v>
      </c>
      <c r="F44" t="inlineStr">
        <is>
          <t>KALMAR LÄN</t>
        </is>
      </c>
      <c r="G44" t="inlineStr">
        <is>
          <t>HÖGSBY</t>
        </is>
      </c>
      <c r="H44" t="inlineStr">
        <is>
          <t>Sveaskog</t>
        </is>
      </c>
      <c r="I44" t="n">
        <v>3.9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HYPERLINK("https://klasma.github.io/Logging_0821/artfynd/A 38596-2024 artfynd.xlsx", "A 38596-2024")</f>
        <v/>
      </c>
      <c r="X44">
        <f>HYPERLINK("https://klasma.github.io/Logging_0821/kartor/A 38596-2024 karta.png", "A 38596-2024")</f>
        <v/>
      </c>
      <c r="Y44">
        <f>HYPERLINK("https://klasma.github.io/Logging_0821/kartor_geotiff/A 38596-2024 georefererad karta.tif", "A 38596-2024")</f>
        <v/>
      </c>
      <c r="AA44">
        <f>HYPERLINK("https://klasma.github.io/Logging_0821/klagomål/A 38596-2024 FSC-klagomål.docx", "A 38596-2024")</f>
        <v/>
      </c>
      <c r="AB44">
        <f>HYPERLINK("https://klasma.github.io/Logging_0821/klagomålsmail/A 38596-2024 FSC-klagomål mail.docx", "A 38596-2024")</f>
        <v/>
      </c>
      <c r="AC44">
        <f>HYPERLINK("https://klasma.github.io/Logging_0821/tillsyn/A 38596-2024 tillsynsbegäran.docx", "A 38596-2024")</f>
        <v/>
      </c>
      <c r="AD44">
        <f>HYPERLINK("https://klasma.github.io/Logging_0821/tillsynsmail/A 38596-2024 tillsynsbegäran mail.docx", "A 38596-2024")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46306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1519-2022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46306</v>
      </c>
      <c r="F46" t="inlineStr">
        <is>
          <t>KALMAR LÄN</t>
        </is>
      </c>
      <c r="G46" t="inlineStr">
        <is>
          <t>HÖGSBY</t>
        </is>
      </c>
      <c r="I46" t="n">
        <v>2.6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HYPERLINK("https://klasma.github.io/Logging_0821/artfynd/A 1519-2022 artfynd.xlsx", "A 1519-2022")</f>
        <v/>
      </c>
      <c r="X46">
        <f>HYPERLINK("https://klasma.github.io/Logging_0821/kartor/A 1519-2022 karta.png", "A 1519-2022")</f>
        <v/>
      </c>
      <c r="Y46">
        <f>HYPERLINK("https://klasma.github.io/Logging_0821/kartor_geotiff/A 1519-2022 georefererad karta.tif", "A 1519-2022")</f>
        <v/>
      </c>
      <c r="AA46">
        <f>HYPERLINK("https://klasma.github.io/Logging_0821/klagomål/A 1519-2022 FSC-klagomål.docx", "A 1519-2022")</f>
        <v/>
      </c>
      <c r="AB46">
        <f>HYPERLINK("https://klasma.github.io/Logging_0821/klagomålsmail/A 1519-2022 FSC-klagomål mail.docx", "A 1519-2022")</f>
        <v/>
      </c>
      <c r="AC46">
        <f>HYPERLINK("https://klasma.github.io/Logging_0821/tillsyn/A 1519-2022 tillsynsbegäran.docx", "A 1519-2022")</f>
        <v/>
      </c>
      <c r="AD46">
        <f>HYPERLINK("https://klasma.github.io/Logging_0821/tillsynsmail/A 1519-2022 tillsynsbegäran mail.docx", "A 1519-2022")</f>
        <v/>
      </c>
    </row>
    <row r="47" ht="15" customHeight="1">
      <c r="A47" t="inlineStr">
        <is>
          <t>A 35072-2023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46306</v>
      </c>
      <c r="F47" t="inlineStr">
        <is>
          <t>KALMAR LÄN</t>
        </is>
      </c>
      <c r="G47" t="inlineStr">
        <is>
          <t>HÖGSBY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35072-2023 artfynd.xlsx", "A 35072-2023")</f>
        <v/>
      </c>
      <c r="X47">
        <f>HYPERLINK("https://klasma.github.io/Logging_0821/kartor/A 35072-2023 karta.png", "A 35072-2023")</f>
        <v/>
      </c>
      <c r="Y47">
        <f>HYPERLINK("https://klasma.github.io/Logging_0821/kartor_geotiff/A 35072-2023 georefererad karta.tif", "A 35072-2023")</f>
        <v/>
      </c>
      <c r="AA47">
        <f>HYPERLINK("https://klasma.github.io/Logging_0821/klagomål/A 35072-2023 FSC-klagomål.docx", "A 35072-2023")</f>
        <v/>
      </c>
      <c r="AB47">
        <f>HYPERLINK("https://klasma.github.io/Logging_0821/klagomålsmail/A 35072-2023 FSC-klagomål mail.docx", "A 35072-2023")</f>
        <v/>
      </c>
      <c r="AC47">
        <f>HYPERLINK("https://klasma.github.io/Logging_0821/tillsyn/A 35072-2023 tillsynsbegäran.docx", "A 35072-2023")</f>
        <v/>
      </c>
      <c r="AD47">
        <f>HYPERLINK("https://klasma.github.io/Logging_0821/tillsynsmail/A 35072-2023 tillsynsbegäran mail.docx", "A 35072-2023")</f>
        <v/>
      </c>
    </row>
    <row r="48" ht="15" customHeight="1">
      <c r="A48" t="inlineStr">
        <is>
          <t>A 19519-2025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45770</v>
      </c>
      <c r="E48" s="1" t="n">
        <v>46306</v>
      </c>
      <c r="F48" t="inlineStr">
        <is>
          <t>KALMAR LÄN</t>
        </is>
      </c>
      <c r="G48" t="inlineStr">
        <is>
          <t>HÖGSBY</t>
        </is>
      </c>
      <c r="I48" t="n">
        <v>3.5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Dropptaggsvamp</t>
        </is>
      </c>
      <c r="W48">
        <f>HYPERLINK("https://klasma.github.io/Logging_0821/artfynd/A 19519-2025 artfynd.xlsx", "A 19519-2025")</f>
        <v/>
      </c>
      <c r="X48">
        <f>HYPERLINK("https://klasma.github.io/Logging_0821/kartor/A 19519-2025 karta.png", "A 19519-2025")</f>
        <v/>
      </c>
      <c r="Y48">
        <f>HYPERLINK("https://klasma.github.io/Logging_0821/kartor_geotiff/A 19519-2025 georefererad karta.tif", "A 19519-2025")</f>
        <v/>
      </c>
      <c r="AA48">
        <f>HYPERLINK("https://klasma.github.io/Logging_0821/klagomål/A 19519-2025 FSC-klagomål.docx", "A 19519-2025")</f>
        <v/>
      </c>
      <c r="AB48">
        <f>HYPERLINK("https://klasma.github.io/Logging_0821/klagomålsmail/A 19519-2025 FSC-klagomål mail.docx", "A 19519-2025")</f>
        <v/>
      </c>
      <c r="AC48">
        <f>HYPERLINK("https://klasma.github.io/Logging_0821/tillsyn/A 19519-2025 tillsynsbegäran.docx", "A 19519-2025")</f>
        <v/>
      </c>
      <c r="AD48">
        <f>HYPERLINK("https://klasma.github.io/Logging_0821/tillsynsmail/A 19519-2025 tillsynsbegäran mail.docx", "A 19519-2025")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46306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38802-2024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45547</v>
      </c>
      <c r="E50" s="1" t="n">
        <v>46306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HYPERLINK("https://klasma.github.io/Logging_0821/artfynd/A 38802-2024 artfynd.xlsx", "A 38802-2024")</f>
        <v/>
      </c>
      <c r="X50">
        <f>HYPERLINK("https://klasma.github.io/Logging_0821/kartor/A 38802-2024 karta.png", "A 38802-2024")</f>
        <v/>
      </c>
      <c r="Y50">
        <f>HYPERLINK("https://klasma.github.io/Logging_0821/kartor_geotiff/A 38802-2024 georefererad karta.tif", "A 38802-2024")</f>
        <v/>
      </c>
      <c r="AA50">
        <f>HYPERLINK("https://klasma.github.io/Logging_0821/klagomål/A 38802-2024 FSC-klagomål.docx", "A 38802-2024")</f>
        <v/>
      </c>
      <c r="AB50">
        <f>HYPERLINK("https://klasma.github.io/Logging_0821/klagomålsmail/A 38802-2024 FSC-klagomål mail.docx", "A 38802-2024")</f>
        <v/>
      </c>
      <c r="AC50">
        <f>HYPERLINK("https://klasma.github.io/Logging_0821/tillsyn/A 38802-2024 tillsynsbegäran.docx", "A 38802-2024")</f>
        <v/>
      </c>
      <c r="AD50">
        <f>HYPERLINK("https://klasma.github.io/Logging_0821/tillsynsmail/A 38802-2024 tillsynsbegäran mail.docx", "A 38802-2024")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46306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19536-2026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46306</v>
      </c>
      <c r="F52" t="inlineStr">
        <is>
          <t>KALMAR LÄN</t>
        </is>
      </c>
      <c r="G52" t="inlineStr">
        <is>
          <t>HÖGSBY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19536-2026 artfynd.xlsx", "A 19536-2026")</f>
        <v/>
      </c>
      <c r="X52">
        <f>HYPERLINK("https://klasma.github.io/Logging_0821/kartor/A 19536-2026 karta.png", "A 19536-2026")</f>
        <v/>
      </c>
      <c r="Y52">
        <f>HYPERLINK("https://klasma.github.io/Logging_0821/kartor_geotiff/A 19536-2026 georefererad karta.tif", "A 19536-2026")</f>
        <v/>
      </c>
      <c r="AA52">
        <f>HYPERLINK("https://klasma.github.io/Logging_0821/klagomål/A 19536-2026 FSC-klagomål.docx", "A 19536-2026")</f>
        <v/>
      </c>
      <c r="AB52">
        <f>HYPERLINK("https://klasma.github.io/Logging_0821/klagomålsmail/A 19536-2026 FSC-klagomål mail.docx", "A 19536-2026")</f>
        <v/>
      </c>
      <c r="AC52">
        <f>HYPERLINK("https://klasma.github.io/Logging_0821/tillsyn/A 19536-2026 tillsynsbegäran.docx", "A 19536-2026")</f>
        <v/>
      </c>
      <c r="AD52">
        <f>HYPERLINK("https://klasma.github.io/Logging_0821/tillsynsmail/A 19536-2026 tillsynsbegäran mail.docx", "A 19536-2026")</f>
        <v/>
      </c>
      <c r="AE52">
        <f>HYPERLINK("https://klasma.github.io/Logging_0821/fåglar/A 19536-2026 prioriterade fågelarter.docx", "A 19536-2026")</f>
        <v/>
      </c>
    </row>
    <row r="53" ht="15" customHeight="1">
      <c r="A53" t="inlineStr">
        <is>
          <t>A 38267-2025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46306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Flikig tallfibbla</t>
        </is>
      </c>
      <c r="W53">
        <f>HYPERLINK("https://klasma.github.io/Logging_0821/artfynd/A 38267-2025 artfynd.xlsx", "A 38267-2025")</f>
        <v/>
      </c>
      <c r="X53">
        <f>HYPERLINK("https://klasma.github.io/Logging_0821/kartor/A 38267-2025 karta.png", "A 38267-2025")</f>
        <v/>
      </c>
      <c r="Y53">
        <f>HYPERLINK("https://klasma.github.io/Logging_0821/kartor_geotiff/A 38267-2025 georefererad karta.tif", "A 38267-2025")</f>
        <v/>
      </c>
      <c r="AA53">
        <f>HYPERLINK("https://klasma.github.io/Logging_0821/klagomål/A 38267-2025 FSC-klagomål.docx", "A 38267-2025")</f>
        <v/>
      </c>
      <c r="AB53">
        <f>HYPERLINK("https://klasma.github.io/Logging_0821/klagomålsmail/A 38267-2025 FSC-klagomål mail.docx", "A 38267-2025")</f>
        <v/>
      </c>
      <c r="AC53">
        <f>HYPERLINK("https://klasma.github.io/Logging_0821/tillsyn/A 38267-2025 tillsynsbegäran.docx", "A 38267-2025")</f>
        <v/>
      </c>
      <c r="AD53">
        <f>HYPERLINK("https://klasma.github.io/Logging_0821/tillsynsmail/A 38267-2025 tillsynsbegäran mail.docx", "A 38267-2025")</f>
        <v/>
      </c>
    </row>
    <row r="54" ht="15" customHeight="1">
      <c r="A54" t="inlineStr">
        <is>
          <t>A 59700-2023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45256</v>
      </c>
      <c r="E54" s="1" t="n">
        <v>46306</v>
      </c>
      <c r="F54" t="inlineStr">
        <is>
          <t>KALMAR LÄN</t>
        </is>
      </c>
      <c r="G54" t="inlineStr">
        <is>
          <t>HÖGSBY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59700-2023 artfynd.xlsx", "A 59700-2023")</f>
        <v/>
      </c>
      <c r="X54">
        <f>HYPERLINK("https://klasma.github.io/Logging_0821/kartor/A 59700-2023 karta.png", "A 59700-2023")</f>
        <v/>
      </c>
      <c r="Y54">
        <f>HYPERLINK("https://klasma.github.io/Logging_0821/kartor_geotiff/A 59700-2023 georefererad karta.tif", "A 59700-2023")</f>
        <v/>
      </c>
      <c r="AA54">
        <f>HYPERLINK("https://klasma.github.io/Logging_0821/klagomål/A 59700-2023 FSC-klagomål.docx", "A 59700-2023")</f>
        <v/>
      </c>
      <c r="AB54">
        <f>HYPERLINK("https://klasma.github.io/Logging_0821/klagomålsmail/A 59700-2023 FSC-klagomål mail.docx", "A 59700-2023")</f>
        <v/>
      </c>
      <c r="AC54">
        <f>HYPERLINK("https://klasma.github.io/Logging_0821/tillsyn/A 59700-2023 tillsynsbegäran.docx", "A 59700-2023")</f>
        <v/>
      </c>
      <c r="AD54">
        <f>HYPERLINK("https://klasma.github.io/Logging_0821/tillsynsmail/A 59700-2023 tillsynsbegäran mail.docx", "A 59700-2023")</f>
        <v/>
      </c>
      <c r="AE54">
        <f>HYPERLINK("https://klasma.github.io/Logging_0821/fåglar/A 59700-2023 prioriterade fågelarter.docx", "A 59700-2023")</f>
        <v/>
      </c>
    </row>
    <row r="55" ht="15" customHeight="1">
      <c r="A55" t="inlineStr">
        <is>
          <t>A 22757-2026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46306</v>
      </c>
      <c r="F55" t="inlineStr">
        <is>
          <t>KALMAR LÄN</t>
        </is>
      </c>
      <c r="G55" t="inlineStr">
        <is>
          <t>HÖGSBY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4</v>
      </c>
      <c r="V55" s="2" t="inlineStr">
        <is>
          <t>Blåsippa</t>
        </is>
      </c>
      <c r="W55">
        <f>HYPERLINK("https://klasma.github.io/Logging_0821/artfynd/A 22757-2026 artfynd.xlsx", "A 22757-2026")</f>
        <v/>
      </c>
      <c r="X55">
        <f>HYPERLINK("https://klasma.github.io/Logging_0821/kartor/A 22757-2026 karta.png", "A 22757-2026")</f>
        <v/>
      </c>
      <c r="Y55">
        <f>HYPERLINK("https://klasma.github.io/Logging_0821/kartor_geotiff/A 22757-2026 georefererad karta.tif", "A 22757-2026")</f>
        <v/>
      </c>
      <c r="AA55">
        <f>HYPERLINK("https://klasma.github.io/Logging_0821/klagomål/A 22757-2026 FSC-klagomål.docx", "A 22757-2026")</f>
        <v/>
      </c>
      <c r="AB55">
        <f>HYPERLINK("https://klasma.github.io/Logging_0821/klagomålsmail/A 22757-2026 FSC-klagomål mail.docx", "A 22757-2026")</f>
        <v/>
      </c>
      <c r="AC55">
        <f>HYPERLINK("https://klasma.github.io/Logging_0821/tillsyn/A 22757-2026 tillsynsbegäran.docx", "A 22757-2026")</f>
        <v/>
      </c>
      <c r="AD55">
        <f>HYPERLINK("https://klasma.github.io/Logging_0821/tillsynsmail/A 22757-2026 tillsynsbegäran mail.docx", "A 22757-2026")</f>
        <v/>
      </c>
    </row>
    <row r="56" ht="15" customHeight="1">
      <c r="A56" t="inlineStr">
        <is>
          <t>A 23859-2026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46306</v>
      </c>
      <c r="F56" t="inlineStr">
        <is>
          <t>KALMAR LÄN</t>
        </is>
      </c>
      <c r="G56" t="inlineStr">
        <is>
          <t>HÖGSBY</t>
        </is>
      </c>
      <c r="I56" t="n">
        <v>3.8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Rödlånke</t>
        </is>
      </c>
      <c r="W56">
        <f>HYPERLINK("https://klasma.github.io/Logging_0821/artfynd/A 23859-2026 artfynd.xlsx", "A 23859-2026")</f>
        <v/>
      </c>
      <c r="X56">
        <f>HYPERLINK("https://klasma.github.io/Logging_0821/kartor/A 23859-2026 karta.png", "A 23859-2026")</f>
        <v/>
      </c>
      <c r="Y56">
        <f>HYPERLINK("https://klasma.github.io/Logging_0821/kartor_geotiff/A 23859-2026 georefererad karta.tif", "A 23859-2026")</f>
        <v/>
      </c>
      <c r="AA56">
        <f>HYPERLINK("https://klasma.github.io/Logging_0821/klagomål/A 23859-2026 FSC-klagomål.docx", "A 23859-2026")</f>
        <v/>
      </c>
      <c r="AB56">
        <f>HYPERLINK("https://klasma.github.io/Logging_0821/klagomålsmail/A 23859-2026 FSC-klagomål mail.docx", "A 23859-2026")</f>
        <v/>
      </c>
      <c r="AC56">
        <f>HYPERLINK("https://klasma.github.io/Logging_0821/tillsyn/A 23859-2026 tillsynsbegäran.docx", "A 23859-2026")</f>
        <v/>
      </c>
      <c r="AD56">
        <f>HYPERLINK("https://klasma.github.io/Logging_0821/tillsynsmail/A 23859-2026 tillsynsbegäran mail.docx", "A 23859-2026")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46306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27366-2026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46306</v>
      </c>
      <c r="F58" t="inlineStr">
        <is>
          <t>KALMAR LÄN</t>
        </is>
      </c>
      <c r="G58" t="inlineStr">
        <is>
          <t>HÖGSBY</t>
        </is>
      </c>
      <c r="I58" t="n">
        <v>4.4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27366-2026 artfynd.xlsx", "A 27366-2026")</f>
        <v/>
      </c>
      <c r="X58">
        <f>HYPERLINK("https://klasma.github.io/Logging_0821/kartor/A 27366-2026 karta.png", "A 27366-2026")</f>
        <v/>
      </c>
      <c r="Y58">
        <f>HYPERLINK("https://klasma.github.io/Logging_0821/kartor_geotiff/A 27366-2026 georefererad karta.tif", "A 27366-2026")</f>
        <v/>
      </c>
      <c r="AA58">
        <f>HYPERLINK("https://klasma.github.io/Logging_0821/klagomål/A 27366-2026 FSC-klagomål.docx", "A 27366-2026")</f>
        <v/>
      </c>
      <c r="AB58">
        <f>HYPERLINK("https://klasma.github.io/Logging_0821/klagomålsmail/A 27366-2026 FSC-klagomål mail.docx", "A 27366-2026")</f>
        <v/>
      </c>
      <c r="AC58">
        <f>HYPERLINK("https://klasma.github.io/Logging_0821/tillsyn/A 27366-2026 tillsynsbegäran.docx", "A 27366-2026")</f>
        <v/>
      </c>
      <c r="AD58">
        <f>HYPERLINK("https://klasma.github.io/Logging_0821/tillsynsmail/A 27366-2026 tillsynsbegäran mail.docx", "A 27366-2026")</f>
        <v/>
      </c>
    </row>
    <row r="59" ht="15" customHeight="1">
      <c r="A59" t="inlineStr">
        <is>
          <t>A 28894-2026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46306</v>
      </c>
      <c r="F59" t="inlineStr">
        <is>
          <t>KALMAR LÄN</t>
        </is>
      </c>
      <c r="G59" t="inlineStr">
        <is>
          <t>HÖGSBY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HYPERLINK("https://klasma.github.io/Logging_0821/artfynd/A 28894-2026 artfynd.xlsx", "A 28894-2026")</f>
        <v/>
      </c>
      <c r="X59">
        <f>HYPERLINK("https://klasma.github.io/Logging_0821/kartor/A 28894-2026 karta.png", "A 28894-2026")</f>
        <v/>
      </c>
      <c r="Y59">
        <f>HYPERLINK("https://klasma.github.io/Logging_0821/kartor_geotiff/A 28894-2026 georefererad karta.tif", "A 28894-2026")</f>
        <v/>
      </c>
      <c r="AA59">
        <f>HYPERLINK("https://klasma.github.io/Logging_0821/klagomål/A 28894-2026 FSC-klagomål.docx", "A 28894-2026")</f>
        <v/>
      </c>
      <c r="AB59">
        <f>HYPERLINK("https://klasma.github.io/Logging_0821/klagomålsmail/A 28894-2026 FSC-klagomål mail.docx", "A 28894-2026")</f>
        <v/>
      </c>
      <c r="AC59">
        <f>HYPERLINK("https://klasma.github.io/Logging_0821/tillsyn/A 28894-2026 tillsynsbegäran.docx", "A 28894-2026")</f>
        <v/>
      </c>
      <c r="AD59">
        <f>HYPERLINK("https://klasma.github.io/Logging_0821/tillsynsmail/A 28894-2026 tillsynsbegäran mail.docx", "A 28894-2026")</f>
        <v/>
      </c>
      <c r="AE59">
        <f>HYPERLINK("https://klasma.github.io/Logging_0821/fåglar/A 28894-2026 prioriterade fågelarter.docx", "A 28894-2026")</f>
        <v/>
      </c>
    </row>
    <row r="60" ht="15" customHeight="1">
      <c r="A60" t="inlineStr">
        <is>
          <t>A 30186-2026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46206</v>
      </c>
      <c r="E60" s="1" t="n">
        <v>46306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HYPERLINK("https://klasma.github.io/Logging_0821/artfynd/A 30186-2026 artfynd.xlsx", "A 30186-2026")</f>
        <v/>
      </c>
      <c r="X60">
        <f>HYPERLINK("https://klasma.github.io/Logging_0821/kartor/A 30186-2026 karta.png", "A 30186-2026")</f>
        <v/>
      </c>
      <c r="Y60">
        <f>HYPERLINK("https://klasma.github.io/Logging_0821/kartor_geotiff/A 30186-2026 georefererad karta.tif", "A 30186-2026")</f>
        <v/>
      </c>
      <c r="AA60">
        <f>HYPERLINK("https://klasma.github.io/Logging_0821/klagomål/A 30186-2026 FSC-klagomål.docx", "A 30186-2026")</f>
        <v/>
      </c>
      <c r="AB60">
        <f>HYPERLINK("https://klasma.github.io/Logging_0821/klagomålsmail/A 30186-2026 FSC-klagomål mail.docx", "A 30186-2026")</f>
        <v/>
      </c>
      <c r="AC60">
        <f>HYPERLINK("https://klasma.github.io/Logging_0821/tillsyn/A 30186-2026 tillsynsbegäran.docx", "A 30186-2026")</f>
        <v/>
      </c>
      <c r="AD60">
        <f>HYPERLINK("https://klasma.github.io/Logging_0821/tillsynsmail/A 30186-2026 tillsynsbegäran mail.docx", "A 30186-2026")</f>
        <v/>
      </c>
    </row>
    <row r="61" ht="15" customHeight="1">
      <c r="A61" t="inlineStr">
        <is>
          <t>A 30800-2026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46306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HYPERLINK("https://klasma.github.io/Logging_0821/artfynd/A 30800-2026 artfynd.xlsx", "A 30800-2026")</f>
        <v/>
      </c>
      <c r="X61">
        <f>HYPERLINK("https://klasma.github.io/Logging_0821/kartor/A 30800-2026 karta.png", "A 30800-2026")</f>
        <v/>
      </c>
      <c r="Y61">
        <f>HYPERLINK("https://klasma.github.io/Logging_0821/kartor_geotiff/A 30800-2026 georefererad karta.tif", "A 30800-2026")</f>
        <v/>
      </c>
      <c r="AA61">
        <f>HYPERLINK("https://klasma.github.io/Logging_0821/klagomål/A 30800-2026 FSC-klagomål.docx", "A 30800-2026")</f>
        <v/>
      </c>
      <c r="AB61">
        <f>HYPERLINK("https://klasma.github.io/Logging_0821/klagomålsmail/A 30800-2026 FSC-klagomål mail.docx", "A 30800-2026")</f>
        <v/>
      </c>
      <c r="AC61">
        <f>HYPERLINK("https://klasma.github.io/Logging_0821/tillsyn/A 30800-2026 tillsynsbegäran.docx", "A 30800-2026")</f>
        <v/>
      </c>
      <c r="AD61">
        <f>HYPERLINK("https://klasma.github.io/Logging_0821/tillsynsmail/A 30800-2026 tillsynsbegäran mail.docx", "A 30800-2026")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46306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46306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46306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46306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46306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46306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46306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46306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46306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46306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46306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46306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46306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46306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46306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46306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46306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46306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46306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46306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46306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46306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46306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44880</v>
      </c>
      <c r="E85" s="1" t="n">
        <v>46306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46306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46306</v>
      </c>
      <c r="F87" t="inlineStr">
        <is>
          <t>KALMAR LÄN</t>
        </is>
      </c>
      <c r="G87" t="inlineStr">
        <is>
          <t>HÖGSBY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46306</v>
      </c>
      <c r="F88" t="inlineStr">
        <is>
          <t>KALMAR LÄN</t>
        </is>
      </c>
      <c r="G88" t="inlineStr">
        <is>
          <t>HÖGSBY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46306</v>
      </c>
      <c r="F89" t="inlineStr">
        <is>
          <t>KALMAR LÄN</t>
        </is>
      </c>
      <c r="G89" t="inlineStr">
        <is>
          <t>HÖGSBY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44542</v>
      </c>
      <c r="E90" s="1" t="n">
        <v>46306</v>
      </c>
      <c r="F90" t="inlineStr">
        <is>
          <t>KALMAR LÄN</t>
        </is>
      </c>
      <c r="G90" t="inlineStr">
        <is>
          <t>HÖGSBY</t>
        </is>
      </c>
      <c r="I90" t="n">
        <v>16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72066-2021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44542</v>
      </c>
      <c r="E91" s="1" t="n">
        <v>46306</v>
      </c>
      <c r="F91" t="inlineStr">
        <is>
          <t>KALMAR LÄN</t>
        </is>
      </c>
      <c r="G91" t="inlineStr">
        <is>
          <t>HÖGSBY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73435-2021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46306</v>
      </c>
      <c r="F92" t="inlineStr">
        <is>
          <t>KALMAR LÄN</t>
        </is>
      </c>
      <c r="G92" t="inlineStr">
        <is>
          <t>HÖGSBY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46306</v>
      </c>
      <c r="F93" t="inlineStr">
        <is>
          <t>KALMAR LÄN</t>
        </is>
      </c>
      <c r="G93" t="inlineStr">
        <is>
          <t>HÖGSBY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71165-2021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46306</v>
      </c>
      <c r="F94" t="inlineStr">
        <is>
          <t>KALMAR LÄN</t>
        </is>
      </c>
      <c r="G94" t="inlineStr">
        <is>
          <t>HÖGSBY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46306</v>
      </c>
      <c r="F95" t="inlineStr">
        <is>
          <t>KALMAR LÄN</t>
        </is>
      </c>
      <c r="G95" t="inlineStr">
        <is>
          <t>HÖGSBY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46306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46306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46306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46306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46306</v>
      </c>
      <c r="F100" t="inlineStr">
        <is>
          <t>KALMAR LÄN</t>
        </is>
      </c>
      <c r="G100" t="inlineStr">
        <is>
          <t>HÖGSBY</t>
        </is>
      </c>
      <c r="H100" t="inlineStr">
        <is>
          <t>Övriga Aktiebolag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46306</v>
      </c>
      <c r="F101" t="inlineStr">
        <is>
          <t>KALMAR LÄN</t>
        </is>
      </c>
      <c r="G101" t="inlineStr">
        <is>
          <t>HÖGSBY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46306</v>
      </c>
      <c r="F102" t="inlineStr">
        <is>
          <t>KALMAR LÄN</t>
        </is>
      </c>
      <c r="G102" t="inlineStr">
        <is>
          <t>HÖGSBY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46306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46306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46306</v>
      </c>
      <c r="F105" t="inlineStr">
        <is>
          <t>KALMAR LÄN</t>
        </is>
      </c>
      <c r="G105" t="inlineStr">
        <is>
          <t>HÖGSBY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45546</v>
      </c>
      <c r="E106" s="1" t="n">
        <v>46306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45391</v>
      </c>
      <c r="E107" s="1" t="n">
        <v>46306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59281-2022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44904</v>
      </c>
      <c r="E108" s="1" t="n">
        <v>46306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46306</v>
      </c>
      <c r="F109" t="inlineStr">
        <is>
          <t>KALMAR LÄN</t>
        </is>
      </c>
      <c r="G109" t="inlineStr">
        <is>
          <t>HÖGSBY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44866</v>
      </c>
      <c r="E110" s="1" t="n">
        <v>46306</v>
      </c>
      <c r="F110" t="inlineStr">
        <is>
          <t>KALMAR LÄN</t>
        </is>
      </c>
      <c r="G110" t="inlineStr">
        <is>
          <t>HÖGSBY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37811-2024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45544</v>
      </c>
      <c r="E111" s="1" t="n">
        <v>46306</v>
      </c>
      <c r="F111" t="inlineStr">
        <is>
          <t>KALMAR LÄN</t>
        </is>
      </c>
      <c r="G111" t="inlineStr">
        <is>
          <t>HÖGSBY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28648-2023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45103</v>
      </c>
      <c r="E112" s="1" t="n">
        <v>46306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46306</v>
      </c>
      <c r="F113" t="inlineStr">
        <is>
          <t>KALMAR LÄN</t>
        </is>
      </c>
      <c r="G113" t="inlineStr">
        <is>
          <t>HÖGSBY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46306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46306</v>
      </c>
      <c r="F115" t="inlineStr">
        <is>
          <t>KALMAR LÄN</t>
        </is>
      </c>
      <c r="G115" t="inlineStr">
        <is>
          <t>HÖGSBY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45126</v>
      </c>
      <c r="E116" s="1" t="n">
        <v>46306</v>
      </c>
      <c r="F116" t="inlineStr">
        <is>
          <t>KALMAR LÄN</t>
        </is>
      </c>
      <c r="G116" t="inlineStr">
        <is>
          <t>HÖGSBY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46306</v>
      </c>
      <c r="F117" t="inlineStr">
        <is>
          <t>KALMAR LÄN</t>
        </is>
      </c>
      <c r="G117" t="inlineStr">
        <is>
          <t>HÖGSBY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45341</v>
      </c>
      <c r="E118" s="1" t="n">
        <v>46306</v>
      </c>
      <c r="F118" t="inlineStr">
        <is>
          <t>KALMAR LÄN</t>
        </is>
      </c>
      <c r="G118" t="inlineStr">
        <is>
          <t>HÖGSBY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46306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46306</v>
      </c>
      <c r="F120" t="inlineStr">
        <is>
          <t>KALMAR LÄN</t>
        </is>
      </c>
      <c r="G120" t="inlineStr">
        <is>
          <t>HÖGSBY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46306</v>
      </c>
      <c r="F121" t="inlineStr">
        <is>
          <t>KALMAR LÄN</t>
        </is>
      </c>
      <c r="G121" t="inlineStr">
        <is>
          <t>HÖGSBY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46306</v>
      </c>
      <c r="F122" t="inlineStr">
        <is>
          <t>KALMAR LÄN</t>
        </is>
      </c>
      <c r="G122" t="inlineStr">
        <is>
          <t>HÖGSBY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46306</v>
      </c>
      <c r="F123" t="inlineStr">
        <is>
          <t>KALMAR LÄN</t>
        </is>
      </c>
      <c r="G123" t="inlineStr">
        <is>
          <t>HÖGSBY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46306</v>
      </c>
      <c r="F124" t="inlineStr">
        <is>
          <t>KALMAR LÄN</t>
        </is>
      </c>
      <c r="G124" t="inlineStr">
        <is>
          <t>HÖGSBY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45688</v>
      </c>
      <c r="E125" s="1" t="n">
        <v>46306</v>
      </c>
      <c r="F125" t="inlineStr">
        <is>
          <t>KALMAR LÄN</t>
        </is>
      </c>
      <c r="G125" t="inlineStr">
        <is>
          <t>HÖGSBY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44907</v>
      </c>
      <c r="E126" s="1" t="n">
        <v>46306</v>
      </c>
      <c r="F126" t="inlineStr">
        <is>
          <t>KALMAR LÄN</t>
        </is>
      </c>
      <c r="G126" t="inlineStr">
        <is>
          <t>HÖGSBY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46306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46306</v>
      </c>
      <c r="F128" t="inlineStr">
        <is>
          <t>KALMAR LÄN</t>
        </is>
      </c>
      <c r="G128" t="inlineStr">
        <is>
          <t>HÖGSBY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46306</v>
      </c>
      <c r="F129" t="inlineStr">
        <is>
          <t>KALMAR LÄN</t>
        </is>
      </c>
      <c r="G129" t="inlineStr">
        <is>
          <t>HÖGSBY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46306</v>
      </c>
      <c r="F130" t="inlineStr">
        <is>
          <t>KALMAR LÄN</t>
        </is>
      </c>
      <c r="G130" t="inlineStr">
        <is>
          <t>HÖGSBY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45692</v>
      </c>
      <c r="E131" s="1" t="n">
        <v>46306</v>
      </c>
      <c r="F131" t="inlineStr">
        <is>
          <t>KALMAR LÄN</t>
        </is>
      </c>
      <c r="G131" t="inlineStr">
        <is>
          <t>HÖGSBY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26545-2024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45469</v>
      </c>
      <c r="E132" s="1" t="n">
        <v>46306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46306</v>
      </c>
      <c r="F133" t="inlineStr">
        <is>
          <t>KALMAR LÄN</t>
        </is>
      </c>
      <c r="G133" t="inlineStr">
        <is>
          <t>HÖGSBY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46306</v>
      </c>
      <c r="F134" t="inlineStr">
        <is>
          <t>KALMAR LÄN</t>
        </is>
      </c>
      <c r="G134" t="inlineStr">
        <is>
          <t>HÖGSBY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46306</v>
      </c>
      <c r="F135" t="inlineStr">
        <is>
          <t>KALMAR LÄN</t>
        </is>
      </c>
      <c r="G135" t="inlineStr">
        <is>
          <t>HÖGSBY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46306</v>
      </c>
      <c r="F136" t="inlineStr">
        <is>
          <t>KALMAR LÄN</t>
        </is>
      </c>
      <c r="G136" t="inlineStr">
        <is>
          <t>HÖGSBY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46306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46306</v>
      </c>
      <c r="F138" t="inlineStr">
        <is>
          <t>KALMAR LÄN</t>
        </is>
      </c>
      <c r="G138" t="inlineStr">
        <is>
          <t>HÖGSBY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45114</v>
      </c>
      <c r="E139" s="1" t="n">
        <v>46306</v>
      </c>
      <c r="F139" t="inlineStr">
        <is>
          <t>KALMAR LÄN</t>
        </is>
      </c>
      <c r="G139" t="inlineStr">
        <is>
          <t>HÖGSBY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46306</v>
      </c>
      <c r="F140" t="inlineStr">
        <is>
          <t>KALMAR LÄN</t>
        </is>
      </c>
      <c r="G140" t="inlineStr">
        <is>
          <t>HÖGSBY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46306</v>
      </c>
      <c r="F141" t="inlineStr">
        <is>
          <t>KALMAR LÄN</t>
        </is>
      </c>
      <c r="G141" t="inlineStr">
        <is>
          <t>HÖGSBY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46306</v>
      </c>
      <c r="F142" t="inlineStr">
        <is>
          <t>KALMAR LÄN</t>
        </is>
      </c>
      <c r="G142" t="inlineStr">
        <is>
          <t>HÖGSBY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44879</v>
      </c>
      <c r="E143" s="1" t="n">
        <v>46306</v>
      </c>
      <c r="F143" t="inlineStr">
        <is>
          <t>KALMAR LÄN</t>
        </is>
      </c>
      <c r="G143" t="inlineStr">
        <is>
          <t>HÖGSBY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46306</v>
      </c>
      <c r="F144" t="inlineStr">
        <is>
          <t>KALMAR LÄN</t>
        </is>
      </c>
      <c r="G144" t="inlineStr">
        <is>
          <t>HÖGSBY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46306</v>
      </c>
      <c r="F145" t="inlineStr">
        <is>
          <t>KALMAR LÄN</t>
        </is>
      </c>
      <c r="G145" t="inlineStr">
        <is>
          <t>HÖGSBY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46306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46306</v>
      </c>
      <c r="F147" t="inlineStr">
        <is>
          <t>KALMAR LÄN</t>
        </is>
      </c>
      <c r="G147" t="inlineStr">
        <is>
          <t>HÖGSBY</t>
        </is>
      </c>
      <c r="H147" t="inlineStr">
        <is>
          <t>Kyrkan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46306</v>
      </c>
      <c r="F148" t="inlineStr">
        <is>
          <t>KALMAR LÄN</t>
        </is>
      </c>
      <c r="G148" t="inlineStr">
        <is>
          <t>HÖGSBY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46306</v>
      </c>
      <c r="F149" t="inlineStr">
        <is>
          <t>KALMAR LÄN</t>
        </is>
      </c>
      <c r="G149" t="inlineStr">
        <is>
          <t>HÖGSBY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46306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46306</v>
      </c>
      <c r="F151" t="inlineStr">
        <is>
          <t>KALMAR LÄN</t>
        </is>
      </c>
      <c r="G151" t="inlineStr">
        <is>
          <t>HÖGSBY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46306</v>
      </c>
      <c r="F152" t="inlineStr">
        <is>
          <t>KALMAR LÄN</t>
        </is>
      </c>
      <c r="G152" t="inlineStr">
        <is>
          <t>HÖGSBY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46306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46306</v>
      </c>
      <c r="F154" t="inlineStr">
        <is>
          <t>KALMAR LÄN</t>
        </is>
      </c>
      <c r="G154" t="inlineStr">
        <is>
          <t>HÖGSBY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73709-2021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46306</v>
      </c>
      <c r="F155" t="inlineStr">
        <is>
          <t>KALMAR LÄN</t>
        </is>
      </c>
      <c r="G155" t="inlineStr">
        <is>
          <t>HÖGSBY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46306</v>
      </c>
      <c r="F156" t="inlineStr">
        <is>
          <t>KALMAR LÄN</t>
        </is>
      </c>
      <c r="G156" t="inlineStr">
        <is>
          <t>HÖGSBY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14273-2024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45393</v>
      </c>
      <c r="E157" s="1" t="n">
        <v>46306</v>
      </c>
      <c r="F157" t="inlineStr">
        <is>
          <t>KALMAR LÄN</t>
        </is>
      </c>
      <c r="G157" t="inlineStr">
        <is>
          <t>HÖGSBY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46306</v>
      </c>
      <c r="F158" t="inlineStr">
        <is>
          <t>KALMAR LÄN</t>
        </is>
      </c>
      <c r="G158" t="inlineStr">
        <is>
          <t>HÖGSBY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46306</v>
      </c>
      <c r="F159" t="inlineStr">
        <is>
          <t>KALMAR LÄN</t>
        </is>
      </c>
      <c r="G159" t="inlineStr">
        <is>
          <t>HÖGSBY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46306</v>
      </c>
      <c r="F160" t="inlineStr">
        <is>
          <t>KALMAR LÄN</t>
        </is>
      </c>
      <c r="G160" t="inlineStr">
        <is>
          <t>HÖGSBY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46306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46306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46306</v>
      </c>
      <c r="F163" t="inlineStr">
        <is>
          <t>KALMAR LÄN</t>
        </is>
      </c>
      <c r="G163" t="inlineStr">
        <is>
          <t>HÖGSBY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44972</v>
      </c>
      <c r="E164" s="1" t="n">
        <v>46306</v>
      </c>
      <c r="F164" t="inlineStr">
        <is>
          <t>KALMAR LÄN</t>
        </is>
      </c>
      <c r="G164" t="inlineStr">
        <is>
          <t>HÖGSBY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34078-2024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45523</v>
      </c>
      <c r="E165" s="1" t="n">
        <v>46306</v>
      </c>
      <c r="F165" t="inlineStr">
        <is>
          <t>KALMAR LÄN</t>
        </is>
      </c>
      <c r="G165" t="inlineStr">
        <is>
          <t>HÖGSBY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46306</v>
      </c>
      <c r="F166" t="inlineStr">
        <is>
          <t>KALMAR LÄN</t>
        </is>
      </c>
      <c r="G166" t="inlineStr">
        <is>
          <t>HÖGSBY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45360</v>
      </c>
      <c r="E167" s="1" t="n">
        <v>46306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46306</v>
      </c>
      <c r="F168" t="inlineStr">
        <is>
          <t>KALMAR LÄN</t>
        </is>
      </c>
      <c r="G168" t="inlineStr">
        <is>
          <t>HÖGSBY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57006-2024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45626</v>
      </c>
      <c r="E169" s="1" t="n">
        <v>46306</v>
      </c>
      <c r="F169" t="inlineStr">
        <is>
          <t>KALMAR LÄN</t>
        </is>
      </c>
      <c r="G169" t="inlineStr">
        <is>
          <t>HÖGSBY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45175</v>
      </c>
      <c r="E170" s="1" t="n">
        <v>46306</v>
      </c>
      <c r="F170" t="inlineStr">
        <is>
          <t>KALMAR LÄN</t>
        </is>
      </c>
      <c r="G170" t="inlineStr">
        <is>
          <t>HÖGSBY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46306</v>
      </c>
      <c r="F171" t="inlineStr">
        <is>
          <t>KALMAR LÄN</t>
        </is>
      </c>
      <c r="G171" t="inlineStr">
        <is>
          <t>HÖGSBY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46306</v>
      </c>
      <c r="F172" t="inlineStr">
        <is>
          <t>KALMAR LÄN</t>
        </is>
      </c>
      <c r="G172" t="inlineStr">
        <is>
          <t>HÖGSBY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46306</v>
      </c>
      <c r="F173" t="inlineStr">
        <is>
          <t>KALMAR LÄN</t>
        </is>
      </c>
      <c r="G173" t="inlineStr">
        <is>
          <t>HÖGSBY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44993</v>
      </c>
      <c r="E174" s="1" t="n">
        <v>46306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46306</v>
      </c>
      <c r="F175" t="inlineStr">
        <is>
          <t>KALMAR LÄN</t>
        </is>
      </c>
      <c r="G175" t="inlineStr">
        <is>
          <t>HÖGSBY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46306</v>
      </c>
      <c r="F176" t="inlineStr">
        <is>
          <t>KALMAR LÄN</t>
        </is>
      </c>
      <c r="G176" t="inlineStr">
        <is>
          <t>HÖGSBY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46306</v>
      </c>
      <c r="F177" t="inlineStr">
        <is>
          <t>KALMAR LÄN</t>
        </is>
      </c>
      <c r="G177" t="inlineStr">
        <is>
          <t>HÖGSBY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46306</v>
      </c>
      <c r="F178" t="inlineStr">
        <is>
          <t>KALMAR LÄN</t>
        </is>
      </c>
      <c r="G178" t="inlineStr">
        <is>
          <t>HÖGSBY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45348</v>
      </c>
      <c r="E179" s="1" t="n">
        <v>46306</v>
      </c>
      <c r="F179" t="inlineStr">
        <is>
          <t>KALMAR LÄN</t>
        </is>
      </c>
      <c r="G179" t="inlineStr">
        <is>
          <t>HÖGSBY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46306</v>
      </c>
      <c r="F180" t="inlineStr">
        <is>
          <t>KALMAR LÄN</t>
        </is>
      </c>
      <c r="G180" t="inlineStr">
        <is>
          <t>HÖGSBY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HYPERLINK("https://klasma.github.io/Logging_0821/knärot/A 40137-2024 karta knärot.png", "A 40137-2024")</f>
        <v/>
      </c>
      <c r="AA180">
        <f>HYPERLINK("https://klasma.github.io/Logging_0821/klagomål/A 40137-2024 FSC-klagomål.docx", "A 40137-2024")</f>
        <v/>
      </c>
      <c r="AB180">
        <f>HYPERLINK("https://klasma.github.io/Logging_0821/klagomålsmail/A 40137-2024 FSC-klagomål mail.docx", "A 40137-2024")</f>
        <v/>
      </c>
      <c r="AC180">
        <f>HYPERLINK("https://klasma.github.io/Logging_0821/tillsyn/A 40137-2024 tillsynsbegäran.docx", "A 40137-2024")</f>
        <v/>
      </c>
      <c r="AD180">
        <f>HYPERLINK("https://klasma.github.io/Logging_0821/tillsynsmail/A 40137-2024 tillsynsbegäran mail.docx", "A 40137-2024")</f>
        <v/>
      </c>
    </row>
    <row r="181" ht="15" customHeight="1">
      <c r="A181" t="inlineStr">
        <is>
          <t>A 55703-2023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45239</v>
      </c>
      <c r="E181" s="1" t="n">
        <v>46306</v>
      </c>
      <c r="F181" t="inlineStr">
        <is>
          <t>KALMAR LÄN</t>
        </is>
      </c>
      <c r="G181" t="inlineStr">
        <is>
          <t>HÖGSBY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46306</v>
      </c>
      <c r="F182" t="inlineStr">
        <is>
          <t>KALMAR LÄN</t>
        </is>
      </c>
      <c r="G182" t="inlineStr">
        <is>
          <t>HÖGSBY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45702</v>
      </c>
      <c r="E183" s="1" t="n">
        <v>46306</v>
      </c>
      <c r="F183" t="inlineStr">
        <is>
          <t>KALMAR LÄN</t>
        </is>
      </c>
      <c r="G183" t="inlineStr">
        <is>
          <t>HÖGSBY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44625</v>
      </c>
      <c r="E184" s="1" t="n">
        <v>46306</v>
      </c>
      <c r="F184" t="inlineStr">
        <is>
          <t>KALMAR LÄN</t>
        </is>
      </c>
      <c r="G184" t="inlineStr">
        <is>
          <t>HÖGSBY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44625</v>
      </c>
      <c r="E185" s="1" t="n">
        <v>46306</v>
      </c>
      <c r="F185" t="inlineStr">
        <is>
          <t>KALMAR LÄN</t>
        </is>
      </c>
      <c r="G185" t="inlineStr">
        <is>
          <t>HÖGSBY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45797</v>
      </c>
      <c r="E186" s="1" t="n">
        <v>46306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46306</v>
      </c>
      <c r="F187" t="inlineStr">
        <is>
          <t>KALMAR LÄN</t>
        </is>
      </c>
      <c r="G187" t="inlineStr">
        <is>
          <t>HÖGSBY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45173</v>
      </c>
      <c r="E188" s="1" t="n">
        <v>46306</v>
      </c>
      <c r="F188" t="inlineStr">
        <is>
          <t>KALMAR LÄN</t>
        </is>
      </c>
      <c r="G188" t="inlineStr">
        <is>
          <t>HÖGSBY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46306</v>
      </c>
      <c r="F189" t="inlineStr">
        <is>
          <t>KALMAR LÄN</t>
        </is>
      </c>
      <c r="G189" t="inlineStr">
        <is>
          <t>HÖGSBY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46306</v>
      </c>
      <c r="F190" t="inlineStr">
        <is>
          <t>KALMAR LÄN</t>
        </is>
      </c>
      <c r="G190" t="inlineStr">
        <is>
          <t>HÖGSBY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46306</v>
      </c>
      <c r="F191" t="inlineStr">
        <is>
          <t>KALMAR LÄN</t>
        </is>
      </c>
      <c r="G191" t="inlineStr">
        <is>
          <t>HÖGSBY</t>
        </is>
      </c>
      <c r="H191" t="inlineStr">
        <is>
          <t>Kommuner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46306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46306</v>
      </c>
      <c r="F193" t="inlineStr">
        <is>
          <t>KALMAR LÄN</t>
        </is>
      </c>
      <c r="G193" t="inlineStr">
        <is>
          <t>HÖGSBY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38797-2024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45547</v>
      </c>
      <c r="E194" s="1" t="n">
        <v>46306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46306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46306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46306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46306</v>
      </c>
      <c r="F198" t="inlineStr">
        <is>
          <t>KALMAR LÄN</t>
        </is>
      </c>
      <c r="G198" t="inlineStr">
        <is>
          <t>HÖGSBY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65130-2023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45288</v>
      </c>
      <c r="E199" s="1" t="n">
        <v>46306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46306</v>
      </c>
      <c r="F200" t="inlineStr">
        <is>
          <t>KALMAR LÄN</t>
        </is>
      </c>
      <c r="G200" t="inlineStr">
        <is>
          <t>HÖGSBY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46306</v>
      </c>
      <c r="F201" t="inlineStr">
        <is>
          <t>KALMAR LÄN</t>
        </is>
      </c>
      <c r="G201" t="inlineStr">
        <is>
          <t>HÖGSBY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46306</v>
      </c>
      <c r="F202" t="inlineStr">
        <is>
          <t>KALMAR LÄN</t>
        </is>
      </c>
      <c r="G202" t="inlineStr">
        <is>
          <t>HÖGSBY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57000-2024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45626</v>
      </c>
      <c r="E203" s="1" t="n">
        <v>46306</v>
      </c>
      <c r="F203" t="inlineStr">
        <is>
          <t>KALMAR LÄN</t>
        </is>
      </c>
      <c r="G203" t="inlineStr">
        <is>
          <t>HÖGSBY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46306</v>
      </c>
      <c r="F204" t="inlineStr">
        <is>
          <t>KALMAR LÄN</t>
        </is>
      </c>
      <c r="G204" t="inlineStr">
        <is>
          <t>HÖGSBY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46306</v>
      </c>
      <c r="F205" t="inlineStr">
        <is>
          <t>KALMAR LÄN</t>
        </is>
      </c>
      <c r="G205" t="inlineStr">
        <is>
          <t>HÖGSBY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46306</v>
      </c>
      <c r="F206" t="inlineStr">
        <is>
          <t>KALMAR LÄN</t>
        </is>
      </c>
      <c r="G206" t="inlineStr">
        <is>
          <t>HÖGSBY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46306</v>
      </c>
      <c r="F207" t="inlineStr">
        <is>
          <t>KALMAR LÄN</t>
        </is>
      </c>
      <c r="G207" t="inlineStr">
        <is>
          <t>HÖGSBY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46306</v>
      </c>
      <c r="F208" t="inlineStr">
        <is>
          <t>KALMAR LÄN</t>
        </is>
      </c>
      <c r="G208" t="inlineStr">
        <is>
          <t>HÖGSBY</t>
        </is>
      </c>
      <c r="I208" t="n">
        <v>12.8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44677</v>
      </c>
      <c r="E209" s="1" t="n">
        <v>46306</v>
      </c>
      <c r="F209" t="inlineStr">
        <is>
          <t>KALMAR LÄN</t>
        </is>
      </c>
      <c r="G209" t="inlineStr">
        <is>
          <t>HÖGSBY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46306</v>
      </c>
      <c r="F210" t="inlineStr">
        <is>
          <t>KALMAR LÄN</t>
        </is>
      </c>
      <c r="G210" t="inlineStr">
        <is>
          <t>HÖGSBY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44496</v>
      </c>
      <c r="E211" s="1" t="n">
        <v>46306</v>
      </c>
      <c r="F211" t="inlineStr">
        <is>
          <t>KALMAR LÄN</t>
        </is>
      </c>
      <c r="G211" t="inlineStr">
        <is>
          <t>HÖGSBY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46306</v>
      </c>
      <c r="F212" t="inlineStr">
        <is>
          <t>KALMAR LÄN</t>
        </is>
      </c>
      <c r="G212" t="inlineStr">
        <is>
          <t>HÖGSBY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46306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46306</v>
      </c>
      <c r="F214" t="inlineStr">
        <is>
          <t>KALMAR LÄN</t>
        </is>
      </c>
      <c r="G214" t="inlineStr">
        <is>
          <t>HÖGSBY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46306</v>
      </c>
      <c r="F215" t="inlineStr">
        <is>
          <t>KALMAR LÄN</t>
        </is>
      </c>
      <c r="G215" t="inlineStr">
        <is>
          <t>HÖGSBY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46306</v>
      </c>
      <c r="F216" t="inlineStr">
        <is>
          <t>KALMAR LÄN</t>
        </is>
      </c>
      <c r="G216" t="inlineStr">
        <is>
          <t>HÖGSBY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46306</v>
      </c>
      <c r="F217" t="inlineStr">
        <is>
          <t>KALMAR LÄN</t>
        </is>
      </c>
      <c r="G217" t="inlineStr">
        <is>
          <t>HÖGSBY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46306</v>
      </c>
      <c r="F218" t="inlineStr">
        <is>
          <t>KALMAR LÄN</t>
        </is>
      </c>
      <c r="G218" t="inlineStr">
        <is>
          <t>HÖGSBY</t>
        </is>
      </c>
      <c r="H218" t="inlineStr">
        <is>
          <t>Kyrkan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46306</v>
      </c>
      <c r="F219" t="inlineStr">
        <is>
          <t>KALMAR LÄN</t>
        </is>
      </c>
      <c r="G219" t="inlineStr">
        <is>
          <t>HÖGSBY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46306</v>
      </c>
      <c r="F220" t="inlineStr">
        <is>
          <t>KALMAR LÄN</t>
        </is>
      </c>
      <c r="G220" t="inlineStr">
        <is>
          <t>HÖGSBY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46306</v>
      </c>
      <c r="F221" t="inlineStr">
        <is>
          <t>KALMAR LÄN</t>
        </is>
      </c>
      <c r="G221" t="inlineStr">
        <is>
          <t>HÖGSBY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46306</v>
      </c>
      <c r="F222" t="inlineStr">
        <is>
          <t>KALMAR LÄN</t>
        </is>
      </c>
      <c r="G222" t="inlineStr">
        <is>
          <t>HÖGSBY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46306</v>
      </c>
      <c r="F223" t="inlineStr">
        <is>
          <t>KALMAR LÄN</t>
        </is>
      </c>
      <c r="G223" t="inlineStr">
        <is>
          <t>HÖGSBY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32049-2023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45119</v>
      </c>
      <c r="E224" s="1" t="n">
        <v>46306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46306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30294-2022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44760</v>
      </c>
      <c r="E226" s="1" t="n">
        <v>46306</v>
      </c>
      <c r="F226" t="inlineStr">
        <is>
          <t>KALMAR LÄN</t>
        </is>
      </c>
      <c r="G226" t="inlineStr">
        <is>
          <t>HÖGSBY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46306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44999</v>
      </c>
      <c r="E228" s="1" t="n">
        <v>46306</v>
      </c>
      <c r="F228" t="inlineStr">
        <is>
          <t>KALMAR LÄN</t>
        </is>
      </c>
      <c r="G228" t="inlineStr">
        <is>
          <t>HÖGSBY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45259</v>
      </c>
      <c r="E229" s="1" t="n">
        <v>46306</v>
      </c>
      <c r="F229" t="inlineStr">
        <is>
          <t>KALMAR LÄN</t>
        </is>
      </c>
      <c r="G229" t="inlineStr">
        <is>
          <t>HÖGSBY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46306</v>
      </c>
      <c r="F230" t="inlineStr">
        <is>
          <t>KALMAR LÄN</t>
        </is>
      </c>
      <c r="G230" t="inlineStr">
        <is>
          <t>HÖGSBY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46306</v>
      </c>
      <c r="F231" t="inlineStr">
        <is>
          <t>KALMAR LÄN</t>
        </is>
      </c>
      <c r="G231" t="inlineStr">
        <is>
          <t>HÖGSBY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46306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45974</v>
      </c>
      <c r="E233" s="1" t="n">
        <v>46306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46306</v>
      </c>
      <c r="F234" t="inlineStr">
        <is>
          <t>KALMAR LÄN</t>
        </is>
      </c>
      <c r="G234" t="inlineStr">
        <is>
          <t>HÖGSBY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46306</v>
      </c>
      <c r="F235" t="inlineStr">
        <is>
          <t>KALMAR LÄN</t>
        </is>
      </c>
      <c r="G235" t="inlineStr">
        <is>
          <t>HÖGSBY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46306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46306</v>
      </c>
      <c r="F237" t="inlineStr">
        <is>
          <t>KALMAR LÄN</t>
        </is>
      </c>
      <c r="G237" t="inlineStr">
        <is>
          <t>HÖGSBY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46306</v>
      </c>
      <c r="F238" t="inlineStr">
        <is>
          <t>KALMAR LÄN</t>
        </is>
      </c>
      <c r="G238" t="inlineStr">
        <is>
          <t>HÖGSBY</t>
        </is>
      </c>
      <c r="H238" t="inlineStr">
        <is>
          <t>Övriga Aktiebolag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44987</v>
      </c>
      <c r="E239" s="1" t="n">
        <v>46306</v>
      </c>
      <c r="F239" t="inlineStr">
        <is>
          <t>KALMAR LÄN</t>
        </is>
      </c>
      <c r="G239" t="inlineStr">
        <is>
          <t>HÖGSBY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45552</v>
      </c>
      <c r="E240" s="1" t="n">
        <v>46306</v>
      </c>
      <c r="F240" t="inlineStr">
        <is>
          <t>KALMAR LÄN</t>
        </is>
      </c>
      <c r="G240" t="inlineStr">
        <is>
          <t>HÖGSBY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45228</v>
      </c>
      <c r="E241" s="1" t="n">
        <v>46306</v>
      </c>
      <c r="F241" t="inlineStr">
        <is>
          <t>KALMAR LÄN</t>
        </is>
      </c>
      <c r="G241" t="inlineStr">
        <is>
          <t>HÖGSBY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46306</v>
      </c>
      <c r="F242" t="inlineStr">
        <is>
          <t>KALMAR LÄN</t>
        </is>
      </c>
      <c r="G242" t="inlineStr">
        <is>
          <t>HÖGSBY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46306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74478-2021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44559</v>
      </c>
      <c r="E244" s="1" t="n">
        <v>46306</v>
      </c>
      <c r="F244" t="inlineStr">
        <is>
          <t>KALMAR LÄN</t>
        </is>
      </c>
      <c r="G244" t="inlineStr">
        <is>
          <t>HÖGSBY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38068-2025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45882</v>
      </c>
      <c r="E245" s="1" t="n">
        <v>46306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45071</v>
      </c>
      <c r="E246" s="1" t="n">
        <v>46306</v>
      </c>
      <c r="F246" t="inlineStr">
        <is>
          <t>KALMAR LÄN</t>
        </is>
      </c>
      <c r="G246" t="inlineStr">
        <is>
          <t>HÖGSBY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44879</v>
      </c>
      <c r="E247" s="1" t="n">
        <v>46306</v>
      </c>
      <c r="F247" t="inlineStr">
        <is>
          <t>KALMAR LÄN</t>
        </is>
      </c>
      <c r="G247" t="inlineStr">
        <is>
          <t>HÖGSBY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46306</v>
      </c>
      <c r="F248" t="inlineStr">
        <is>
          <t>KALMAR LÄN</t>
        </is>
      </c>
      <c r="G248" t="inlineStr">
        <is>
          <t>HÖGSBY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14894-2025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45743</v>
      </c>
      <c r="E249" s="1" t="n">
        <v>46306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16014-2025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46306</v>
      </c>
      <c r="F250" t="inlineStr">
        <is>
          <t>KALMAR LÄN</t>
        </is>
      </c>
      <c r="G250" t="inlineStr">
        <is>
          <t>HÖGSBY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46306</v>
      </c>
      <c r="F251" t="inlineStr">
        <is>
          <t>KALMAR LÄN</t>
        </is>
      </c>
      <c r="G251" t="inlineStr">
        <is>
          <t>HÖGSBY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46306</v>
      </c>
      <c r="F252" t="inlineStr">
        <is>
          <t>KALMAR LÄN</t>
        </is>
      </c>
      <c r="G252" t="inlineStr">
        <is>
          <t>HÖGSBY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46306</v>
      </c>
      <c r="F253" t="inlineStr">
        <is>
          <t>KALMAR LÄN</t>
        </is>
      </c>
      <c r="G253" t="inlineStr">
        <is>
          <t>HÖGSBY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44924</v>
      </c>
      <c r="E254" s="1" t="n">
        <v>46306</v>
      </c>
      <c r="F254" t="inlineStr">
        <is>
          <t>KALMAR LÄN</t>
        </is>
      </c>
      <c r="G254" t="inlineStr">
        <is>
          <t>HÖGSBY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46306</v>
      </c>
      <c r="F255" t="inlineStr">
        <is>
          <t>KALMAR LÄN</t>
        </is>
      </c>
      <c r="G255" t="inlineStr">
        <is>
          <t>HÖGSBY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38824-2024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45547</v>
      </c>
      <c r="E256" s="1" t="n">
        <v>46306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44861</v>
      </c>
      <c r="E257" s="1" t="n">
        <v>46306</v>
      </c>
      <c r="F257" t="inlineStr">
        <is>
          <t>KALMAR LÄN</t>
        </is>
      </c>
      <c r="G257" t="inlineStr">
        <is>
          <t>HÖGSBY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46306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46306</v>
      </c>
      <c r="F259" t="inlineStr">
        <is>
          <t>KALMAR LÄN</t>
        </is>
      </c>
      <c r="G259" t="inlineStr">
        <is>
          <t>HÖGSBY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59109-2025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46306</v>
      </c>
      <c r="F260" t="inlineStr">
        <is>
          <t>KALMAR LÄN</t>
        </is>
      </c>
      <c r="G260" t="inlineStr">
        <is>
          <t>HÖGSBY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46306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44586</v>
      </c>
      <c r="E262" s="1" t="n">
        <v>46306</v>
      </c>
      <c r="F262" t="inlineStr">
        <is>
          <t>KALMAR LÄN</t>
        </is>
      </c>
      <c r="G262" t="inlineStr">
        <is>
          <t>HÖGSBY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46306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46306</v>
      </c>
      <c r="F264" t="inlineStr">
        <is>
          <t>KALMAR LÄN</t>
        </is>
      </c>
      <c r="G264" t="inlineStr">
        <is>
          <t>HÖGSBY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46306</v>
      </c>
      <c r="F265" t="inlineStr">
        <is>
          <t>KALMAR LÄN</t>
        </is>
      </c>
      <c r="G265" t="inlineStr">
        <is>
          <t>HÖGSBY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46306</v>
      </c>
      <c r="F266" t="inlineStr">
        <is>
          <t>KALMAR LÄN</t>
        </is>
      </c>
      <c r="G266" t="inlineStr">
        <is>
          <t>HÖGSBY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46306</v>
      </c>
      <c r="F267" t="inlineStr">
        <is>
          <t>KALMAR LÄN</t>
        </is>
      </c>
      <c r="G267" t="inlineStr">
        <is>
          <t>HÖGSBY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46306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46306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46306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46306</v>
      </c>
      <c r="F271" t="inlineStr">
        <is>
          <t>KALMAR LÄN</t>
        </is>
      </c>
      <c r="G271" t="inlineStr">
        <is>
          <t>HÖGSBY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46306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46306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46306</v>
      </c>
      <c r="F274" t="inlineStr">
        <is>
          <t>KALMAR LÄN</t>
        </is>
      </c>
      <c r="G274" t="inlineStr">
        <is>
          <t>HÖGSBY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71635-2021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46306</v>
      </c>
      <c r="F275" t="inlineStr">
        <is>
          <t>KALMAR LÄN</t>
        </is>
      </c>
      <c r="G275" t="inlineStr">
        <is>
          <t>HÖGSBY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8613-2022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44613</v>
      </c>
      <c r="E276" s="1" t="n">
        <v>46306</v>
      </c>
      <c r="F276" t="inlineStr">
        <is>
          <t>KALMAR LÄN</t>
        </is>
      </c>
      <c r="G276" t="inlineStr">
        <is>
          <t>HÖGSBY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46306</v>
      </c>
      <c r="F277" t="inlineStr">
        <is>
          <t>KALMAR LÄN</t>
        </is>
      </c>
      <c r="G277" t="inlineStr">
        <is>
          <t>HÖGSBY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46306</v>
      </c>
      <c r="F278" t="inlineStr">
        <is>
          <t>KALMAR LÄN</t>
        </is>
      </c>
      <c r="G278" t="inlineStr">
        <is>
          <t>HÖGSBY</t>
        </is>
      </c>
      <c r="H278" t="inlineStr">
        <is>
          <t>Övriga Aktiebolag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46306</v>
      </c>
      <c r="F279" t="inlineStr">
        <is>
          <t>KALMAR LÄN</t>
        </is>
      </c>
      <c r="G279" t="inlineStr">
        <is>
          <t>HÖGSBY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62720-2025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46008</v>
      </c>
      <c r="E280" s="1" t="n">
        <v>46306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62722-2025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46008</v>
      </c>
      <c r="E281" s="1" t="n">
        <v>46306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46306</v>
      </c>
      <c r="F282" t="inlineStr">
        <is>
          <t>KALMAR LÄN</t>
        </is>
      </c>
      <c r="G282" t="inlineStr">
        <is>
          <t>HÖGSBY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45727</v>
      </c>
      <c r="E283" s="1" t="n">
        <v>46306</v>
      </c>
      <c r="F283" t="inlineStr">
        <is>
          <t>KALMAR LÄN</t>
        </is>
      </c>
      <c r="G283" t="inlineStr">
        <is>
          <t>HÖGSBY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46306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46306</v>
      </c>
      <c r="F285" t="inlineStr">
        <is>
          <t>KALMAR LÄN</t>
        </is>
      </c>
      <c r="G285" t="inlineStr">
        <is>
          <t>HÖGSBY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46306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46306</v>
      </c>
      <c r="F287" t="inlineStr">
        <is>
          <t>KALMAR LÄN</t>
        </is>
      </c>
      <c r="G287" t="inlineStr">
        <is>
          <t>HÖGSBY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46306</v>
      </c>
      <c r="F288" t="inlineStr">
        <is>
          <t>KALMAR LÄN</t>
        </is>
      </c>
      <c r="G288" t="inlineStr">
        <is>
          <t>HÖGSBY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46306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46306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46306</v>
      </c>
      <c r="F291" t="inlineStr">
        <is>
          <t>KALMAR LÄN</t>
        </is>
      </c>
      <c r="G291" t="inlineStr">
        <is>
          <t>HÖGSBY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46306</v>
      </c>
      <c r="F292" t="inlineStr">
        <is>
          <t>KALMAR LÄN</t>
        </is>
      </c>
      <c r="G292" t="inlineStr">
        <is>
          <t>HÖGSBY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44809</v>
      </c>
      <c r="E293" s="1" t="n">
        <v>46306</v>
      </c>
      <c r="F293" t="inlineStr">
        <is>
          <t>KALMAR LÄN</t>
        </is>
      </c>
      <c r="G293" t="inlineStr">
        <is>
          <t>HÖGSBY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45447</v>
      </c>
      <c r="E294" s="1" t="n">
        <v>46306</v>
      </c>
      <c r="F294" t="inlineStr">
        <is>
          <t>KALMAR LÄN</t>
        </is>
      </c>
      <c r="G294" t="inlineStr">
        <is>
          <t>HÖGSBY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45727</v>
      </c>
      <c r="E295" s="1" t="n">
        <v>46306</v>
      </c>
      <c r="F295" t="inlineStr">
        <is>
          <t>KALMAR LÄN</t>
        </is>
      </c>
      <c r="G295" t="inlineStr">
        <is>
          <t>HÖGSBY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46306</v>
      </c>
      <c r="F296" t="inlineStr">
        <is>
          <t>KALMAR LÄN</t>
        </is>
      </c>
      <c r="G296" t="inlineStr">
        <is>
          <t>HÖGSBY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46306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45015</v>
      </c>
      <c r="E298" s="1" t="n">
        <v>46306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44903</v>
      </c>
      <c r="E299" s="1" t="n">
        <v>46306</v>
      </c>
      <c r="F299" t="inlineStr">
        <is>
          <t>KALMAR LÄN</t>
        </is>
      </c>
      <c r="G299" t="inlineStr">
        <is>
          <t>HÖGSBY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46306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46306</v>
      </c>
      <c r="F301" t="inlineStr">
        <is>
          <t>KALMAR LÄN</t>
        </is>
      </c>
      <c r="G301" t="inlineStr">
        <is>
          <t>HÖGSBY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46306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46306</v>
      </c>
      <c r="F303" t="inlineStr">
        <is>
          <t>KALMAR LÄN</t>
        </is>
      </c>
      <c r="G303" t="inlineStr">
        <is>
          <t>HÖGSBY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45217</v>
      </c>
      <c r="E304" s="1" t="n">
        <v>46306</v>
      </c>
      <c r="F304" t="inlineStr">
        <is>
          <t>KALMAR LÄN</t>
        </is>
      </c>
      <c r="G304" t="inlineStr">
        <is>
          <t>HÖGSBY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46306</v>
      </c>
      <c r="F305" t="inlineStr">
        <is>
          <t>KALMAR LÄN</t>
        </is>
      </c>
      <c r="G305" t="inlineStr">
        <is>
          <t>HÖGSBY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46306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24292-2022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46306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46306</v>
      </c>
      <c r="F308" t="inlineStr">
        <is>
          <t>KALMAR LÄN</t>
        </is>
      </c>
      <c r="G308" t="inlineStr">
        <is>
          <t>HÖGSBY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46306</v>
      </c>
      <c r="F309" t="inlineStr">
        <is>
          <t>KALMAR LÄN</t>
        </is>
      </c>
      <c r="G309" t="inlineStr">
        <is>
          <t>HÖGSBY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44981</v>
      </c>
      <c r="E310" s="1" t="n">
        <v>46306</v>
      </c>
      <c r="F310" t="inlineStr">
        <is>
          <t>KALMAR LÄN</t>
        </is>
      </c>
      <c r="G310" t="inlineStr">
        <is>
          <t>HÖGSBY</t>
        </is>
      </c>
      <c r="H310" t="inlineStr">
        <is>
          <t>Övriga Aktiebolag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45183</v>
      </c>
      <c r="E311" s="1" t="n">
        <v>46306</v>
      </c>
      <c r="F311" t="inlineStr">
        <is>
          <t>KALMAR LÄN</t>
        </is>
      </c>
      <c r="G311" t="inlineStr">
        <is>
          <t>HÖGSBY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46306</v>
      </c>
      <c r="F312" t="inlineStr">
        <is>
          <t>KALMAR LÄN</t>
        </is>
      </c>
      <c r="G312" t="inlineStr">
        <is>
          <t>HÖGSBY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46306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7443-2026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46059</v>
      </c>
      <c r="E314" s="1" t="n">
        <v>46306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46306</v>
      </c>
      <c r="F315" t="inlineStr">
        <is>
          <t>KALMAR LÄN</t>
        </is>
      </c>
      <c r="G315" t="inlineStr">
        <is>
          <t>HÖGSBY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46306</v>
      </c>
      <c r="F316" t="inlineStr">
        <is>
          <t>KALMAR LÄN</t>
        </is>
      </c>
      <c r="G316" t="inlineStr">
        <is>
          <t>HÖGSBY</t>
        </is>
      </c>
      <c r="H316" t="inlineStr">
        <is>
          <t>Kyrkan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22562-2026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46155</v>
      </c>
      <c r="E317" s="1" t="n">
        <v>46306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46155</v>
      </c>
      <c r="E318" s="1" t="n">
        <v>46306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46157</v>
      </c>
      <c r="E319" s="1" t="n">
        <v>46306</v>
      </c>
      <c r="F319" t="inlineStr">
        <is>
          <t>KALMAR LÄN</t>
        </is>
      </c>
      <c r="G319" t="inlineStr">
        <is>
          <t>HÖGSBY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46306</v>
      </c>
      <c r="F320" t="inlineStr">
        <is>
          <t>KALMAR LÄN</t>
        </is>
      </c>
      <c r="G320" t="inlineStr">
        <is>
          <t>HÖGSBY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46306</v>
      </c>
      <c r="F321" t="inlineStr">
        <is>
          <t>KALMAR LÄN</t>
        </is>
      </c>
      <c r="G321" t="inlineStr">
        <is>
          <t>HÖGSBY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23937-2026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46167</v>
      </c>
      <c r="E322" s="1" t="n">
        <v>46306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46306</v>
      </c>
      <c r="F323" t="inlineStr">
        <is>
          <t>KALMAR LÄN</t>
        </is>
      </c>
      <c r="G323" t="inlineStr">
        <is>
          <t>HÖGSBY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24601-2024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45460</v>
      </c>
      <c r="E324" s="1" t="n">
        <v>46306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46306</v>
      </c>
      <c r="F325" t="inlineStr">
        <is>
          <t>KALMAR LÄN</t>
        </is>
      </c>
      <c r="G325" t="inlineStr">
        <is>
          <t>HÖGSBY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46306</v>
      </c>
      <c r="F326" t="inlineStr">
        <is>
          <t>KALMAR LÄN</t>
        </is>
      </c>
      <c r="G326" t="inlineStr">
        <is>
          <t>HÖGSBY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46184</v>
      </c>
      <c r="E327" s="1" t="n">
        <v>46306</v>
      </c>
      <c r="F327" t="inlineStr">
        <is>
          <t>KALMAR LÄN</t>
        </is>
      </c>
      <c r="G327" t="inlineStr">
        <is>
          <t>HÖGSBY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46306</v>
      </c>
      <c r="F328" t="inlineStr">
        <is>
          <t>KALMAR LÄN</t>
        </is>
      </c>
      <c r="G328" t="inlineStr">
        <is>
          <t>HÖGSBY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26757-2026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46306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46306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46306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46306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46306</v>
      </c>
      <c r="F333" t="inlineStr">
        <is>
          <t>KALMAR LÄN</t>
        </is>
      </c>
      <c r="G333" t="inlineStr">
        <is>
          <t>HÖGSBY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46306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54735-2025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46306</v>
      </c>
      <c r="F335" t="inlineStr">
        <is>
          <t>KALMAR LÄN</t>
        </is>
      </c>
      <c r="G335" t="inlineStr">
        <is>
          <t>HÖGSBY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46306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46306</v>
      </c>
      <c r="F337" t="inlineStr">
        <is>
          <t>KALMAR LÄN</t>
        </is>
      </c>
      <c r="G337" t="inlineStr">
        <is>
          <t>HÖGSBY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46306</v>
      </c>
      <c r="F338" t="inlineStr">
        <is>
          <t>KALMAR LÄN</t>
        </is>
      </c>
      <c r="G338" t="inlineStr">
        <is>
          <t>HÖGSBY</t>
        </is>
      </c>
      <c r="H338" t="inlineStr">
        <is>
          <t>Kommuner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28702-2026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46306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28692-2026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46306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28713-2026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46198</v>
      </c>
      <c r="E341" s="1" t="n">
        <v>46306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46306</v>
      </c>
      <c r="F342" t="inlineStr">
        <is>
          <t>KALMAR LÄN</t>
        </is>
      </c>
      <c r="G342" t="inlineStr">
        <is>
          <t>HÖGSBY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46306</v>
      </c>
      <c r="F343" t="inlineStr">
        <is>
          <t>KALMAR LÄN</t>
        </is>
      </c>
      <c r="G343" t="inlineStr">
        <is>
          <t>HÖGSBY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46306</v>
      </c>
      <c r="F344" t="inlineStr">
        <is>
          <t>KALMAR LÄN</t>
        </is>
      </c>
      <c r="G344" t="inlineStr">
        <is>
          <t>HÖGSBY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46306</v>
      </c>
      <c r="F345" t="inlineStr">
        <is>
          <t>KALMAR LÄN</t>
        </is>
      </c>
      <c r="G345" t="inlineStr">
        <is>
          <t>HÖGSBY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28691-2026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46198</v>
      </c>
      <c r="E346" s="1" t="n">
        <v>46306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28697-2026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46198</v>
      </c>
      <c r="E347" s="1" t="n">
        <v>46306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46306</v>
      </c>
      <c r="F348" t="inlineStr">
        <is>
          <t>KALMAR LÄN</t>
        </is>
      </c>
      <c r="G348" t="inlineStr">
        <is>
          <t>HÖGSBY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46306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46306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46306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46306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46306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46306</v>
      </c>
      <c r="F354" t="inlineStr">
        <is>
          <t>KALMAR LÄN</t>
        </is>
      </c>
      <c r="G354" t="inlineStr">
        <is>
          <t>HÖGSBY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46306</v>
      </c>
      <c r="F355" t="inlineStr">
        <is>
          <t>KALMAR LÄN</t>
        </is>
      </c>
      <c r="G355" t="inlineStr">
        <is>
          <t>HÖGSBY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46306</v>
      </c>
      <c r="F356" t="inlineStr">
        <is>
          <t>KALMAR LÄN</t>
        </is>
      </c>
      <c r="G356" t="inlineStr">
        <is>
          <t>HÖGSBY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46306</v>
      </c>
      <c r="F357" t="inlineStr">
        <is>
          <t>KALMAR LÄN</t>
        </is>
      </c>
      <c r="G357" t="inlineStr">
        <is>
          <t>HÖGSBY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46268</v>
      </c>
      <c r="E358" s="1" t="n">
        <v>46306</v>
      </c>
      <c r="F358" t="inlineStr">
        <is>
          <t>KALMAR LÄN</t>
        </is>
      </c>
      <c r="G358" t="inlineStr">
        <is>
          <t>HÖGSBY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46268</v>
      </c>
      <c r="E359" s="1" t="n">
        <v>46306</v>
      </c>
      <c r="F359" t="inlineStr">
        <is>
          <t>KALMAR LÄN</t>
        </is>
      </c>
      <c r="G359" t="inlineStr">
        <is>
          <t>HÖGSBY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46306</v>
      </c>
      <c r="F360" t="inlineStr">
        <is>
          <t>KALMAR LÄN</t>
        </is>
      </c>
      <c r="G360" t="inlineStr">
        <is>
          <t>HÖGSBY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46269</v>
      </c>
      <c r="E361" s="1" t="n">
        <v>46306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46306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24.4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46306</v>
      </c>
      <c r="F363" t="inlineStr">
        <is>
          <t>KALMAR LÄN</t>
        </is>
      </c>
      <c r="G363" t="inlineStr">
        <is>
          <t>HÖGSBY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46306</v>
      </c>
      <c r="F364" t="inlineStr">
        <is>
          <t>KALMAR LÄN</t>
        </is>
      </c>
      <c r="G364" t="inlineStr">
        <is>
          <t>HÖGSBY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37335-2026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46306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46306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46306</v>
      </c>
      <c r="F367" t="inlineStr">
        <is>
          <t>KALMAR LÄN</t>
        </is>
      </c>
      <c r="G367" t="inlineStr">
        <is>
          <t>HÖGSBY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46306</v>
      </c>
      <c r="F368" t="inlineStr">
        <is>
          <t>KALMAR LÄN</t>
        </is>
      </c>
      <c r="G368" t="inlineStr">
        <is>
          <t>HÖGSBY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46306</v>
      </c>
      <c r="F369" t="inlineStr">
        <is>
          <t>KALMAR LÄN</t>
        </is>
      </c>
      <c r="G369" t="inlineStr">
        <is>
          <t>HÖGSBY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39035-2026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46287</v>
      </c>
      <c r="E370" s="1" t="n">
        <v>46306</v>
      </c>
      <c r="F370" t="inlineStr">
        <is>
          <t>KALMAR LÄN</t>
        </is>
      </c>
      <c r="G370" t="inlineStr">
        <is>
          <t>HÖGSBY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33788-2026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46251</v>
      </c>
      <c r="E371" s="1" t="n">
        <v>46306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46176</v>
      </c>
      <c r="E372" s="1" t="n">
        <v>46306</v>
      </c>
      <c r="F372" t="inlineStr">
        <is>
          <t>KALMAR LÄN</t>
        </is>
      </c>
      <c r="G372" t="inlineStr">
        <is>
          <t>HÖGSBY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46297</v>
      </c>
      <c r="E373" s="1" t="n">
        <v>46306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41021-2026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46297</v>
      </c>
      <c r="E374" s="1" t="n">
        <v>46306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46300</v>
      </c>
      <c r="E375" s="1" t="n">
        <v>46306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46297</v>
      </c>
      <c r="E376" s="1" t="n">
        <v>46306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46293</v>
      </c>
      <c r="E377" s="1" t="n">
        <v>46306</v>
      </c>
      <c r="F377" t="inlineStr">
        <is>
          <t>KALMAR LÄN</t>
        </is>
      </c>
      <c r="G377" t="inlineStr">
        <is>
          <t>HÖGSBY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46306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46306</v>
      </c>
      <c r="F379" t="inlineStr">
        <is>
          <t>KALMAR LÄN</t>
        </is>
      </c>
      <c r="G379" t="inlineStr">
        <is>
          <t>HÖGSBY</t>
        </is>
      </c>
      <c r="H379" t="inlineStr">
        <is>
          <t>Kommuner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46306</v>
      </c>
      <c r="F380" t="inlineStr">
        <is>
          <t>KALMAR LÄN</t>
        </is>
      </c>
      <c r="G380" t="inlineStr">
        <is>
          <t>HÖGSBY</t>
        </is>
      </c>
      <c r="H380" t="inlineStr">
        <is>
          <t>Kommuner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46306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46306</v>
      </c>
      <c r="F382" t="inlineStr">
        <is>
          <t>KALMAR LÄN</t>
        </is>
      </c>
      <c r="G382" t="inlineStr">
        <is>
          <t>HÖGSBY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46306</v>
      </c>
      <c r="F383" t="inlineStr">
        <is>
          <t>KALMAR LÄN</t>
        </is>
      </c>
      <c r="G383" t="inlineStr">
        <is>
          <t>HÖGSBY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46306</v>
      </c>
      <c r="F384" t="inlineStr">
        <is>
          <t>KALMAR LÄN</t>
        </is>
      </c>
      <c r="G384" t="inlineStr">
        <is>
          <t>HÖGSBY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46306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46306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46306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46306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46306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46306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46306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46306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46306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46306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46306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46306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46306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46306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46306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46306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46306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46306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46306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1846-2026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46306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46306</v>
      </c>
      <c r="F405" t="inlineStr">
        <is>
          <t>KALMAR LÄN</t>
        </is>
      </c>
      <c r="G405" t="inlineStr">
        <is>
          <t>HÖGSBY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46306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1847-2026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46306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46306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2165-2026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46251</v>
      </c>
      <c r="E409" s="1" t="n">
        <v>46306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2589-2026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46297</v>
      </c>
      <c r="E410" s="1" t="n">
        <v>46306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2026-10-11T02:05:45Z</dcterms:created>
  <dcterms:modified xmlns:dcterms="http://purl.org/dc/terms/" xmlns:xsi="http://www.w3.org/2001/XMLSchema-instance" xsi:type="dcterms:W3CDTF">2026-10-11T02:05:45Z</dcterms:modified>
</cp:coreProperties>
</file>