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46262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46262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46262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46262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46262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46262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46262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46262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46262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46262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46262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46262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46262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46262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46262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46262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46262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46262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46262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46262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46262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46262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46262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46262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46262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46262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62371-2023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46262</v>
      </c>
      <c r="F29" t="inlineStr">
        <is>
          <t>KALMAR LÄN</t>
        </is>
      </c>
      <c r="G29" t="inlineStr">
        <is>
          <t>HÖGSBY</t>
        </is>
      </c>
      <c r="I29" t="n">
        <v>4.5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Ullticka
Spillkråka</t>
        </is>
      </c>
      <c r="W29">
        <f>HYPERLINK("https://klasma.github.io/Logging_0821/artfynd/A 62371-2023 artfynd.xlsx", "A 62371-2023")</f>
        <v/>
      </c>
      <c r="X29">
        <f>HYPERLINK("https://klasma.github.io/Logging_0821/kartor/A 62371-2023 karta.png", "A 62371-2023")</f>
        <v/>
      </c>
      <c r="Y29">
        <f>HYPERLINK("https://klasma.github.io/Logging_0821/kartor_geotiff/A 62371-2023 georefererad karta.tif", "A 62371-2023")</f>
        <v/>
      </c>
      <c r="Z29">
        <f>HYPERLINK("https://klasma.github.io/Logging_0821/knärot/A 62371-2023 karta knärot.png", "A 62371-2023")</f>
        <v/>
      </c>
      <c r="AA29">
        <f>HYPERLINK("https://klasma.github.io/Logging_0821/klagomål/A 62371-2023 FSC-klagomål.docx", "A 62371-2023")</f>
        <v/>
      </c>
      <c r="AB29">
        <f>HYPERLINK("https://klasma.github.io/Logging_0821/klagomålsmail/A 62371-2023 FSC-klagomål mail.docx", "A 62371-2023")</f>
        <v/>
      </c>
      <c r="AC29">
        <f>HYPERLINK("https://klasma.github.io/Logging_0821/tillsyn/A 62371-2023 tillsynsbegäran.docx", "A 62371-2023")</f>
        <v/>
      </c>
      <c r="AD29">
        <f>HYPERLINK("https://klasma.github.io/Logging_0821/tillsynsmail/A 62371-2023 tillsynsbegäran mail.docx", "A 62371-2023")</f>
        <v/>
      </c>
      <c r="AE29">
        <f>HYPERLINK("https://klasma.github.io/Logging_0821/fåglar/A 62371-2023 prioriterade fågelarter.docx", "A 62371-2023")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46262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46262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46262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46262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46262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46262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46262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46262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46262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46262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46262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46262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46262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46262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46262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46262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46262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46262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35072-2023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46262</v>
      </c>
      <c r="F48" t="inlineStr">
        <is>
          <t>KALMAR LÄN</t>
        </is>
      </c>
      <c r="G48" t="inlineStr">
        <is>
          <t>HÖGSBY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35072-2023 artfynd.xlsx", "A 35072-2023")</f>
        <v/>
      </c>
      <c r="X48">
        <f>HYPERLINK("https://klasma.github.io/Logging_0821/kartor/A 35072-2023 karta.png", "A 35072-2023")</f>
        <v/>
      </c>
      <c r="Y48">
        <f>HYPERLINK("https://klasma.github.io/Logging_0821/kartor_geotiff/A 35072-2023 georefererad karta.tif", "A 35072-2023")</f>
        <v/>
      </c>
      <c r="AA48">
        <f>HYPERLINK("https://klasma.github.io/Logging_0821/klagomål/A 35072-2023 FSC-klagomål.docx", "A 35072-2023")</f>
        <v/>
      </c>
      <c r="AB48">
        <f>HYPERLINK("https://klasma.github.io/Logging_0821/klagomålsmail/A 35072-2023 FSC-klagomål mail.docx", "A 35072-2023")</f>
        <v/>
      </c>
      <c r="AC48">
        <f>HYPERLINK("https://klasma.github.io/Logging_0821/tillsyn/A 35072-2023 tillsynsbegäran.docx", "A 35072-2023")</f>
        <v/>
      </c>
      <c r="AD48">
        <f>HYPERLINK("https://klasma.github.io/Logging_0821/tillsynsmail/A 35072-2023 tillsynsbegäran mail.docx", "A 35072-2023")</f>
        <v/>
      </c>
    </row>
    <row r="49" ht="15" customHeight="1">
      <c r="A49" t="inlineStr">
        <is>
          <t>A 23859-2026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46262</v>
      </c>
      <c r="F49" t="inlineStr">
        <is>
          <t>KALMAR LÄN</t>
        </is>
      </c>
      <c r="G49" t="inlineStr">
        <is>
          <t>HÖGSBY</t>
        </is>
      </c>
      <c r="I49" t="n">
        <v>3.8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Rödlånke</t>
        </is>
      </c>
      <c r="W49">
        <f>HYPERLINK("https://klasma.github.io/Logging_0821/artfynd/A 23859-2026 artfynd.xlsx", "A 23859-2026")</f>
        <v/>
      </c>
      <c r="X49">
        <f>HYPERLINK("https://klasma.github.io/Logging_0821/kartor/A 23859-2026 karta.png", "A 23859-2026")</f>
        <v/>
      </c>
      <c r="Y49">
        <f>HYPERLINK("https://klasma.github.io/Logging_0821/kartor_geotiff/A 23859-2026 georefererad karta.tif", "A 23859-2026")</f>
        <v/>
      </c>
      <c r="AA49">
        <f>HYPERLINK("https://klasma.github.io/Logging_0821/klagomål/A 23859-2026 FSC-klagomål.docx", "A 23859-2026")</f>
        <v/>
      </c>
      <c r="AB49">
        <f>HYPERLINK("https://klasma.github.io/Logging_0821/klagomålsmail/A 23859-2026 FSC-klagomål mail.docx", "A 23859-2026")</f>
        <v/>
      </c>
      <c r="AC49">
        <f>HYPERLINK("https://klasma.github.io/Logging_0821/tillsyn/A 23859-2026 tillsynsbegäran.docx", "A 23859-2026")</f>
        <v/>
      </c>
      <c r="AD49">
        <f>HYPERLINK("https://klasma.github.io/Logging_0821/tillsynsmail/A 23859-2026 tillsynsbegäran mail.docx", "A 23859-2026")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46262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26145-2026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46262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Gullviva</t>
        </is>
      </c>
      <c r="W51">
        <f>HYPERLINK("https://klasma.github.io/Logging_0821/artfynd/A 26145-2026 artfynd.xlsx", "A 26145-2026")</f>
        <v/>
      </c>
      <c r="X51">
        <f>HYPERLINK("https://klasma.github.io/Logging_0821/kartor/A 26145-2026 karta.png", "A 26145-2026")</f>
        <v/>
      </c>
      <c r="Y51">
        <f>HYPERLINK("https://klasma.github.io/Logging_0821/kartor_geotiff/A 26145-2026 georefererad karta.tif", "A 26145-2026")</f>
        <v/>
      </c>
      <c r="AA51">
        <f>HYPERLINK("https://klasma.github.io/Logging_0821/klagomål/A 26145-2026 FSC-klagomål.docx", "A 26145-2026")</f>
        <v/>
      </c>
      <c r="AB51">
        <f>HYPERLINK("https://klasma.github.io/Logging_0821/klagomålsmail/A 26145-2026 FSC-klagomål mail.docx", "A 26145-2026")</f>
        <v/>
      </c>
      <c r="AC51">
        <f>HYPERLINK("https://klasma.github.io/Logging_0821/tillsyn/A 26145-2026 tillsynsbegäran.docx", "A 26145-2026")</f>
        <v/>
      </c>
      <c r="AD51">
        <f>HYPERLINK("https://klasma.github.io/Logging_0821/tillsynsmail/A 26145-2026 tillsynsbegäran mail.docx", "A 26145-2026")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46262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27366-2026 artfynd.xlsx", "A 27366-2026")</f>
        <v/>
      </c>
      <c r="X52">
        <f>HYPERLINK("https://klasma.github.io/Logging_0821/kartor/A 27366-2026 karta.png", "A 27366-2026")</f>
        <v/>
      </c>
      <c r="Y52">
        <f>HYPERLINK("https://klasma.github.io/Logging_0821/kartor_geotiff/A 27366-2026 georefererad karta.tif", "A 27366-2026")</f>
        <v/>
      </c>
      <c r="AA52">
        <f>HYPERLINK("https://klasma.github.io/Logging_0821/klagomål/A 27366-2026 FSC-klagomål.docx", "A 27366-2026")</f>
        <v/>
      </c>
      <c r="AB52">
        <f>HYPERLINK("https://klasma.github.io/Logging_0821/klagomålsmail/A 27366-2026 FSC-klagomål mail.docx", "A 27366-2026")</f>
        <v/>
      </c>
      <c r="AC52">
        <f>HYPERLINK("https://klasma.github.io/Logging_0821/tillsyn/A 27366-2026 tillsynsbegäran.docx", "A 27366-2026")</f>
        <v/>
      </c>
      <c r="AD52">
        <f>HYPERLINK("https://klasma.github.io/Logging_0821/tillsynsmail/A 27366-2026 tillsynsbegäran mail.docx", "A 27366-2026")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46262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46262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59407-2022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46262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Blåsippa</t>
        </is>
      </c>
      <c r="W55">
        <f>HYPERLINK("https://klasma.github.io/Logging_0821/artfynd/A 59407-2022 artfynd.xlsx", "A 59407-2022")</f>
        <v/>
      </c>
      <c r="X55">
        <f>HYPERLINK("https://klasma.github.io/Logging_0821/kartor/A 59407-2022 karta.png", "A 59407-2022")</f>
        <v/>
      </c>
      <c r="Y55">
        <f>HYPERLINK("https://klasma.github.io/Logging_0821/kartor_geotiff/A 59407-2022 georefererad karta.tif", "A 59407-2022")</f>
        <v/>
      </c>
      <c r="AA55">
        <f>HYPERLINK("https://klasma.github.io/Logging_0821/klagomål/A 59407-2022 FSC-klagomål.docx", "A 59407-2022")</f>
        <v/>
      </c>
      <c r="AB55">
        <f>HYPERLINK("https://klasma.github.io/Logging_0821/klagomålsmail/A 59407-2022 FSC-klagomål mail.docx", "A 59407-2022")</f>
        <v/>
      </c>
      <c r="AC55">
        <f>HYPERLINK("https://klasma.github.io/Logging_0821/tillsyn/A 59407-2022 tillsynsbegäran.docx", "A 59407-2022")</f>
        <v/>
      </c>
      <c r="AD55">
        <f>HYPERLINK("https://klasma.github.io/Logging_0821/tillsynsmail/A 59407-2022 tillsynsbegäran mail.docx", "A 59407-2022")</f>
        <v/>
      </c>
    </row>
    <row r="56" ht="15" customHeight="1">
      <c r="A56" t="inlineStr">
        <is>
          <t>A 33784-2026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46251</v>
      </c>
      <c r="E56" s="1" t="n">
        <v>46262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33784-2026 artfynd.xlsx", "A 33784-2026")</f>
        <v/>
      </c>
      <c r="X56">
        <f>HYPERLINK("https://klasma.github.io/Logging_0821/kartor/A 33784-2026 karta.png", "A 33784-2026")</f>
        <v/>
      </c>
      <c r="Y56">
        <f>HYPERLINK("https://klasma.github.io/Logging_0821/kartor_geotiff/A 33784-2026 georefererad karta.tif", "A 33784-2026")</f>
        <v/>
      </c>
      <c r="AA56">
        <f>HYPERLINK("https://klasma.github.io/Logging_0821/klagomål/A 33784-2026 FSC-klagomål.docx", "A 33784-2026")</f>
        <v/>
      </c>
      <c r="AB56">
        <f>HYPERLINK("https://klasma.github.io/Logging_0821/klagomålsmail/A 33784-2026 FSC-klagomål mail.docx", "A 33784-2026")</f>
        <v/>
      </c>
      <c r="AC56">
        <f>HYPERLINK("https://klasma.github.io/Logging_0821/tillsyn/A 33784-2026 tillsynsbegäran.docx", "A 33784-2026")</f>
        <v/>
      </c>
      <c r="AD56">
        <f>HYPERLINK("https://klasma.github.io/Logging_0821/tillsynsmail/A 33784-2026 tillsynsbegäran mail.docx", "A 33784-2026")</f>
        <v/>
      </c>
      <c r="AE56">
        <f>HYPERLINK("https://klasma.github.io/Logging_0821/fåglar/A 33784-2026 prioriterade fågelarter.docx", "A 33784-2026")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46262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46262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46262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46262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46262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46262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46262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46262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46262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46262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46262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46262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46262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46262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46262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46262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46262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46262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46262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46262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46262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46262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46262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46262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46262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46262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46262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46262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46262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46262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46262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46262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46262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46262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46262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46262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46262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46262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46262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46262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46262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46262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44886</v>
      </c>
      <c r="E101" s="1" t="n">
        <v>46262</v>
      </c>
      <c r="F101" t="inlineStr">
        <is>
          <t>KALMAR LÄN</t>
        </is>
      </c>
      <c r="G101" t="inlineStr">
        <is>
          <t>HÖGSBY</t>
        </is>
      </c>
      <c r="H101" t="inlineStr">
        <is>
          <t>Kyrkan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46262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46262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46262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46262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46262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46262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46262</v>
      </c>
      <c r="F108" t="inlineStr">
        <is>
          <t>KALMAR LÄN</t>
        </is>
      </c>
      <c r="G108" t="inlineStr">
        <is>
          <t>HÖGSBY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38797-2024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45547</v>
      </c>
      <c r="E109" s="1" t="n">
        <v>46262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46262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46262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46262</v>
      </c>
      <c r="F112" t="inlineStr">
        <is>
          <t>KALMAR LÄN</t>
        </is>
      </c>
      <c r="G112" t="inlineStr">
        <is>
          <t>HÖGSBY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46262</v>
      </c>
      <c r="F113" t="inlineStr">
        <is>
          <t>KALMAR LÄN</t>
        </is>
      </c>
      <c r="G113" t="inlineStr">
        <is>
          <t>HÖGSBY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46262</v>
      </c>
      <c r="F114" t="inlineStr">
        <is>
          <t>KALMAR LÄN</t>
        </is>
      </c>
      <c r="G114" t="inlineStr">
        <is>
          <t>HÖGSBY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46262</v>
      </c>
      <c r="F115" t="inlineStr">
        <is>
          <t>KALMAR LÄN</t>
        </is>
      </c>
      <c r="G115" t="inlineStr">
        <is>
          <t>HÖGSBY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46262</v>
      </c>
      <c r="F116" t="inlineStr">
        <is>
          <t>KALMAR LÄN</t>
        </is>
      </c>
      <c r="G116" t="inlineStr">
        <is>
          <t>HÖGSBY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46262</v>
      </c>
      <c r="F117" t="inlineStr">
        <is>
          <t>KALMAR LÄN</t>
        </is>
      </c>
      <c r="G117" t="inlineStr">
        <is>
          <t>HÖGSBY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46262</v>
      </c>
      <c r="F118" t="inlineStr">
        <is>
          <t>KALMAR LÄN</t>
        </is>
      </c>
      <c r="G118" t="inlineStr">
        <is>
          <t>HÖGSBY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46262</v>
      </c>
      <c r="F119" t="inlineStr">
        <is>
          <t>KALMAR LÄN</t>
        </is>
      </c>
      <c r="G119" t="inlineStr">
        <is>
          <t>HÖGSBY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46262</v>
      </c>
      <c r="F120" t="inlineStr">
        <is>
          <t>KALMAR LÄN</t>
        </is>
      </c>
      <c r="G120" t="inlineStr">
        <is>
          <t>HÖGSBY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46262</v>
      </c>
      <c r="F121" t="inlineStr">
        <is>
          <t>KALMAR LÄN</t>
        </is>
      </c>
      <c r="G121" t="inlineStr">
        <is>
          <t>HÖGSBY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HYPERLINK("https://klasma.github.io/Logging_0821/knärot/A 40137-2024 karta knärot.png", "A 40137-2024")</f>
        <v/>
      </c>
      <c r="AA121">
        <f>HYPERLINK("https://klasma.github.io/Logging_0821/klagomål/A 40137-2024 FSC-klagomål.docx", "A 40137-2024")</f>
        <v/>
      </c>
      <c r="AB121">
        <f>HYPERLINK("https://klasma.github.io/Logging_0821/klagomålsmail/A 40137-2024 FSC-klagomål mail.docx", "A 40137-2024")</f>
        <v/>
      </c>
      <c r="AC121">
        <f>HYPERLINK("https://klasma.github.io/Logging_0821/tillsyn/A 40137-2024 tillsynsbegäran.docx", "A 40137-2024")</f>
        <v/>
      </c>
      <c r="AD121">
        <f>HYPERLINK("https://klasma.github.io/Logging_0821/tillsynsmail/A 40137-2024 tillsynsbegäran mail.docx", "A 40137-2024")</f>
        <v/>
      </c>
    </row>
    <row r="122" ht="15" customHeight="1">
      <c r="A122" t="inlineStr">
        <is>
          <t>A 15034-2023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46262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46262</v>
      </c>
      <c r="F123" t="inlineStr">
        <is>
          <t>KALMAR LÄN</t>
        </is>
      </c>
      <c r="G123" t="inlineStr">
        <is>
          <t>HÖGSBY</t>
        </is>
      </c>
      <c r="H123" t="inlineStr">
        <is>
          <t>Övriga Aktiebolag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46262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59281-2022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44904</v>
      </c>
      <c r="E125" s="1" t="n">
        <v>46262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46262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46262</v>
      </c>
      <c r="F127" t="inlineStr">
        <is>
          <t>KALMAR LÄN</t>
        </is>
      </c>
      <c r="G127" t="inlineStr">
        <is>
          <t>HÖGSBY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46262</v>
      </c>
      <c r="F128" t="inlineStr">
        <is>
          <t>KALMAR LÄN</t>
        </is>
      </c>
      <c r="G128" t="inlineStr">
        <is>
          <t>HÖGSBY</t>
        </is>
      </c>
      <c r="H128" t="inlineStr">
        <is>
          <t>Kyrkan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45544</v>
      </c>
      <c r="E129" s="1" t="n">
        <v>46262</v>
      </c>
      <c r="F129" t="inlineStr">
        <is>
          <t>KALMAR LÄN</t>
        </is>
      </c>
      <c r="G129" t="inlineStr">
        <is>
          <t>HÖGSBY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46262</v>
      </c>
      <c r="F130" t="inlineStr">
        <is>
          <t>KALMAR LÄN</t>
        </is>
      </c>
      <c r="G130" t="inlineStr">
        <is>
          <t>HÖGSBY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46262</v>
      </c>
      <c r="F131" t="inlineStr">
        <is>
          <t>KALMAR LÄN</t>
        </is>
      </c>
      <c r="G131" t="inlineStr">
        <is>
          <t>HÖGSBY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52533-2025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46262</v>
      </c>
      <c r="F132" t="inlineStr">
        <is>
          <t>KALMAR LÄN</t>
        </is>
      </c>
      <c r="G132" t="inlineStr">
        <is>
          <t>HÖGSBY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46262</v>
      </c>
      <c r="F133" t="inlineStr">
        <is>
          <t>KALMAR LÄN</t>
        </is>
      </c>
      <c r="G133" t="inlineStr">
        <is>
          <t>HÖGSBY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46262</v>
      </c>
      <c r="F134" t="inlineStr">
        <is>
          <t>KALMAR LÄN</t>
        </is>
      </c>
      <c r="G134" t="inlineStr">
        <is>
          <t>HÖGSBY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46262</v>
      </c>
      <c r="F135" t="inlineStr">
        <is>
          <t>KALMAR LÄN</t>
        </is>
      </c>
      <c r="G135" t="inlineStr">
        <is>
          <t>HÖGSBY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46262</v>
      </c>
      <c r="F136" t="inlineStr">
        <is>
          <t>KALMAR LÄN</t>
        </is>
      </c>
      <c r="G136" t="inlineStr">
        <is>
          <t>HÖGSBY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44950</v>
      </c>
      <c r="E137" s="1" t="n">
        <v>46262</v>
      </c>
      <c r="F137" t="inlineStr">
        <is>
          <t>KALMAR LÄN</t>
        </is>
      </c>
      <c r="G137" t="inlineStr">
        <is>
          <t>HÖGSBY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46262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45979</v>
      </c>
      <c r="E139" s="1" t="n">
        <v>46262</v>
      </c>
      <c r="F139" t="inlineStr">
        <is>
          <t>KALMAR LÄN</t>
        </is>
      </c>
      <c r="G139" t="inlineStr">
        <is>
          <t>HÖGSBY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58017-2025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45982</v>
      </c>
      <c r="E140" s="1" t="n">
        <v>46262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57000-2024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45626</v>
      </c>
      <c r="E141" s="1" t="n">
        <v>46262</v>
      </c>
      <c r="F141" t="inlineStr">
        <is>
          <t>KALMAR LÄN</t>
        </is>
      </c>
      <c r="G141" t="inlineStr">
        <is>
          <t>HÖGSBY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46262</v>
      </c>
      <c r="F142" t="inlineStr">
        <is>
          <t>KALMAR LÄN</t>
        </is>
      </c>
      <c r="G142" t="inlineStr">
        <is>
          <t>HÖGSBY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59109-2025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45988</v>
      </c>
      <c r="E143" s="1" t="n">
        <v>46262</v>
      </c>
      <c r="F143" t="inlineStr">
        <is>
          <t>KALMAR LÄN</t>
        </is>
      </c>
      <c r="G143" t="inlineStr">
        <is>
          <t>HÖGSBY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46262</v>
      </c>
      <c r="F144" t="inlineStr">
        <is>
          <t>KALMAR LÄN</t>
        </is>
      </c>
      <c r="G144" t="inlineStr">
        <is>
          <t>HÖGSBY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46262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46262</v>
      </c>
      <c r="F146" t="inlineStr">
        <is>
          <t>KALMAR LÄN</t>
        </is>
      </c>
      <c r="G146" t="inlineStr">
        <is>
          <t>HÖGSBY</t>
        </is>
      </c>
      <c r="H146" t="inlineStr">
        <is>
          <t>Kommuner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46262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46262</v>
      </c>
      <c r="F148" t="inlineStr">
        <is>
          <t>KALMAR LÄN</t>
        </is>
      </c>
      <c r="G148" t="inlineStr">
        <is>
          <t>HÖGSBY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46262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46262</v>
      </c>
      <c r="F150" t="inlineStr">
        <is>
          <t>KALMAR LÄN</t>
        </is>
      </c>
      <c r="G150" t="inlineStr">
        <is>
          <t>HÖGSBY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44623</v>
      </c>
      <c r="E151" s="1" t="n">
        <v>46262</v>
      </c>
      <c r="F151" t="inlineStr">
        <is>
          <t>KALMAR LÄN</t>
        </is>
      </c>
      <c r="G151" t="inlineStr">
        <is>
          <t>HÖGSBY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46262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45546</v>
      </c>
      <c r="E153" s="1" t="n">
        <v>46262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46262</v>
      </c>
      <c r="F154" t="inlineStr">
        <is>
          <t>KALMAR LÄN</t>
        </is>
      </c>
      <c r="G154" t="inlineStr">
        <is>
          <t>HÖGSBY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46262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46262</v>
      </c>
      <c r="F156" t="inlineStr">
        <is>
          <t>KALMAR LÄN</t>
        </is>
      </c>
      <c r="G156" t="inlineStr">
        <is>
          <t>HÖGSBY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46262</v>
      </c>
      <c r="F157" t="inlineStr">
        <is>
          <t>KALMAR LÄN</t>
        </is>
      </c>
      <c r="G157" t="inlineStr">
        <is>
          <t>HÖGSBY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46262</v>
      </c>
      <c r="F158" t="inlineStr">
        <is>
          <t>KALMAR LÄN</t>
        </is>
      </c>
      <c r="G158" t="inlineStr">
        <is>
          <t>HÖGSBY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46262</v>
      </c>
      <c r="F159" t="inlineStr">
        <is>
          <t>KALMAR LÄN</t>
        </is>
      </c>
      <c r="G159" t="inlineStr">
        <is>
          <t>HÖGSBY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46262</v>
      </c>
      <c r="F160" t="inlineStr">
        <is>
          <t>KALMAR LÄN</t>
        </is>
      </c>
      <c r="G160" t="inlineStr">
        <is>
          <t>HÖGSBY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46262</v>
      </c>
      <c r="F161" t="inlineStr">
        <is>
          <t>KALMAR LÄN</t>
        </is>
      </c>
      <c r="G161" t="inlineStr">
        <is>
          <t>HÖGSBY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46262</v>
      </c>
      <c r="F162" t="inlineStr">
        <is>
          <t>KALMAR LÄN</t>
        </is>
      </c>
      <c r="G162" t="inlineStr">
        <is>
          <t>HÖGSBY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46262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46262</v>
      </c>
      <c r="F164" t="inlineStr">
        <is>
          <t>KALMAR LÄN</t>
        </is>
      </c>
      <c r="G164" t="inlineStr">
        <is>
          <t>HÖGSBY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38068-2025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45882</v>
      </c>
      <c r="E165" s="1" t="n">
        <v>46262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46262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46262</v>
      </c>
      <c r="F167" t="inlineStr">
        <is>
          <t>KALMAR LÄN</t>
        </is>
      </c>
      <c r="G167" t="inlineStr">
        <is>
          <t>HÖGSBY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46262</v>
      </c>
      <c r="F168" t="inlineStr">
        <is>
          <t>KALMAR LÄN</t>
        </is>
      </c>
      <c r="G168" t="inlineStr">
        <is>
          <t>HÖGSBY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46262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46262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46262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46262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46262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46262</v>
      </c>
      <c r="F174" t="inlineStr">
        <is>
          <t>KALMAR LÄN</t>
        </is>
      </c>
      <c r="G174" t="inlineStr">
        <is>
          <t>HÖGSBY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46262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46262</v>
      </c>
      <c r="F176" t="inlineStr">
        <is>
          <t>KALMAR LÄN</t>
        </is>
      </c>
      <c r="G176" t="inlineStr">
        <is>
          <t>HÖGSBY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46262</v>
      </c>
      <c r="F177" t="inlineStr">
        <is>
          <t>KALMAR LÄN</t>
        </is>
      </c>
      <c r="G177" t="inlineStr">
        <is>
          <t>HÖGSBY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46262</v>
      </c>
      <c r="F178" t="inlineStr">
        <is>
          <t>KALMAR LÄN</t>
        </is>
      </c>
      <c r="G178" t="inlineStr">
        <is>
          <t>HÖGSBY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46262</v>
      </c>
      <c r="F179" t="inlineStr">
        <is>
          <t>KALMAR LÄN</t>
        </is>
      </c>
      <c r="G179" t="inlineStr">
        <is>
          <t>HÖGSBY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62720-2025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46008</v>
      </c>
      <c r="E180" s="1" t="n">
        <v>46262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62722-2025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46008</v>
      </c>
      <c r="E181" s="1" t="n">
        <v>46262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46262</v>
      </c>
      <c r="F182" t="inlineStr">
        <is>
          <t>KALMAR LÄN</t>
        </is>
      </c>
      <c r="G182" t="inlineStr">
        <is>
          <t>HÖGSBY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46262</v>
      </c>
      <c r="F183" t="inlineStr">
        <is>
          <t>KALMAR LÄN</t>
        </is>
      </c>
      <c r="G183" t="inlineStr">
        <is>
          <t>HÖGSBY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32049-2023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45119</v>
      </c>
      <c r="E184" s="1" t="n">
        <v>46262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45348</v>
      </c>
      <c r="E185" s="1" t="n">
        <v>46262</v>
      </c>
      <c r="F185" t="inlineStr">
        <is>
          <t>KALMAR LÄN</t>
        </is>
      </c>
      <c r="G185" t="inlineStr">
        <is>
          <t>HÖGSBY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38824-2024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45547</v>
      </c>
      <c r="E186" s="1" t="n">
        <v>46262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46262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28648-2023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45103</v>
      </c>
      <c r="E188" s="1" t="n">
        <v>46262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46262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46262</v>
      </c>
      <c r="F190" t="inlineStr">
        <is>
          <t>KALMAR LÄN</t>
        </is>
      </c>
      <c r="G190" t="inlineStr">
        <is>
          <t>HÖGSBY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73709-2021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46262</v>
      </c>
      <c r="F191" t="inlineStr">
        <is>
          <t>KALMAR LÄN</t>
        </is>
      </c>
      <c r="G191" t="inlineStr">
        <is>
          <t>HÖGSBY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46262</v>
      </c>
      <c r="F192" t="inlineStr">
        <is>
          <t>KALMAR LÄN</t>
        </is>
      </c>
      <c r="G192" t="inlineStr">
        <is>
          <t>HÖGSBY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46262</v>
      </c>
      <c r="F193" t="inlineStr">
        <is>
          <t>KALMAR LÄN</t>
        </is>
      </c>
      <c r="G193" t="inlineStr">
        <is>
          <t>HÖGSBY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46262</v>
      </c>
      <c r="F194" t="inlineStr">
        <is>
          <t>KALMAR LÄN</t>
        </is>
      </c>
      <c r="G194" t="inlineStr">
        <is>
          <t>HÖGSBY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46262</v>
      </c>
      <c r="F195" t="inlineStr">
        <is>
          <t>KALMAR LÄN</t>
        </is>
      </c>
      <c r="G195" t="inlineStr">
        <is>
          <t>HÖGSBY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46262</v>
      </c>
      <c r="F196" t="inlineStr">
        <is>
          <t>KALMAR LÄN</t>
        </is>
      </c>
      <c r="G196" t="inlineStr">
        <is>
          <t>HÖGSBY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46262</v>
      </c>
      <c r="F197" t="inlineStr">
        <is>
          <t>KALMAR LÄN</t>
        </is>
      </c>
      <c r="G197" t="inlineStr">
        <is>
          <t>HÖGSBY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46262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45546</v>
      </c>
      <c r="E199" s="1" t="n">
        <v>46262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7166-2026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46262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7443-2026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46059</v>
      </c>
      <c r="E201" s="1" t="n">
        <v>46262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44586</v>
      </c>
      <c r="E202" s="1" t="n">
        <v>46262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46262</v>
      </c>
      <c r="F203" t="inlineStr">
        <is>
          <t>KALMAR LÄN</t>
        </is>
      </c>
      <c r="G203" t="inlineStr">
        <is>
          <t>HÖGSBY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45173</v>
      </c>
      <c r="E204" s="1" t="n">
        <v>46262</v>
      </c>
      <c r="F204" t="inlineStr">
        <is>
          <t>KALMAR LÄN</t>
        </is>
      </c>
      <c r="G204" t="inlineStr">
        <is>
          <t>HÖGSBY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71635-2021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46262</v>
      </c>
      <c r="F205" t="inlineStr">
        <is>
          <t>KALMAR LÄN</t>
        </is>
      </c>
      <c r="G205" t="inlineStr">
        <is>
          <t>HÖGSBY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45228</v>
      </c>
      <c r="E206" s="1" t="n">
        <v>46262</v>
      </c>
      <c r="F206" t="inlineStr">
        <is>
          <t>KALMAR LÄN</t>
        </is>
      </c>
      <c r="G206" t="inlineStr">
        <is>
          <t>HÖGSBY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46262</v>
      </c>
      <c r="F207" t="inlineStr">
        <is>
          <t>KALMAR LÄN</t>
        </is>
      </c>
      <c r="G207" t="inlineStr">
        <is>
          <t>HÖGSBY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46262</v>
      </c>
      <c r="F208" t="inlineStr">
        <is>
          <t>KALMAR LÄN</t>
        </is>
      </c>
      <c r="G208" t="inlineStr">
        <is>
          <t>HÖGSBY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46262</v>
      </c>
      <c r="F209" t="inlineStr">
        <is>
          <t>KALMAR LÄN</t>
        </is>
      </c>
      <c r="G209" t="inlineStr">
        <is>
          <t>HÖGSBY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46262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45702</v>
      </c>
      <c r="E211" s="1" t="n">
        <v>46262</v>
      </c>
      <c r="F211" t="inlineStr">
        <is>
          <t>KALMAR LÄN</t>
        </is>
      </c>
      <c r="G211" t="inlineStr">
        <is>
          <t>HÖGSBY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46262</v>
      </c>
      <c r="F212" t="inlineStr">
        <is>
          <t>KALMAR LÄN</t>
        </is>
      </c>
      <c r="G212" t="inlineStr">
        <is>
          <t>HÖGSBY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24292-2022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44725</v>
      </c>
      <c r="E213" s="1" t="n">
        <v>46262</v>
      </c>
      <c r="F213" t="inlineStr">
        <is>
          <t>KALMAR LÄN</t>
        </is>
      </c>
      <c r="G213" t="inlineStr">
        <is>
          <t>HÖGSBY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14894-2025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45743</v>
      </c>
      <c r="E214" s="1" t="n">
        <v>46262</v>
      </c>
      <c r="F214" t="inlineStr">
        <is>
          <t>KALMAR LÄN</t>
        </is>
      </c>
      <c r="G214" t="inlineStr">
        <is>
          <t>HÖGSBY</t>
        </is>
      </c>
      <c r="H214" t="inlineStr">
        <is>
          <t>Kommuner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46262</v>
      </c>
      <c r="F215" t="inlineStr">
        <is>
          <t>KALMAR LÄN</t>
        </is>
      </c>
      <c r="G215" t="inlineStr">
        <is>
          <t>HÖGSBY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46262</v>
      </c>
      <c r="F216" t="inlineStr">
        <is>
          <t>KALMAR LÄN</t>
        </is>
      </c>
      <c r="G216" t="inlineStr">
        <is>
          <t>HÖGSBY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46262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46262</v>
      </c>
      <c r="F218" t="inlineStr">
        <is>
          <t>KALMAR LÄN</t>
        </is>
      </c>
      <c r="G218" t="inlineStr">
        <is>
          <t>HÖGSBY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46262</v>
      </c>
      <c r="F219" t="inlineStr">
        <is>
          <t>KALMAR LÄN</t>
        </is>
      </c>
      <c r="G219" t="inlineStr">
        <is>
          <t>HÖGSBY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46262</v>
      </c>
      <c r="F220" t="inlineStr">
        <is>
          <t>KALMAR LÄN</t>
        </is>
      </c>
      <c r="G220" t="inlineStr">
        <is>
          <t>HÖGSBY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46262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46262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14273-2024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46262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46262</v>
      </c>
      <c r="F224" t="inlineStr">
        <is>
          <t>KALMAR LÄN</t>
        </is>
      </c>
      <c r="G224" t="inlineStr">
        <is>
          <t>HÖGSBY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46262</v>
      </c>
      <c r="F225" t="inlineStr">
        <is>
          <t>KALMAR LÄN</t>
        </is>
      </c>
      <c r="G225" t="inlineStr">
        <is>
          <t>HÖGSBY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46262</v>
      </c>
      <c r="F226" t="inlineStr">
        <is>
          <t>KALMAR LÄN</t>
        </is>
      </c>
      <c r="G226" t="inlineStr">
        <is>
          <t>HÖGSBY</t>
        </is>
      </c>
      <c r="H226" t="inlineStr">
        <is>
          <t>Övriga Aktiebolag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46262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46262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46262</v>
      </c>
      <c r="F229" t="inlineStr">
        <is>
          <t>KALMAR LÄN</t>
        </is>
      </c>
      <c r="G229" t="inlineStr">
        <is>
          <t>HÖGSBY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45247</v>
      </c>
      <c r="E230" s="1" t="n">
        <v>46262</v>
      </c>
      <c r="F230" t="inlineStr">
        <is>
          <t>KALMAR LÄN</t>
        </is>
      </c>
      <c r="G230" t="inlineStr">
        <is>
          <t>HÖGSBY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46262</v>
      </c>
      <c r="F231" t="inlineStr">
        <is>
          <t>KALMAR LÄN</t>
        </is>
      </c>
      <c r="G231" t="inlineStr">
        <is>
          <t>HÖGSBY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46262</v>
      </c>
      <c r="F232" t="inlineStr">
        <is>
          <t>KALMAR LÄN</t>
        </is>
      </c>
      <c r="G232" t="inlineStr">
        <is>
          <t>HÖGSBY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46262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46262</v>
      </c>
      <c r="F234" t="inlineStr">
        <is>
          <t>KALMAR LÄN</t>
        </is>
      </c>
      <c r="G234" t="inlineStr">
        <is>
          <t>HÖGSBY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46262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46262</v>
      </c>
      <c r="F236" t="inlineStr">
        <is>
          <t>KALMAR LÄN</t>
        </is>
      </c>
      <c r="G236" t="inlineStr">
        <is>
          <t>HÖGSBY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46262</v>
      </c>
      <c r="F237" t="inlineStr">
        <is>
          <t>KALMAR LÄN</t>
        </is>
      </c>
      <c r="G237" t="inlineStr">
        <is>
          <t>HÖGSBY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46262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45614</v>
      </c>
      <c r="E239" s="1" t="n">
        <v>46262</v>
      </c>
      <c r="F239" t="inlineStr">
        <is>
          <t>KALMAR LÄN</t>
        </is>
      </c>
      <c r="G239" t="inlineStr">
        <is>
          <t>HÖGSBY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46262</v>
      </c>
      <c r="F240" t="inlineStr">
        <is>
          <t>KALMAR LÄN</t>
        </is>
      </c>
      <c r="G240" t="inlineStr">
        <is>
          <t>HÖGSBY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46262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46262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46262</v>
      </c>
      <c r="F243" t="inlineStr">
        <is>
          <t>KALMAR LÄN</t>
        </is>
      </c>
      <c r="G243" t="inlineStr">
        <is>
          <t>HÖGSBY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46262</v>
      </c>
      <c r="F244" t="inlineStr">
        <is>
          <t>KALMAR LÄN</t>
        </is>
      </c>
      <c r="G244" t="inlineStr">
        <is>
          <t>HÖGSBY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46262</v>
      </c>
      <c r="F245" t="inlineStr">
        <is>
          <t>KALMAR LÄN</t>
        </is>
      </c>
      <c r="G245" t="inlineStr">
        <is>
          <t>HÖGSBY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57006-2024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45626</v>
      </c>
      <c r="E246" s="1" t="n">
        <v>46262</v>
      </c>
      <c r="F246" t="inlineStr">
        <is>
          <t>KALMAR LÄN</t>
        </is>
      </c>
      <c r="G246" t="inlineStr">
        <is>
          <t>HÖGSBY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46262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46262</v>
      </c>
      <c r="F248" t="inlineStr">
        <is>
          <t>KALMAR LÄN</t>
        </is>
      </c>
      <c r="G248" t="inlineStr">
        <is>
          <t>HÖGSBY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60853-2021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44496</v>
      </c>
      <c r="E249" s="1" t="n">
        <v>46262</v>
      </c>
      <c r="F249" t="inlineStr">
        <is>
          <t>KALMAR LÄN</t>
        </is>
      </c>
      <c r="G249" t="inlineStr">
        <is>
          <t>HÖGSBY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46262</v>
      </c>
      <c r="F250" t="inlineStr">
        <is>
          <t>KALMAR LÄN</t>
        </is>
      </c>
      <c r="G250" t="inlineStr">
        <is>
          <t>HÖGSBY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46262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46262</v>
      </c>
      <c r="F252" t="inlineStr">
        <is>
          <t>KALMAR LÄN</t>
        </is>
      </c>
      <c r="G252" t="inlineStr">
        <is>
          <t>HÖGSBY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46262</v>
      </c>
      <c r="F253" t="inlineStr">
        <is>
          <t>KALMAR LÄN</t>
        </is>
      </c>
      <c r="G253" t="inlineStr">
        <is>
          <t>HÖGSBY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46262</v>
      </c>
      <c r="F254" t="inlineStr">
        <is>
          <t>KALMAR LÄN</t>
        </is>
      </c>
      <c r="G254" t="inlineStr">
        <is>
          <t>HÖGSBY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54238-2021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44470</v>
      </c>
      <c r="E255" s="1" t="n">
        <v>46262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46262</v>
      </c>
      <c r="F256" t="inlineStr">
        <is>
          <t>KALMAR LÄN</t>
        </is>
      </c>
      <c r="G256" t="inlineStr">
        <is>
          <t>HÖGSBY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45707</v>
      </c>
      <c r="E257" s="1" t="n">
        <v>46262</v>
      </c>
      <c r="F257" t="inlineStr">
        <is>
          <t>KALMAR LÄN</t>
        </is>
      </c>
      <c r="G257" t="inlineStr">
        <is>
          <t>HÖGSBY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46262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44809</v>
      </c>
      <c r="E259" s="1" t="n">
        <v>46262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46262</v>
      </c>
      <c r="F260" t="inlineStr">
        <is>
          <t>KALMAR LÄN</t>
        </is>
      </c>
      <c r="G260" t="inlineStr">
        <is>
          <t>HÖGSBY</t>
        </is>
      </c>
      <c r="H260" t="inlineStr">
        <is>
          <t>Kommuner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46262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46262</v>
      </c>
      <c r="F262" t="inlineStr">
        <is>
          <t>KALMAR LÄN</t>
        </is>
      </c>
      <c r="G262" t="inlineStr">
        <is>
          <t>HÖGSBY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45600</v>
      </c>
      <c r="E263" s="1" t="n">
        <v>46262</v>
      </c>
      <c r="F263" t="inlineStr">
        <is>
          <t>KALMAR LÄN</t>
        </is>
      </c>
      <c r="G263" t="inlineStr">
        <is>
          <t>HÖGSBY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46262</v>
      </c>
      <c r="F264" t="inlineStr">
        <is>
          <t>KALMAR LÄN</t>
        </is>
      </c>
      <c r="G264" t="inlineStr">
        <is>
          <t>HÖGSBY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45190</v>
      </c>
      <c r="E265" s="1" t="n">
        <v>46262</v>
      </c>
      <c r="F265" t="inlineStr">
        <is>
          <t>KALMAR LÄN</t>
        </is>
      </c>
      <c r="G265" t="inlineStr">
        <is>
          <t>HÖGSBY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45804</v>
      </c>
      <c r="E266" s="1" t="n">
        <v>46262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45391</v>
      </c>
      <c r="E267" s="1" t="n">
        <v>46262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46262</v>
      </c>
      <c r="F268" t="inlineStr">
        <is>
          <t>KALMAR LÄN</t>
        </is>
      </c>
      <c r="G268" t="inlineStr">
        <is>
          <t>HÖGSBY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46262</v>
      </c>
      <c r="F269" t="inlineStr">
        <is>
          <t>KALMAR LÄN</t>
        </is>
      </c>
      <c r="G269" t="inlineStr">
        <is>
          <t>HÖGSBY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46262</v>
      </c>
      <c r="F270" t="inlineStr">
        <is>
          <t>KALMAR LÄN</t>
        </is>
      </c>
      <c r="G270" t="inlineStr">
        <is>
          <t>HÖGSBY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44613</v>
      </c>
      <c r="E271" s="1" t="n">
        <v>46262</v>
      </c>
      <c r="F271" t="inlineStr">
        <is>
          <t>KALMAR LÄN</t>
        </is>
      </c>
      <c r="G271" t="inlineStr">
        <is>
          <t>HÖGSBY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26545-2024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45469</v>
      </c>
      <c r="E272" s="1" t="n">
        <v>46262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46262</v>
      </c>
      <c r="F273" t="inlineStr">
        <is>
          <t>KALMAR LÄN</t>
        </is>
      </c>
      <c r="G273" t="inlineStr">
        <is>
          <t>HÖGSBY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46262</v>
      </c>
      <c r="F274" t="inlineStr">
        <is>
          <t>KALMAR LÄN</t>
        </is>
      </c>
      <c r="G274" t="inlineStr">
        <is>
          <t>HÖGSBY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46262</v>
      </c>
      <c r="F275" t="inlineStr">
        <is>
          <t>KALMAR LÄN</t>
        </is>
      </c>
      <c r="G275" t="inlineStr">
        <is>
          <t>HÖGSBY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46262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22562-2026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46155</v>
      </c>
      <c r="E277" s="1" t="n">
        <v>46262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22564-2026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46155</v>
      </c>
      <c r="E278" s="1" t="n">
        <v>46262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46262</v>
      </c>
      <c r="F279" t="inlineStr">
        <is>
          <t>KALMAR LÄN</t>
        </is>
      </c>
      <c r="G279" t="inlineStr">
        <is>
          <t>HÖGSBY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30890-2023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46262</v>
      </c>
      <c r="F280" t="inlineStr">
        <is>
          <t>KALMAR LÄN</t>
        </is>
      </c>
      <c r="G280" t="inlineStr">
        <is>
          <t>HÖGSBY</t>
        </is>
      </c>
      <c r="I280" t="n">
        <v>11.6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44879</v>
      </c>
      <c r="E281" s="1" t="n">
        <v>46262</v>
      </c>
      <c r="F281" t="inlineStr">
        <is>
          <t>KALMAR LÄN</t>
        </is>
      </c>
      <c r="G281" t="inlineStr">
        <is>
          <t>HÖGSBY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45360</v>
      </c>
      <c r="E282" s="1" t="n">
        <v>46262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46262</v>
      </c>
      <c r="F283" t="inlineStr">
        <is>
          <t>KALMAR LÄN</t>
        </is>
      </c>
      <c r="G283" t="inlineStr">
        <is>
          <t>HÖGSBY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45930</v>
      </c>
      <c r="E284" s="1" t="n">
        <v>46262</v>
      </c>
      <c r="F284" t="inlineStr">
        <is>
          <t>KALMAR LÄN</t>
        </is>
      </c>
      <c r="G284" t="inlineStr">
        <is>
          <t>HÖGSBY</t>
        </is>
      </c>
      <c r="H284" t="inlineStr">
        <is>
          <t>Kyrkan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45588</v>
      </c>
      <c r="E285" s="1" t="n">
        <v>46262</v>
      </c>
      <c r="F285" t="inlineStr">
        <is>
          <t>KALMAR LÄN</t>
        </is>
      </c>
      <c r="G285" t="inlineStr">
        <is>
          <t>HÖGSBY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45447</v>
      </c>
      <c r="E286" s="1" t="n">
        <v>46262</v>
      </c>
      <c r="F286" t="inlineStr">
        <is>
          <t>KALMAR LÄN</t>
        </is>
      </c>
      <c r="G286" t="inlineStr">
        <is>
          <t>HÖGSBY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45126</v>
      </c>
      <c r="E287" s="1" t="n">
        <v>46262</v>
      </c>
      <c r="F287" t="inlineStr">
        <is>
          <t>KALMAR LÄN</t>
        </is>
      </c>
      <c r="G287" t="inlineStr">
        <is>
          <t>HÖGSBY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46262</v>
      </c>
      <c r="F288" t="inlineStr">
        <is>
          <t>KALMAR LÄN</t>
        </is>
      </c>
      <c r="G288" t="inlineStr">
        <is>
          <t>HÖGSBY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46157</v>
      </c>
      <c r="E289" s="1" t="n">
        <v>46262</v>
      </c>
      <c r="F289" t="inlineStr">
        <is>
          <t>KALMAR LÄN</t>
        </is>
      </c>
      <c r="G289" t="inlineStr">
        <is>
          <t>HÖGSBY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46157</v>
      </c>
      <c r="E290" s="1" t="n">
        <v>46262</v>
      </c>
      <c r="F290" t="inlineStr">
        <is>
          <t>KALMAR LÄN</t>
        </is>
      </c>
      <c r="G290" t="inlineStr">
        <is>
          <t>HÖGSBY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46161</v>
      </c>
      <c r="E291" s="1" t="n">
        <v>46262</v>
      </c>
      <c r="F291" t="inlineStr">
        <is>
          <t>KALMAR LÄN</t>
        </is>
      </c>
      <c r="G291" t="inlineStr">
        <is>
          <t>HÖGSBY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46262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46262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46262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46262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23937-2026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46167</v>
      </c>
      <c r="E296" s="1" t="n">
        <v>46262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45203</v>
      </c>
      <c r="E297" s="1" t="n">
        <v>46262</v>
      </c>
      <c r="F297" t="inlineStr">
        <is>
          <t>KALMAR LÄN</t>
        </is>
      </c>
      <c r="G297" t="inlineStr">
        <is>
          <t>HÖGSBY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46262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46262</v>
      </c>
      <c r="F299" t="inlineStr">
        <is>
          <t>KALMAR LÄN</t>
        </is>
      </c>
      <c r="G299" t="inlineStr">
        <is>
          <t>HÖGSBY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38802-2024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45547</v>
      </c>
      <c r="E300" s="1" t="n">
        <v>46262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50458-2022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44866</v>
      </c>
      <c r="E301" s="1" t="n">
        <v>46262</v>
      </c>
      <c r="F301" t="inlineStr">
        <is>
          <t>KALMAR LÄN</t>
        </is>
      </c>
      <c r="G301" t="inlineStr">
        <is>
          <t>HÖGSBY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24601-2024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45460</v>
      </c>
      <c r="E302" s="1" t="n">
        <v>46262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46262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46262</v>
      </c>
      <c r="F304" t="inlineStr">
        <is>
          <t>KALMAR LÄN</t>
        </is>
      </c>
      <c r="G304" t="inlineStr">
        <is>
          <t>HÖGSBY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46262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60555-2021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46262</v>
      </c>
      <c r="F306" t="inlineStr">
        <is>
          <t>KALMAR LÄN</t>
        </is>
      </c>
      <c r="G306" t="inlineStr">
        <is>
          <t>HÖGSBY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46176</v>
      </c>
      <c r="E307" s="1" t="n">
        <v>46262</v>
      </c>
      <c r="F307" t="inlineStr">
        <is>
          <t>KALMAR LÄN</t>
        </is>
      </c>
      <c r="G307" t="inlineStr">
        <is>
          <t>HÖGSBY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46262</v>
      </c>
      <c r="F308" t="inlineStr">
        <is>
          <t>KALMAR LÄN</t>
        </is>
      </c>
      <c r="G308" t="inlineStr">
        <is>
          <t>HÖGSBY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44760</v>
      </c>
      <c r="E309" s="1" t="n">
        <v>46262</v>
      </c>
      <c r="F309" t="inlineStr">
        <is>
          <t>KALMAR LÄN</t>
        </is>
      </c>
      <c r="G309" t="inlineStr">
        <is>
          <t>HÖGSBY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46262</v>
      </c>
      <c r="F310" t="inlineStr">
        <is>
          <t>KALMAR LÄN</t>
        </is>
      </c>
      <c r="G310" t="inlineStr">
        <is>
          <t>HÖGSBY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46262</v>
      </c>
      <c r="F311" t="inlineStr">
        <is>
          <t>KALMAR LÄN</t>
        </is>
      </c>
      <c r="G311" t="inlineStr">
        <is>
          <t>HÖGSBY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26109-2026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46262</v>
      </c>
      <c r="F312" t="inlineStr">
        <is>
          <t>KALMAR LÄN</t>
        </is>
      </c>
      <c r="G312" t="inlineStr">
        <is>
          <t>HÖGSBY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44987</v>
      </c>
      <c r="E313" s="1" t="n">
        <v>46262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46262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46262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46184</v>
      </c>
      <c r="E316" s="1" t="n">
        <v>46262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46262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46262</v>
      </c>
      <c r="F318" t="inlineStr">
        <is>
          <t>KALMAR LÄN</t>
        </is>
      </c>
      <c r="G318" t="inlineStr">
        <is>
          <t>HÖGSBY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46262</v>
      </c>
      <c r="F319" t="inlineStr">
        <is>
          <t>KALMAR LÄN</t>
        </is>
      </c>
      <c r="G319" t="inlineStr">
        <is>
          <t>HÖGSBY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46262</v>
      </c>
      <c r="F320" t="inlineStr">
        <is>
          <t>KALMAR LÄN</t>
        </is>
      </c>
      <c r="G320" t="inlineStr">
        <is>
          <t>HÖGSBY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62562-2022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44924</v>
      </c>
      <c r="E321" s="1" t="n">
        <v>46262</v>
      </c>
      <c r="F321" t="inlineStr">
        <is>
          <t>KALMAR LÄN</t>
        </is>
      </c>
      <c r="G321" t="inlineStr">
        <is>
          <t>HÖGSBY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46262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46262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45254</v>
      </c>
      <c r="E324" s="1" t="n">
        <v>46262</v>
      </c>
      <c r="F324" t="inlineStr">
        <is>
          <t>KALMAR LÄN</t>
        </is>
      </c>
      <c r="G324" t="inlineStr">
        <is>
          <t>HÖGSBY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46262</v>
      </c>
      <c r="F325" t="inlineStr">
        <is>
          <t>KALMAR LÄN</t>
        </is>
      </c>
      <c r="G325" t="inlineStr">
        <is>
          <t>HÖGSBY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45552</v>
      </c>
      <c r="E326" s="1" t="n">
        <v>46262</v>
      </c>
      <c r="F326" t="inlineStr">
        <is>
          <t>KALMAR LÄN</t>
        </is>
      </c>
      <c r="G326" t="inlineStr">
        <is>
          <t>HÖGSBY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46262</v>
      </c>
      <c r="F327" t="inlineStr">
        <is>
          <t>KALMAR LÄN</t>
        </is>
      </c>
      <c r="G327" t="inlineStr">
        <is>
          <t>HÖGSBY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46262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46262</v>
      </c>
      <c r="F329" t="inlineStr">
        <is>
          <t>KALMAR LÄN</t>
        </is>
      </c>
      <c r="G329" t="inlineStr">
        <is>
          <t>HÖGSBY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46262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46262</v>
      </c>
      <c r="F331" t="inlineStr">
        <is>
          <t>KALMAR LÄN</t>
        </is>
      </c>
      <c r="G331" t="inlineStr">
        <is>
          <t>HÖGSBY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46262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45247</v>
      </c>
      <c r="E333" s="1" t="n">
        <v>46262</v>
      </c>
      <c r="F333" t="inlineStr">
        <is>
          <t>KALMAR LÄN</t>
        </is>
      </c>
      <c r="G333" t="inlineStr">
        <is>
          <t>HÖGSBY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32228-2026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46262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65130-2023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45288</v>
      </c>
      <c r="E335" s="1" t="n">
        <v>46262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46262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46262</v>
      </c>
      <c r="F337" t="inlineStr">
        <is>
          <t>KALMAR LÄN</t>
        </is>
      </c>
      <c r="G337" t="inlineStr">
        <is>
          <t>HÖGSBY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46262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28702-2026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46262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46262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46262</v>
      </c>
      <c r="F341" t="inlineStr">
        <is>
          <t>KALMAR LÄN</t>
        </is>
      </c>
      <c r="G341" t="inlineStr">
        <is>
          <t>HÖGSBY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46262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28691-2026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46198</v>
      </c>
      <c r="E343" s="1" t="n">
        <v>46262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28697-2026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46198</v>
      </c>
      <c r="E344" s="1" t="n">
        <v>46262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46197</v>
      </c>
      <c r="E345" s="1" t="n">
        <v>46262</v>
      </c>
      <c r="F345" t="inlineStr">
        <is>
          <t>KALMAR LÄN</t>
        </is>
      </c>
      <c r="G345" t="inlineStr">
        <is>
          <t>HÖGSBY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46262</v>
      </c>
      <c r="F346" t="inlineStr">
        <is>
          <t>KALMAR LÄN</t>
        </is>
      </c>
      <c r="G346" t="inlineStr">
        <is>
          <t>HÖGSBY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46262</v>
      </c>
      <c r="F347" t="inlineStr">
        <is>
          <t>KALMAR LÄN</t>
        </is>
      </c>
      <c r="G347" t="inlineStr">
        <is>
          <t>HÖGSBY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28713-2026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46198</v>
      </c>
      <c r="E348" s="1" t="n">
        <v>46262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46262</v>
      </c>
      <c r="F349" t="inlineStr">
        <is>
          <t>KALMAR LÄN</t>
        </is>
      </c>
      <c r="G349" t="inlineStr">
        <is>
          <t>HÖGSBY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46262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46262</v>
      </c>
      <c r="F351" t="inlineStr">
        <is>
          <t>KALMAR LÄN</t>
        </is>
      </c>
      <c r="G351" t="inlineStr">
        <is>
          <t>HÖGSBY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46262</v>
      </c>
      <c r="F352" t="inlineStr">
        <is>
          <t>KALMAR LÄN</t>
        </is>
      </c>
      <c r="G352" t="inlineStr">
        <is>
          <t>HÖGSBY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46262</v>
      </c>
      <c r="F353" t="inlineStr">
        <is>
          <t>KALMAR LÄN</t>
        </is>
      </c>
      <c r="G353" t="inlineStr">
        <is>
          <t>HÖGSBY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46262</v>
      </c>
      <c r="F354" t="inlineStr">
        <is>
          <t>KALMAR LÄN</t>
        </is>
      </c>
      <c r="G354" t="inlineStr">
        <is>
          <t>HÖGSBY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46262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46262</v>
      </c>
      <c r="F356" t="inlineStr">
        <is>
          <t>KALMAR LÄN</t>
        </is>
      </c>
      <c r="G356" t="inlineStr">
        <is>
          <t>HÖGSBY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46262</v>
      </c>
      <c r="F357" t="inlineStr">
        <is>
          <t>KALMAR LÄN</t>
        </is>
      </c>
      <c r="G357" t="inlineStr">
        <is>
          <t>HÖGSBY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46262</v>
      </c>
      <c r="F358" t="inlineStr">
        <is>
          <t>KALMAR LÄN</t>
        </is>
      </c>
      <c r="G358" t="inlineStr">
        <is>
          <t>HÖGSBY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46262</v>
      </c>
      <c r="F359" t="inlineStr">
        <is>
          <t>KALMAR LÄN</t>
        </is>
      </c>
      <c r="G359" t="inlineStr">
        <is>
          <t>HÖGSBY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46262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46262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45624</v>
      </c>
      <c r="E362" s="1" t="n">
        <v>46262</v>
      </c>
      <c r="F362" t="inlineStr">
        <is>
          <t>KALMAR LÄN</t>
        </is>
      </c>
      <c r="G362" t="inlineStr">
        <is>
          <t>HÖGSBY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46262</v>
      </c>
      <c r="F363" t="inlineStr">
        <is>
          <t>KALMAR LÄN</t>
        </is>
      </c>
      <c r="G363" t="inlineStr">
        <is>
          <t>HÖGSBY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46262</v>
      </c>
      <c r="F364" t="inlineStr">
        <is>
          <t>KALMAR LÄN</t>
        </is>
      </c>
      <c r="G364" t="inlineStr">
        <is>
          <t>HÖGSBY</t>
        </is>
      </c>
      <c r="H364" t="inlineStr">
        <is>
          <t>Övriga Aktiebolag</t>
        </is>
      </c>
      <c r="I364" t="n">
        <v>15.2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46262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46262</v>
      </c>
      <c r="F366" t="inlineStr">
        <is>
          <t>KALMAR LÄN</t>
        </is>
      </c>
      <c r="G366" t="inlineStr">
        <is>
          <t>HÖGSBY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47502-2023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45203</v>
      </c>
      <c r="E367" s="1" t="n">
        <v>46262</v>
      </c>
      <c r="F367" t="inlineStr">
        <is>
          <t>KALMAR LÄN</t>
        </is>
      </c>
      <c r="G367" t="inlineStr">
        <is>
          <t>HÖGSBY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46262</v>
      </c>
      <c r="F368" t="inlineStr">
        <is>
          <t>KALMAR LÄN</t>
        </is>
      </c>
      <c r="G368" t="inlineStr">
        <is>
          <t>HÖGSBY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44939</v>
      </c>
      <c r="E369" s="1" t="n">
        <v>46262</v>
      </c>
      <c r="F369" t="inlineStr">
        <is>
          <t>KALMAR LÄN</t>
        </is>
      </c>
      <c r="G369" t="inlineStr">
        <is>
          <t>HÖGSBY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46262</v>
      </c>
      <c r="F370" t="inlineStr">
        <is>
          <t>KALMAR LÄN</t>
        </is>
      </c>
      <c r="G370" t="inlineStr">
        <is>
          <t>HÖGSBY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46262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46262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46262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45581</v>
      </c>
      <c r="E374" s="1" t="n">
        <v>46262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46262</v>
      </c>
      <c r="F375" t="inlineStr">
        <is>
          <t>KALMAR LÄN</t>
        </is>
      </c>
      <c r="G375" t="inlineStr">
        <is>
          <t>HÖGSBY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46262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46262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50367-2022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44866</v>
      </c>
      <c r="E378" s="1" t="n">
        <v>46262</v>
      </c>
      <c r="F378" t="inlineStr">
        <is>
          <t>KALMAR LÄN</t>
        </is>
      </c>
      <c r="G378" t="inlineStr">
        <is>
          <t>HÖGSBY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45638</v>
      </c>
      <c r="E379" s="1" t="n">
        <v>46262</v>
      </c>
      <c r="F379" t="inlineStr">
        <is>
          <t>KALMAR LÄN</t>
        </is>
      </c>
      <c r="G379" t="inlineStr">
        <is>
          <t>HÖGSBY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45307</v>
      </c>
      <c r="E380" s="1" t="n">
        <v>46262</v>
      </c>
      <c r="F380" t="inlineStr">
        <is>
          <t>KALMAR LÄN</t>
        </is>
      </c>
      <c r="G380" t="inlineStr">
        <is>
          <t>HÖGSBY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34078-2024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45523</v>
      </c>
      <c r="E381" s="1" t="n">
        <v>46262</v>
      </c>
      <c r="F381" t="inlineStr">
        <is>
          <t>KALMAR LÄN</t>
        </is>
      </c>
      <c r="G381" t="inlineStr">
        <is>
          <t>HÖGSBY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46262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46262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46262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46262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46262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46262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46262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46262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46262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46262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46262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46262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46262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46262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46262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46262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46262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46262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46262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46262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46262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46262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46262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46262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2026-08-28T01:53:08Z</dcterms:created>
  <dcterms:modified xmlns:dcterms="http://purl.org/dc/terms/" xmlns:xsi="http://www.w3.org/2001/XMLSchema-instance" xsi:type="dcterms:W3CDTF">2026-08-28T01:53:08Z</dcterms:modified>
</cp:coreProperties>
</file>