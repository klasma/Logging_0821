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46242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46242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46242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46242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46242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46242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46242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46242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46242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46242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46242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46242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46242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46242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46242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46242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46242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46242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46242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46242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46242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46242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46242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46242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46242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46242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46242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46242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46242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46242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46242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46242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46242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46242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46242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46242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46242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46242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46242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46242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46242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46242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46242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46242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30186-2026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46206</v>
      </c>
      <c r="E46" s="1" t="n">
        <v>46242</v>
      </c>
      <c r="F46" t="inlineStr">
        <is>
          <t>KALMAR LÄN</t>
        </is>
      </c>
      <c r="G46" t="inlineStr">
        <is>
          <t>HÖGSBY</t>
        </is>
      </c>
      <c r="H46" t="inlineStr">
        <is>
          <t>Sveaskog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HYPERLINK("https://klasma.github.io/Logging_0821/artfynd/A 30186-2026 artfynd.xlsx", "A 30186-2026")</f>
        <v/>
      </c>
      <c r="X46">
        <f>HYPERLINK("https://klasma.github.io/Logging_0821/kartor/A 30186-2026 karta.png", "A 30186-2026")</f>
        <v/>
      </c>
      <c r="Y46">
        <f>HYPERLINK("https://klasma.github.io/Logging_0821/kartor_geotiff/A 30186-2026 georefererad karta.tif", "A 30186-2026")</f>
        <v/>
      </c>
      <c r="AA46">
        <f>HYPERLINK("https://klasma.github.io/Logging_0821/klagomål/A 30186-2026 FSC-klagomål.docx", "A 30186-2026")</f>
        <v/>
      </c>
      <c r="AB46">
        <f>HYPERLINK("https://klasma.github.io/Logging_0821/klagomålsmail/A 30186-2026 FSC-klagomål mail.docx", "A 30186-2026")</f>
        <v/>
      </c>
      <c r="AC46">
        <f>HYPERLINK("https://klasma.github.io/Logging_0821/tillsyn/A 30186-2026 tillsynsbegäran.docx", "A 30186-2026")</f>
        <v/>
      </c>
      <c r="AD46">
        <f>HYPERLINK("https://klasma.github.io/Logging_0821/tillsynsmail/A 30186-2026 tillsynsbegäran mail.docx", "A 30186-2026")</f>
        <v/>
      </c>
    </row>
    <row r="47" ht="15" customHeight="1">
      <c r="A47" t="inlineStr">
        <is>
          <t>A 23859-2026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46242</v>
      </c>
      <c r="F47" t="inlineStr">
        <is>
          <t>KALMAR LÄN</t>
        </is>
      </c>
      <c r="G47" t="inlineStr">
        <is>
          <t>HÖGSBY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HYPERLINK("https://klasma.github.io/Logging_0821/artfynd/A 23859-2026 artfynd.xlsx", "A 23859-2026")</f>
        <v/>
      </c>
      <c r="X47">
        <f>HYPERLINK("https://klasma.github.io/Logging_0821/kartor/A 23859-2026 karta.png", "A 23859-2026")</f>
        <v/>
      </c>
      <c r="Y47">
        <f>HYPERLINK("https://klasma.github.io/Logging_0821/kartor_geotiff/A 23859-2026 georefererad karta.tif", "A 23859-2026")</f>
        <v/>
      </c>
      <c r="AA47">
        <f>HYPERLINK("https://klasma.github.io/Logging_0821/klagomål/A 23859-2026 FSC-klagomål.docx", "A 23859-2026")</f>
        <v/>
      </c>
      <c r="AB47">
        <f>HYPERLINK("https://klasma.github.io/Logging_0821/klagomålsmail/A 23859-2026 FSC-klagomål mail.docx", "A 23859-2026")</f>
        <v/>
      </c>
      <c r="AC47">
        <f>HYPERLINK("https://klasma.github.io/Logging_0821/tillsyn/A 23859-2026 tillsynsbegäran.docx", "A 23859-2026")</f>
        <v/>
      </c>
      <c r="AD47">
        <f>HYPERLINK("https://klasma.github.io/Logging_0821/tillsynsmail/A 23859-2026 tillsynsbegäran mail.docx", "A 23859-2026")</f>
        <v/>
      </c>
    </row>
    <row r="48" ht="15" customHeight="1">
      <c r="A48" t="inlineStr">
        <is>
          <t>A 24911-2023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45085</v>
      </c>
      <c r="E48" s="1" t="n">
        <v>46242</v>
      </c>
      <c r="F48" t="inlineStr">
        <is>
          <t>KALMAR LÄN</t>
        </is>
      </c>
      <c r="G48" t="inlineStr">
        <is>
          <t>HÖGSBY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Sotlav</t>
        </is>
      </c>
      <c r="W48">
        <f>HYPERLINK("https://klasma.github.io/Logging_0821/artfynd/A 24911-2023 artfynd.xlsx", "A 24911-2023")</f>
        <v/>
      </c>
      <c r="X48">
        <f>HYPERLINK("https://klasma.github.io/Logging_0821/kartor/A 24911-2023 karta.png", "A 24911-2023")</f>
        <v/>
      </c>
      <c r="Y48">
        <f>HYPERLINK("https://klasma.github.io/Logging_0821/kartor_geotiff/A 24911-2023 georefererad karta.tif", "A 24911-2023")</f>
        <v/>
      </c>
      <c r="AA48">
        <f>HYPERLINK("https://klasma.github.io/Logging_0821/klagomål/A 24911-2023 FSC-klagomål.docx", "A 24911-2023")</f>
        <v/>
      </c>
      <c r="AB48">
        <f>HYPERLINK("https://klasma.github.io/Logging_0821/klagomålsmail/A 24911-2023 FSC-klagomål mail.docx", "A 24911-2023")</f>
        <v/>
      </c>
      <c r="AC48">
        <f>HYPERLINK("https://klasma.github.io/Logging_0821/tillsyn/A 24911-2023 tillsynsbegäran.docx", "A 24911-2023")</f>
        <v/>
      </c>
      <c r="AD48">
        <f>HYPERLINK("https://klasma.github.io/Logging_0821/tillsynsmail/A 24911-2023 tillsynsbegäran mail.docx", "A 24911-2023")</f>
        <v/>
      </c>
    </row>
    <row r="49" ht="15" customHeight="1">
      <c r="A49" t="inlineStr">
        <is>
          <t>A 30800-2026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46212</v>
      </c>
      <c r="E49" s="1" t="n">
        <v>46242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3.8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Grönpyrola</t>
        </is>
      </c>
      <c r="W49">
        <f>HYPERLINK("https://klasma.github.io/Logging_0821/artfynd/A 30800-2026 artfynd.xlsx", "A 30800-2026")</f>
        <v/>
      </c>
      <c r="X49">
        <f>HYPERLINK("https://klasma.github.io/Logging_0821/kartor/A 30800-2026 karta.png", "A 30800-2026")</f>
        <v/>
      </c>
      <c r="Y49">
        <f>HYPERLINK("https://klasma.github.io/Logging_0821/kartor_geotiff/A 30800-2026 georefererad karta.tif", "A 30800-2026")</f>
        <v/>
      </c>
      <c r="AA49">
        <f>HYPERLINK("https://klasma.github.io/Logging_0821/klagomål/A 30800-2026 FSC-klagomål.docx", "A 30800-2026")</f>
        <v/>
      </c>
      <c r="AB49">
        <f>HYPERLINK("https://klasma.github.io/Logging_0821/klagomålsmail/A 30800-2026 FSC-klagomål mail.docx", "A 30800-2026")</f>
        <v/>
      </c>
      <c r="AC49">
        <f>HYPERLINK("https://klasma.github.io/Logging_0821/tillsyn/A 30800-2026 tillsynsbegäran.docx", "A 30800-2026")</f>
        <v/>
      </c>
      <c r="AD49">
        <f>HYPERLINK("https://klasma.github.io/Logging_0821/tillsynsmail/A 30800-2026 tillsynsbegäran mail.docx", "A 30800-2026")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46242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Gullviva</t>
        </is>
      </c>
      <c r="W50">
        <f>HYPERLINK("https://klasma.github.io/Logging_0821/artfynd/A 26145-2026 artfynd.xlsx", "A 26145-2026")</f>
        <v/>
      </c>
      <c r="X50">
        <f>HYPERLINK("https://klasma.github.io/Logging_0821/kartor/A 26145-2026 karta.png", "A 26145-2026")</f>
        <v/>
      </c>
      <c r="Y50">
        <f>HYPERLINK("https://klasma.github.io/Logging_0821/kartor_geotiff/A 26145-2026 georefererad karta.tif", "A 26145-2026")</f>
        <v/>
      </c>
      <c r="AA50">
        <f>HYPERLINK("https://klasma.github.io/Logging_0821/klagomål/A 26145-2026 FSC-klagomål.docx", "A 26145-2026")</f>
        <v/>
      </c>
      <c r="AB50">
        <f>HYPERLINK("https://klasma.github.io/Logging_0821/klagomålsmail/A 26145-2026 FSC-klagomål mail.docx", "A 26145-2026")</f>
        <v/>
      </c>
      <c r="AC50">
        <f>HYPERLINK("https://klasma.github.io/Logging_0821/tillsyn/A 26145-2026 tillsynsbegäran.docx", "A 26145-2026")</f>
        <v/>
      </c>
      <c r="AD50">
        <f>HYPERLINK("https://klasma.github.io/Logging_0821/tillsynsmail/A 26145-2026 tillsynsbegäran mail.docx", "A 26145-2026")</f>
        <v/>
      </c>
    </row>
    <row r="51" ht="15" customHeight="1">
      <c r="A51" t="inlineStr">
        <is>
          <t>A 27366-2026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46242</v>
      </c>
      <c r="F51" t="inlineStr">
        <is>
          <t>KALMAR LÄN</t>
        </is>
      </c>
      <c r="G51" t="inlineStr">
        <is>
          <t>HÖGSBY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27366-2026 artfynd.xlsx", "A 27366-2026")</f>
        <v/>
      </c>
      <c r="X51">
        <f>HYPERLINK("https://klasma.github.io/Logging_0821/kartor/A 27366-2026 karta.png", "A 27366-2026")</f>
        <v/>
      </c>
      <c r="Y51">
        <f>HYPERLINK("https://klasma.github.io/Logging_0821/kartor_geotiff/A 27366-2026 georefererad karta.tif", "A 27366-2026")</f>
        <v/>
      </c>
      <c r="AA51">
        <f>HYPERLINK("https://klasma.github.io/Logging_0821/klagomål/A 27366-2026 FSC-klagomål.docx", "A 27366-2026")</f>
        <v/>
      </c>
      <c r="AB51">
        <f>HYPERLINK("https://klasma.github.io/Logging_0821/klagomålsmail/A 27366-2026 FSC-klagomål mail.docx", "A 27366-2026")</f>
        <v/>
      </c>
      <c r="AC51">
        <f>HYPERLINK("https://klasma.github.io/Logging_0821/tillsyn/A 27366-2026 tillsynsbegäran.docx", "A 27366-2026")</f>
        <v/>
      </c>
      <c r="AD51">
        <f>HYPERLINK("https://klasma.github.io/Logging_0821/tillsynsmail/A 27366-2026 tillsynsbegäran mail.docx", "A 27366-2026")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46242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46242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46242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HYPERLINK("https://klasma.github.io/Logging_0821/artfynd/A 28894-2026 artfynd.xlsx", "A 28894-2026")</f>
        <v/>
      </c>
      <c r="X54">
        <f>HYPERLINK("https://klasma.github.io/Logging_0821/kartor/A 28894-2026 karta.png", "A 28894-2026")</f>
        <v/>
      </c>
      <c r="Y54">
        <f>HYPERLINK("https://klasma.github.io/Logging_0821/kartor_geotiff/A 28894-2026 georefererad karta.tif", "A 28894-2026")</f>
        <v/>
      </c>
      <c r="AA54">
        <f>HYPERLINK("https://klasma.github.io/Logging_0821/klagomål/A 28894-2026 FSC-klagomål.docx", "A 28894-2026")</f>
        <v/>
      </c>
      <c r="AB54">
        <f>HYPERLINK("https://klasma.github.io/Logging_0821/klagomålsmail/A 28894-2026 FSC-klagomål mail.docx", "A 28894-2026")</f>
        <v/>
      </c>
      <c r="AC54">
        <f>HYPERLINK("https://klasma.github.io/Logging_0821/tillsyn/A 28894-2026 tillsynsbegäran.docx", "A 28894-2026")</f>
        <v/>
      </c>
      <c r="AD54">
        <f>HYPERLINK("https://klasma.github.io/Logging_0821/tillsynsmail/A 28894-2026 tillsynsbegäran mail.docx", "A 28894-2026")</f>
        <v/>
      </c>
      <c r="AE54">
        <f>HYPERLINK("https://klasma.github.io/Logging_0821/fåglar/A 28894-2026 prioriterade fågelarter.docx", "A 28894-2026")</f>
        <v/>
      </c>
    </row>
    <row r="55" ht="15" customHeight="1">
      <c r="A55" t="inlineStr">
        <is>
          <t>A 58792-2022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44903</v>
      </c>
      <c r="E55" s="1" t="n">
        <v>46242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58792-2022 artfynd.xlsx", "A 58792-2022")</f>
        <v/>
      </c>
      <c r="X55">
        <f>HYPERLINK("https://klasma.github.io/Logging_0821/kartor/A 58792-2022 karta.png", "A 58792-2022")</f>
        <v/>
      </c>
      <c r="Y55">
        <f>HYPERLINK("https://klasma.github.io/Logging_0821/kartor_geotiff/A 58792-2022 georefererad karta.tif", "A 58792-2022")</f>
        <v/>
      </c>
      <c r="AA55">
        <f>HYPERLINK("https://klasma.github.io/Logging_0821/klagomål/A 58792-2022 FSC-klagomål.docx", "A 58792-2022")</f>
        <v/>
      </c>
      <c r="AB55">
        <f>HYPERLINK("https://klasma.github.io/Logging_0821/klagomålsmail/A 58792-2022 FSC-klagomål mail.docx", "A 58792-2022")</f>
        <v/>
      </c>
      <c r="AC55">
        <f>HYPERLINK("https://klasma.github.io/Logging_0821/tillsyn/A 58792-2022 tillsynsbegäran.docx", "A 58792-2022")</f>
        <v/>
      </c>
      <c r="AD55">
        <f>HYPERLINK("https://klasma.github.io/Logging_0821/tillsynsmail/A 58792-2022 tillsynsbegäran mail.docx", "A 58792-2022")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46242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46242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46242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46242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46242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46242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46242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46242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46242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46242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46242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46242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46242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46242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46242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46242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46242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46242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46242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46242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46242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46242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46242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46242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46242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46242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46242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46242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46242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46242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46242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46242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46242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46242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46242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46242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46242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46242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46242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46242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46242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46242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46242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46242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46242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46242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46242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46242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46242</v>
      </c>
      <c r="F104" t="inlineStr">
        <is>
          <t>KALMAR LÄN</t>
        </is>
      </c>
      <c r="G104" t="inlineStr">
        <is>
          <t>HÖGSBY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46242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46242</v>
      </c>
      <c r="F106" t="inlineStr">
        <is>
          <t>KALMAR LÄN</t>
        </is>
      </c>
      <c r="G106" t="inlineStr">
        <is>
          <t>HÖGSBY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46242</v>
      </c>
      <c r="F107" t="inlineStr">
        <is>
          <t>KALMAR LÄN</t>
        </is>
      </c>
      <c r="G107" t="inlineStr">
        <is>
          <t>HÖGSBY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46242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74478-2021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46242</v>
      </c>
      <c r="F109" t="inlineStr">
        <is>
          <t>KALMAR LÄN</t>
        </is>
      </c>
      <c r="G109" t="inlineStr">
        <is>
          <t>HÖGSBY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46242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46242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46242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46242</v>
      </c>
      <c r="F113" t="inlineStr">
        <is>
          <t>KALMAR LÄN</t>
        </is>
      </c>
      <c r="G113" t="inlineStr">
        <is>
          <t>HÖGSBY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45015</v>
      </c>
      <c r="E114" s="1" t="n">
        <v>46242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46242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46242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59281-2022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44904</v>
      </c>
      <c r="E117" s="1" t="n">
        <v>46242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37811-2024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45544</v>
      </c>
      <c r="E118" s="1" t="n">
        <v>46242</v>
      </c>
      <c r="F118" t="inlineStr">
        <is>
          <t>KALMAR LÄN</t>
        </is>
      </c>
      <c r="G118" t="inlineStr">
        <is>
          <t>HÖGSBY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46242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46242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46242</v>
      </c>
      <c r="F121" t="inlineStr">
        <is>
          <t>KALMAR LÄN</t>
        </is>
      </c>
      <c r="G121" t="inlineStr">
        <is>
          <t>HÖGSBY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46242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44861</v>
      </c>
      <c r="E123" s="1" t="n">
        <v>46242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57000-2024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45626</v>
      </c>
      <c r="E124" s="1" t="n">
        <v>46242</v>
      </c>
      <c r="F124" t="inlineStr">
        <is>
          <t>KALMAR LÄN</t>
        </is>
      </c>
      <c r="G124" t="inlineStr">
        <is>
          <t>HÖGSBY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46242</v>
      </c>
      <c r="F125" t="inlineStr">
        <is>
          <t>KALMAR LÄN</t>
        </is>
      </c>
      <c r="G125" t="inlineStr">
        <is>
          <t>HÖGSBY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46242</v>
      </c>
      <c r="F126" t="inlineStr">
        <is>
          <t>KALMAR LÄN</t>
        </is>
      </c>
      <c r="G126" t="inlineStr">
        <is>
          <t>HÖGSBY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46242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46242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46242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46242</v>
      </c>
      <c r="F130" t="inlineStr">
        <is>
          <t>KALMAR LÄN</t>
        </is>
      </c>
      <c r="G130" t="inlineStr">
        <is>
          <t>HÖGSBY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46242</v>
      </c>
      <c r="F131" t="inlineStr">
        <is>
          <t>KALMAR LÄN</t>
        </is>
      </c>
      <c r="G131" t="inlineStr">
        <is>
          <t>HÖGSBY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45707</v>
      </c>
      <c r="E132" s="1" t="n">
        <v>46242</v>
      </c>
      <c r="F132" t="inlineStr">
        <is>
          <t>KALMAR LÄN</t>
        </is>
      </c>
      <c r="G132" t="inlineStr">
        <is>
          <t>HÖGSBY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46242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46242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46242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46242</v>
      </c>
      <c r="F136" t="inlineStr">
        <is>
          <t>KALMAR LÄN</t>
        </is>
      </c>
      <c r="G136" t="inlineStr">
        <is>
          <t>HÖGSBY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46242</v>
      </c>
      <c r="F137" t="inlineStr">
        <is>
          <t>KALMAR LÄN</t>
        </is>
      </c>
      <c r="G137" t="inlineStr">
        <is>
          <t>HÖGSBY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46242</v>
      </c>
      <c r="F138" t="inlineStr">
        <is>
          <t>KALMAR LÄN</t>
        </is>
      </c>
      <c r="G138" t="inlineStr">
        <is>
          <t>HÖGSBY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46242</v>
      </c>
      <c r="F139" t="inlineStr">
        <is>
          <t>KALMAR LÄN</t>
        </is>
      </c>
      <c r="G139" t="inlineStr">
        <is>
          <t>HÖGSBY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44677</v>
      </c>
      <c r="E140" s="1" t="n">
        <v>46242</v>
      </c>
      <c r="F140" t="inlineStr">
        <is>
          <t>KALMAR LÄN</t>
        </is>
      </c>
      <c r="G140" t="inlineStr">
        <is>
          <t>HÖGSBY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46242</v>
      </c>
      <c r="F141" t="inlineStr">
        <is>
          <t>KALMAR LÄN</t>
        </is>
      </c>
      <c r="G141" t="inlineStr">
        <is>
          <t>HÖGSBY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46242</v>
      </c>
      <c r="F142" t="inlineStr">
        <is>
          <t>KALMAR LÄN</t>
        </is>
      </c>
      <c r="G142" t="inlineStr">
        <is>
          <t>HÖGSBY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46242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46242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46242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45532</v>
      </c>
      <c r="E146" s="1" t="n">
        <v>46242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46242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46242</v>
      </c>
      <c r="F148" t="inlineStr">
        <is>
          <t>KALMAR LÄN</t>
        </is>
      </c>
      <c r="G148" t="inlineStr">
        <is>
          <t>HÖGSBY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7443-2026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46059</v>
      </c>
      <c r="E149" s="1" t="n">
        <v>46242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46242</v>
      </c>
      <c r="F150" t="inlineStr">
        <is>
          <t>KALMAR LÄN</t>
        </is>
      </c>
      <c r="G150" t="inlineStr">
        <is>
          <t>HÖGSBY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46242</v>
      </c>
      <c r="F151" t="inlineStr">
        <is>
          <t>KALMAR LÄN</t>
        </is>
      </c>
      <c r="G151" t="inlineStr">
        <is>
          <t>HÖGSBY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46242</v>
      </c>
      <c r="F152" t="inlineStr">
        <is>
          <t>KALMAR LÄN</t>
        </is>
      </c>
      <c r="G152" t="inlineStr">
        <is>
          <t>HÖGSBY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46242</v>
      </c>
      <c r="F153" t="inlineStr">
        <is>
          <t>KALMAR LÄN</t>
        </is>
      </c>
      <c r="G153" t="inlineStr">
        <is>
          <t>HÖGSBY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46242</v>
      </c>
      <c r="F154" t="inlineStr">
        <is>
          <t>KALMAR LÄN</t>
        </is>
      </c>
      <c r="G154" t="inlineStr">
        <is>
          <t>HÖGSBY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46242</v>
      </c>
      <c r="F155" t="inlineStr">
        <is>
          <t>KALMAR LÄN</t>
        </is>
      </c>
      <c r="G155" t="inlineStr">
        <is>
          <t>HÖGSBY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32049-2023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45119</v>
      </c>
      <c r="E156" s="1" t="n">
        <v>46242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45348</v>
      </c>
      <c r="E157" s="1" t="n">
        <v>46242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38824-2024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45547</v>
      </c>
      <c r="E158" s="1" t="n">
        <v>46242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46242</v>
      </c>
      <c r="F159" t="inlineStr">
        <is>
          <t>KALMAR LÄN</t>
        </is>
      </c>
      <c r="G159" t="inlineStr">
        <is>
          <t>HÖGSBY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28648-2023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45103</v>
      </c>
      <c r="E160" s="1" t="n">
        <v>46242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46242</v>
      </c>
      <c r="F161" t="inlineStr">
        <is>
          <t>KALMAR LÄN</t>
        </is>
      </c>
      <c r="G161" t="inlineStr">
        <is>
          <t>HÖGSBY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46242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46242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46242</v>
      </c>
      <c r="F164" t="inlineStr">
        <is>
          <t>KALMAR LÄN</t>
        </is>
      </c>
      <c r="G164" t="inlineStr">
        <is>
          <t>HÖGSBY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46242</v>
      </c>
      <c r="F165" t="inlineStr">
        <is>
          <t>KALMAR LÄN</t>
        </is>
      </c>
      <c r="G165" t="inlineStr">
        <is>
          <t>HÖGSBY</t>
        </is>
      </c>
      <c r="I165" t="n">
        <v>12.8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73709-2021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46242</v>
      </c>
      <c r="F166" t="inlineStr">
        <is>
          <t>KALMAR LÄN</t>
        </is>
      </c>
      <c r="G166" t="inlineStr">
        <is>
          <t>HÖGSBY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45743</v>
      </c>
      <c r="E167" s="1" t="n">
        <v>46242</v>
      </c>
      <c r="F167" t="inlineStr">
        <is>
          <t>KALMAR LÄN</t>
        </is>
      </c>
      <c r="G167" t="inlineStr">
        <is>
          <t>HÖGSBY</t>
        </is>
      </c>
      <c r="H167" t="inlineStr">
        <is>
          <t>Kommuner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46242</v>
      </c>
      <c r="F168" t="inlineStr">
        <is>
          <t>KALMAR LÄN</t>
        </is>
      </c>
      <c r="G168" t="inlineStr">
        <is>
          <t>HÖGSBY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46242</v>
      </c>
      <c r="F169" t="inlineStr">
        <is>
          <t>KALMAR LÄN</t>
        </is>
      </c>
      <c r="G169" t="inlineStr">
        <is>
          <t>HÖGSBY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46242</v>
      </c>
      <c r="F170" t="inlineStr">
        <is>
          <t>KALMAR LÄN</t>
        </is>
      </c>
      <c r="G170" t="inlineStr">
        <is>
          <t>HÖGSBY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46242</v>
      </c>
      <c r="F171" t="inlineStr">
        <is>
          <t>KALMAR LÄN</t>
        </is>
      </c>
      <c r="G171" t="inlineStr">
        <is>
          <t>HÖGSBY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46107</v>
      </c>
      <c r="E172" s="1" t="n">
        <v>46242</v>
      </c>
      <c r="F172" t="inlineStr">
        <is>
          <t>KALMAR LÄN</t>
        </is>
      </c>
      <c r="G172" t="inlineStr">
        <is>
          <t>HÖGSBY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46242</v>
      </c>
      <c r="F173" t="inlineStr">
        <is>
          <t>KALMAR LÄN</t>
        </is>
      </c>
      <c r="G173" t="inlineStr">
        <is>
          <t>HÖGSBY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46242</v>
      </c>
      <c r="F174" t="inlineStr">
        <is>
          <t>KALMAR LÄN</t>
        </is>
      </c>
      <c r="G174" t="inlineStr">
        <is>
          <t>HÖGSBY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46242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45259</v>
      </c>
      <c r="E176" s="1" t="n">
        <v>46242</v>
      </c>
      <c r="F176" t="inlineStr">
        <is>
          <t>KALMAR LÄN</t>
        </is>
      </c>
      <c r="G176" t="inlineStr">
        <is>
          <t>HÖGSBY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46114</v>
      </c>
      <c r="E177" s="1" t="n">
        <v>46242</v>
      </c>
      <c r="F177" t="inlineStr">
        <is>
          <t>KALMAR LÄN</t>
        </is>
      </c>
      <c r="G177" t="inlineStr">
        <is>
          <t>HÖGSBY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46242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46242</v>
      </c>
      <c r="F179" t="inlineStr">
        <is>
          <t>KALMAR LÄN</t>
        </is>
      </c>
      <c r="G179" t="inlineStr">
        <is>
          <t>HÖGSBY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46242</v>
      </c>
      <c r="F180" t="inlineStr">
        <is>
          <t>KALMAR LÄN</t>
        </is>
      </c>
      <c r="G180" t="inlineStr">
        <is>
          <t>HÖGSBY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46242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45546</v>
      </c>
      <c r="E182" s="1" t="n">
        <v>46242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46242</v>
      </c>
      <c r="F183" t="inlineStr">
        <is>
          <t>KALMAR LÄN</t>
        </is>
      </c>
      <c r="G183" t="inlineStr">
        <is>
          <t>HÖGSBY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46242</v>
      </c>
      <c r="F184" t="inlineStr">
        <is>
          <t>KALMAR LÄN</t>
        </is>
      </c>
      <c r="G184" t="inlineStr">
        <is>
          <t>HÖGSBY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46242</v>
      </c>
      <c r="F185" t="inlineStr">
        <is>
          <t>KALMAR LÄN</t>
        </is>
      </c>
      <c r="G185" t="inlineStr">
        <is>
          <t>HÖGSBY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46242</v>
      </c>
      <c r="F186" t="inlineStr">
        <is>
          <t>KALMAR LÄN</t>
        </is>
      </c>
      <c r="G186" t="inlineStr">
        <is>
          <t>HÖGSBY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46242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46242</v>
      </c>
      <c r="F188" t="inlineStr">
        <is>
          <t>KALMAR LÄN</t>
        </is>
      </c>
      <c r="G188" t="inlineStr">
        <is>
          <t>HÖGSBY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46242</v>
      </c>
      <c r="F189" t="inlineStr">
        <is>
          <t>KALMAR LÄN</t>
        </is>
      </c>
      <c r="G189" t="inlineStr">
        <is>
          <t>HÖGSBY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71635-2021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44543</v>
      </c>
      <c r="E190" s="1" t="n">
        <v>46242</v>
      </c>
      <c r="F190" t="inlineStr">
        <is>
          <t>KALMAR LÄN</t>
        </is>
      </c>
      <c r="G190" t="inlineStr">
        <is>
          <t>HÖGSBY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46242</v>
      </c>
      <c r="F191" t="inlineStr">
        <is>
          <t>KALMAR LÄN</t>
        </is>
      </c>
      <c r="G191" t="inlineStr">
        <is>
          <t>HÖGSBY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45228</v>
      </c>
      <c r="E192" s="1" t="n">
        <v>46242</v>
      </c>
      <c r="F192" t="inlineStr">
        <is>
          <t>KALMAR LÄN</t>
        </is>
      </c>
      <c r="G192" t="inlineStr">
        <is>
          <t>HÖGSBY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46242</v>
      </c>
      <c r="F193" t="inlineStr">
        <is>
          <t>KALMAR LÄN</t>
        </is>
      </c>
      <c r="G193" t="inlineStr">
        <is>
          <t>HÖGSBY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58017-2025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45982</v>
      </c>
      <c r="E194" s="1" t="n">
        <v>46242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46242</v>
      </c>
      <c r="F195" t="inlineStr">
        <is>
          <t>KALMAR LÄN</t>
        </is>
      </c>
      <c r="G195" t="inlineStr">
        <is>
          <t>HÖGSBY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46242</v>
      </c>
      <c r="F196" t="inlineStr">
        <is>
          <t>KALMAR LÄN</t>
        </is>
      </c>
      <c r="G196" t="inlineStr">
        <is>
          <t>HÖGSBY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46242</v>
      </c>
      <c r="F197" t="inlineStr">
        <is>
          <t>KALMAR LÄN</t>
        </is>
      </c>
      <c r="G197" t="inlineStr">
        <is>
          <t>HÖGSBY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45988</v>
      </c>
      <c r="E198" s="1" t="n">
        <v>46242</v>
      </c>
      <c r="F198" t="inlineStr">
        <is>
          <t>KALMAR LÄN</t>
        </is>
      </c>
      <c r="G198" t="inlineStr">
        <is>
          <t>HÖGSBY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46242</v>
      </c>
      <c r="F199" t="inlineStr">
        <is>
          <t>KALMAR LÄN</t>
        </is>
      </c>
      <c r="G199" t="inlineStr">
        <is>
          <t>HÖGSBY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46242</v>
      </c>
      <c r="F200" t="inlineStr">
        <is>
          <t>KALMAR LÄN</t>
        </is>
      </c>
      <c r="G200" t="inlineStr">
        <is>
          <t>HÖGSBY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46242</v>
      </c>
      <c r="F201" t="inlineStr">
        <is>
          <t>KALMAR LÄN</t>
        </is>
      </c>
      <c r="G201" t="inlineStr">
        <is>
          <t>HÖGSBY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45793</v>
      </c>
      <c r="E202" s="1" t="n">
        <v>46242</v>
      </c>
      <c r="F202" t="inlineStr">
        <is>
          <t>KALMAR LÄN</t>
        </is>
      </c>
      <c r="G202" t="inlineStr">
        <is>
          <t>HÖGSBY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46242</v>
      </c>
      <c r="F203" t="inlineStr">
        <is>
          <t>KALMAR LÄN</t>
        </is>
      </c>
      <c r="G203" t="inlineStr">
        <is>
          <t>HÖGSBY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46242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46242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45702</v>
      </c>
      <c r="E206" s="1" t="n">
        <v>46242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46242</v>
      </c>
      <c r="F207" t="inlineStr">
        <is>
          <t>KALMAR LÄN</t>
        </is>
      </c>
      <c r="G207" t="inlineStr">
        <is>
          <t>HÖGSBY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46242</v>
      </c>
      <c r="F208" t="inlineStr">
        <is>
          <t>KALMAR LÄN</t>
        </is>
      </c>
      <c r="G208" t="inlineStr">
        <is>
          <t>HÖGSBY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46242</v>
      </c>
      <c r="F209" t="inlineStr">
        <is>
          <t>KALMAR LÄN</t>
        </is>
      </c>
      <c r="G209" t="inlineStr">
        <is>
          <t>HÖGSBY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46242</v>
      </c>
      <c r="F210" t="inlineStr">
        <is>
          <t>KALMAR LÄN</t>
        </is>
      </c>
      <c r="G210" t="inlineStr">
        <is>
          <t>HÖGSBY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46242</v>
      </c>
      <c r="F211" t="inlineStr">
        <is>
          <t>KALMAR LÄN</t>
        </is>
      </c>
      <c r="G211" t="inlineStr">
        <is>
          <t>HÖGSBY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46242</v>
      </c>
      <c r="F212" t="inlineStr">
        <is>
          <t>KALMAR LÄN</t>
        </is>
      </c>
      <c r="G212" t="inlineStr">
        <is>
          <t>HÖGSBY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46242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46242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46242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46242</v>
      </c>
      <c r="F216" t="inlineStr">
        <is>
          <t>KALMAR LÄN</t>
        </is>
      </c>
      <c r="G216" t="inlineStr">
        <is>
          <t>HÖGSBY</t>
        </is>
      </c>
      <c r="H216" t="inlineStr">
        <is>
          <t>Sveaskog</t>
        </is>
      </c>
      <c r="I216" t="n">
        <v>10.9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46242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44809</v>
      </c>
      <c r="E218" s="1" t="n">
        <v>46242</v>
      </c>
      <c r="F218" t="inlineStr">
        <is>
          <t>KALMAR LÄN</t>
        </is>
      </c>
      <c r="G218" t="inlineStr">
        <is>
          <t>HÖGSBY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44725</v>
      </c>
      <c r="E219" s="1" t="n">
        <v>46242</v>
      </c>
      <c r="F219" t="inlineStr">
        <is>
          <t>KALMAR LÄN</t>
        </is>
      </c>
      <c r="G219" t="inlineStr">
        <is>
          <t>HÖGSBY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46242</v>
      </c>
      <c r="F220" t="inlineStr">
        <is>
          <t>KALMAR LÄN</t>
        </is>
      </c>
      <c r="G220" t="inlineStr">
        <is>
          <t>HÖGSBY</t>
        </is>
      </c>
      <c r="H220" t="inlineStr">
        <is>
          <t>Kommuner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46242</v>
      </c>
      <c r="F221" t="inlineStr">
        <is>
          <t>KALMAR LÄN</t>
        </is>
      </c>
      <c r="G221" t="inlineStr">
        <is>
          <t>HÖGSBY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46242</v>
      </c>
      <c r="F222" t="inlineStr">
        <is>
          <t>KALMAR LÄN</t>
        </is>
      </c>
      <c r="G222" t="inlineStr">
        <is>
          <t>HÖGSBY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46242</v>
      </c>
      <c r="F223" t="inlineStr">
        <is>
          <t>KALMAR LÄN</t>
        </is>
      </c>
      <c r="G223" t="inlineStr">
        <is>
          <t>HÖGSBY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62563-2025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46242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46242</v>
      </c>
      <c r="F225" t="inlineStr">
        <is>
          <t>KALMAR LÄN</t>
        </is>
      </c>
      <c r="G225" t="inlineStr">
        <is>
          <t>HÖGSBY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46242</v>
      </c>
      <c r="F226" t="inlineStr">
        <is>
          <t>KALMAR LÄN</t>
        </is>
      </c>
      <c r="G226" t="inlineStr">
        <is>
          <t>HÖGSBY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62720-2025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46008</v>
      </c>
      <c r="E227" s="1" t="n">
        <v>46242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62722-2025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46008</v>
      </c>
      <c r="E228" s="1" t="n">
        <v>46242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45804</v>
      </c>
      <c r="E229" s="1" t="n">
        <v>46242</v>
      </c>
      <c r="F229" t="inlineStr">
        <is>
          <t>KALMAR LÄN</t>
        </is>
      </c>
      <c r="G229" t="inlineStr">
        <is>
          <t>HÖGSBY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46242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46242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46242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63483-2025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46242</v>
      </c>
      <c r="F233" t="inlineStr">
        <is>
          <t>KALMAR LÄN</t>
        </is>
      </c>
      <c r="G233" t="inlineStr">
        <is>
          <t>HÖGSBY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46242</v>
      </c>
      <c r="F234" t="inlineStr">
        <is>
          <t>KALMAR LÄN</t>
        </is>
      </c>
      <c r="G234" t="inlineStr">
        <is>
          <t>HÖGSBY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46242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46242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46242</v>
      </c>
      <c r="F237" t="inlineStr">
        <is>
          <t>KALMAR LÄN</t>
        </is>
      </c>
      <c r="G237" t="inlineStr">
        <is>
          <t>HÖGSBY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44809</v>
      </c>
      <c r="E238" s="1" t="n">
        <v>46242</v>
      </c>
      <c r="F238" t="inlineStr">
        <is>
          <t>KALMAR LÄN</t>
        </is>
      </c>
      <c r="G238" t="inlineStr">
        <is>
          <t>HÖGSBY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44981</v>
      </c>
      <c r="E239" s="1" t="n">
        <v>46242</v>
      </c>
      <c r="F239" t="inlineStr">
        <is>
          <t>KALMAR LÄN</t>
        </is>
      </c>
      <c r="G239" t="inlineStr">
        <is>
          <t>HÖGSBY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45034</v>
      </c>
      <c r="E240" s="1" t="n">
        <v>46242</v>
      </c>
      <c r="F240" t="inlineStr">
        <is>
          <t>KALMAR LÄN</t>
        </is>
      </c>
      <c r="G240" t="inlineStr">
        <is>
          <t>HÖGSBY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46242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45847</v>
      </c>
      <c r="E242" s="1" t="n">
        <v>46242</v>
      </c>
      <c r="F242" t="inlineStr">
        <is>
          <t>KALMAR LÄN</t>
        </is>
      </c>
      <c r="G242" t="inlineStr">
        <is>
          <t>HÖGSBY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45247</v>
      </c>
      <c r="E243" s="1" t="n">
        <v>46242</v>
      </c>
      <c r="F243" t="inlineStr">
        <is>
          <t>KALMAR LÄN</t>
        </is>
      </c>
      <c r="G243" t="inlineStr">
        <is>
          <t>HÖGSBY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44861</v>
      </c>
      <c r="E244" s="1" t="n">
        <v>46242</v>
      </c>
      <c r="F244" t="inlineStr">
        <is>
          <t>KALMAR LÄN</t>
        </is>
      </c>
      <c r="G244" t="inlineStr">
        <is>
          <t>HÖGSBY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45847</v>
      </c>
      <c r="E245" s="1" t="n">
        <v>46242</v>
      </c>
      <c r="F245" t="inlineStr">
        <is>
          <t>KALMAR LÄN</t>
        </is>
      </c>
      <c r="G245" t="inlineStr">
        <is>
          <t>HÖGSBY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46242</v>
      </c>
      <c r="F246" t="inlineStr">
        <is>
          <t>KALMAR LÄN</t>
        </is>
      </c>
      <c r="G246" t="inlineStr">
        <is>
          <t>HÖGSBY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46242</v>
      </c>
      <c r="F247" t="inlineStr">
        <is>
          <t>KALMAR LÄN</t>
        </is>
      </c>
      <c r="G247" t="inlineStr">
        <is>
          <t>HÖGSBY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46242</v>
      </c>
      <c r="F248" t="inlineStr">
        <is>
          <t>KALMAR LÄN</t>
        </is>
      </c>
      <c r="G248" t="inlineStr">
        <is>
          <t>HÖGSBY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46242</v>
      </c>
      <c r="F249" t="inlineStr">
        <is>
          <t>KALMAR LÄN</t>
        </is>
      </c>
      <c r="G249" t="inlineStr">
        <is>
          <t>HÖGSBY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46242</v>
      </c>
      <c r="F250" t="inlineStr">
        <is>
          <t>KALMAR LÄN</t>
        </is>
      </c>
      <c r="G250" t="inlineStr">
        <is>
          <t>HÖGSBY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46242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46242</v>
      </c>
      <c r="F252" t="inlineStr">
        <is>
          <t>KALMAR LÄN</t>
        </is>
      </c>
      <c r="G252" t="inlineStr">
        <is>
          <t>HÖGSBY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46242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45614</v>
      </c>
      <c r="E254" s="1" t="n">
        <v>46242</v>
      </c>
      <c r="F254" t="inlineStr">
        <is>
          <t>KALMAR LÄN</t>
        </is>
      </c>
      <c r="G254" t="inlineStr">
        <is>
          <t>HÖGSBY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22562-2026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46155</v>
      </c>
      <c r="E255" s="1" t="n">
        <v>46242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22564-2026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46155</v>
      </c>
      <c r="E256" s="1" t="n">
        <v>46242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46242</v>
      </c>
      <c r="F257" t="inlineStr">
        <is>
          <t>KALMAR LÄN</t>
        </is>
      </c>
      <c r="G257" t="inlineStr">
        <is>
          <t>HÖGSBY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46242</v>
      </c>
      <c r="F258" t="inlineStr">
        <is>
          <t>KALMAR LÄN</t>
        </is>
      </c>
      <c r="G258" t="inlineStr">
        <is>
          <t>HÖGSBY</t>
        </is>
      </c>
      <c r="H258" t="inlineStr">
        <is>
          <t>Kyrkan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46242</v>
      </c>
      <c r="F259" t="inlineStr">
        <is>
          <t>KALMAR LÄN</t>
        </is>
      </c>
      <c r="G259" t="inlineStr">
        <is>
          <t>HÖGSBY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46157</v>
      </c>
      <c r="E260" s="1" t="n">
        <v>46242</v>
      </c>
      <c r="F260" t="inlineStr">
        <is>
          <t>KALMAR LÄN</t>
        </is>
      </c>
      <c r="G260" t="inlineStr">
        <is>
          <t>HÖGSBY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46157</v>
      </c>
      <c r="E261" s="1" t="n">
        <v>46242</v>
      </c>
      <c r="F261" t="inlineStr">
        <is>
          <t>KALMAR LÄN</t>
        </is>
      </c>
      <c r="G261" t="inlineStr">
        <is>
          <t>HÖGSBY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46242</v>
      </c>
      <c r="F262" t="inlineStr">
        <is>
          <t>KALMAR LÄN</t>
        </is>
      </c>
      <c r="G262" t="inlineStr">
        <is>
          <t>HÖGSBY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57006-2024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45626</v>
      </c>
      <c r="E263" s="1" t="n">
        <v>46242</v>
      </c>
      <c r="F263" t="inlineStr">
        <is>
          <t>KALMAR LÄN</t>
        </is>
      </c>
      <c r="G263" t="inlineStr">
        <is>
          <t>HÖGSBY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46242</v>
      </c>
      <c r="F264" t="inlineStr">
        <is>
          <t>KALMAR LÄN</t>
        </is>
      </c>
      <c r="G264" t="inlineStr">
        <is>
          <t>HÖGSBY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60853-2021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46242</v>
      </c>
      <c r="F265" t="inlineStr">
        <is>
          <t>KALMAR LÄN</t>
        </is>
      </c>
      <c r="G265" t="inlineStr">
        <is>
          <t>HÖGSBY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46242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46242</v>
      </c>
      <c r="F267" t="inlineStr">
        <is>
          <t>KALMAR LÄN</t>
        </is>
      </c>
      <c r="G267" t="inlineStr">
        <is>
          <t>HÖGSBY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45274</v>
      </c>
      <c r="E268" s="1" t="n">
        <v>46242</v>
      </c>
      <c r="F268" t="inlineStr">
        <is>
          <t>KALMAR LÄN</t>
        </is>
      </c>
      <c r="G268" t="inlineStr">
        <is>
          <t>HÖGSBY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54238-2021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44470</v>
      </c>
      <c r="E269" s="1" t="n">
        <v>46242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46162</v>
      </c>
      <c r="E270" s="1" t="n">
        <v>46242</v>
      </c>
      <c r="F270" t="inlineStr">
        <is>
          <t>KALMAR LÄN</t>
        </is>
      </c>
      <c r="G270" t="inlineStr">
        <is>
          <t>HÖGSBY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46206</v>
      </c>
      <c r="E271" s="1" t="n">
        <v>46242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23937-2026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46167</v>
      </c>
      <c r="E272" s="1" t="n">
        <v>46242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46242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46242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46242</v>
      </c>
      <c r="F275" t="inlineStr">
        <is>
          <t>KALMAR LÄN</t>
        </is>
      </c>
      <c r="G275" t="inlineStr">
        <is>
          <t>HÖGSBY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46242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10.7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46206</v>
      </c>
      <c r="E277" s="1" t="n">
        <v>46242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46206</v>
      </c>
      <c r="E278" s="1" t="n">
        <v>46242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46169</v>
      </c>
      <c r="E279" s="1" t="n">
        <v>46242</v>
      </c>
      <c r="F279" t="inlineStr">
        <is>
          <t>KALMAR LÄN</t>
        </is>
      </c>
      <c r="G279" t="inlineStr">
        <is>
          <t>HÖGSBY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13808-2024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45391</v>
      </c>
      <c r="E280" s="1" t="n">
        <v>46242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24601-2024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45460</v>
      </c>
      <c r="E281" s="1" t="n">
        <v>46242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38068-2025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45882</v>
      </c>
      <c r="E282" s="1" t="n">
        <v>46242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46242</v>
      </c>
      <c r="F283" t="inlineStr">
        <is>
          <t>KALMAR LÄN</t>
        </is>
      </c>
      <c r="G283" t="inlineStr">
        <is>
          <t>HÖGSBY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45058</v>
      </c>
      <c r="E284" s="1" t="n">
        <v>46242</v>
      </c>
      <c r="F284" t="inlineStr">
        <is>
          <t>KALMAR LÄN</t>
        </is>
      </c>
      <c r="G284" t="inlineStr">
        <is>
          <t>HÖGSBY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14326-2025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46242</v>
      </c>
      <c r="F285" t="inlineStr">
        <is>
          <t>KALMAR LÄN</t>
        </is>
      </c>
      <c r="G285" t="inlineStr">
        <is>
          <t>HÖGSBY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46242</v>
      </c>
      <c r="F286" t="inlineStr">
        <is>
          <t>KALMAR LÄN</t>
        </is>
      </c>
      <c r="G286" t="inlineStr">
        <is>
          <t>HÖGSBY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46176</v>
      </c>
      <c r="E287" s="1" t="n">
        <v>46242</v>
      </c>
      <c r="F287" t="inlineStr">
        <is>
          <t>KALMAR LÄN</t>
        </is>
      </c>
      <c r="G287" t="inlineStr">
        <is>
          <t>HÖGSBY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8613-2022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44613</v>
      </c>
      <c r="E288" s="1" t="n">
        <v>46242</v>
      </c>
      <c r="F288" t="inlineStr">
        <is>
          <t>KALMAR LÄN</t>
        </is>
      </c>
      <c r="G288" t="inlineStr">
        <is>
          <t>HÖGSBY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26545-2024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45469</v>
      </c>
      <c r="E289" s="1" t="n">
        <v>46242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45789</v>
      </c>
      <c r="E290" s="1" t="n">
        <v>46242</v>
      </c>
      <c r="F290" t="inlineStr">
        <is>
          <t>KALMAR LÄN</t>
        </is>
      </c>
      <c r="G290" t="inlineStr">
        <is>
          <t>HÖGSBY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46242</v>
      </c>
      <c r="F291" t="inlineStr">
        <is>
          <t>KALMAR LÄN</t>
        </is>
      </c>
      <c r="G291" t="inlineStr">
        <is>
          <t>HÖGSBY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45348</v>
      </c>
      <c r="E292" s="1" t="n">
        <v>46242</v>
      </c>
      <c r="F292" t="inlineStr">
        <is>
          <t>KALMAR LÄN</t>
        </is>
      </c>
      <c r="G292" t="inlineStr">
        <is>
          <t>HÖGSBY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46242</v>
      </c>
      <c r="F293" t="inlineStr">
        <is>
          <t>KALMAR LÄN</t>
        </is>
      </c>
      <c r="G293" t="inlineStr">
        <is>
          <t>HÖGSBY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46242</v>
      </c>
      <c r="F294" t="inlineStr">
        <is>
          <t>KALMAR LÄN</t>
        </is>
      </c>
      <c r="G294" t="inlineStr">
        <is>
          <t>HÖGSBY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44972</v>
      </c>
      <c r="E295" s="1" t="n">
        <v>46242</v>
      </c>
      <c r="F295" t="inlineStr">
        <is>
          <t>KALMAR LÄN</t>
        </is>
      </c>
      <c r="G295" t="inlineStr">
        <is>
          <t>HÖGSBY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46242</v>
      </c>
      <c r="F296" t="inlineStr">
        <is>
          <t>KALMAR LÄN</t>
        </is>
      </c>
      <c r="G296" t="inlineStr">
        <is>
          <t>HÖGSBY</t>
        </is>
      </c>
      <c r="I296" t="n">
        <v>11.6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53327-2022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46242</v>
      </c>
      <c r="F297" t="inlineStr">
        <is>
          <t>KALMAR LÄN</t>
        </is>
      </c>
      <c r="G297" t="inlineStr">
        <is>
          <t>HÖGSBY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45360</v>
      </c>
      <c r="E298" s="1" t="n">
        <v>46242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59409-2022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46242</v>
      </c>
      <c r="F299" t="inlineStr">
        <is>
          <t>KALMAR LÄN</t>
        </is>
      </c>
      <c r="G299" t="inlineStr">
        <is>
          <t>HÖGSBY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45588</v>
      </c>
      <c r="E300" s="1" t="n">
        <v>46242</v>
      </c>
      <c r="F300" t="inlineStr">
        <is>
          <t>KALMAR LÄN</t>
        </is>
      </c>
      <c r="G300" t="inlineStr">
        <is>
          <t>HÖGSBY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45447</v>
      </c>
      <c r="E301" s="1" t="n">
        <v>46242</v>
      </c>
      <c r="F301" t="inlineStr">
        <is>
          <t>KALMAR LÄN</t>
        </is>
      </c>
      <c r="G301" t="inlineStr">
        <is>
          <t>HÖGSBY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45126</v>
      </c>
      <c r="E302" s="1" t="n">
        <v>46242</v>
      </c>
      <c r="F302" t="inlineStr">
        <is>
          <t>KALMAR LÄN</t>
        </is>
      </c>
      <c r="G302" t="inlineStr">
        <is>
          <t>HÖGSBY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46242</v>
      </c>
      <c r="F303" t="inlineStr">
        <is>
          <t>KALMAR LÄN</t>
        </is>
      </c>
      <c r="G303" t="inlineStr">
        <is>
          <t>HÖGSBY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46242</v>
      </c>
      <c r="F304" t="inlineStr">
        <is>
          <t>KALMAR LÄN</t>
        </is>
      </c>
      <c r="G304" t="inlineStr">
        <is>
          <t>HÖGSBY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46242</v>
      </c>
      <c r="F305" t="inlineStr">
        <is>
          <t>KALMAR LÄN</t>
        </is>
      </c>
      <c r="G305" t="inlineStr">
        <is>
          <t>HÖGSBY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46242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46242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26764-2026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46242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46242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46242</v>
      </c>
      <c r="F310" t="inlineStr">
        <is>
          <t>KALMAR LÄN</t>
        </is>
      </c>
      <c r="G310" t="inlineStr">
        <is>
          <t>HÖGSBY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46242</v>
      </c>
      <c r="F311" t="inlineStr">
        <is>
          <t>KALMAR LÄN</t>
        </is>
      </c>
      <c r="G311" t="inlineStr">
        <is>
          <t>HÖGSBY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46242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46242</v>
      </c>
      <c r="F313" t="inlineStr">
        <is>
          <t>KALMAR LÄN</t>
        </is>
      </c>
      <c r="G313" t="inlineStr">
        <is>
          <t>HÖGSBY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46242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46242</v>
      </c>
      <c r="F315" t="inlineStr">
        <is>
          <t>KALMAR LÄN</t>
        </is>
      </c>
      <c r="G315" t="inlineStr">
        <is>
          <t>HÖGSBY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46242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47503-2023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45203</v>
      </c>
      <c r="E317" s="1" t="n">
        <v>46242</v>
      </c>
      <c r="F317" t="inlineStr">
        <is>
          <t>KALMAR LÄN</t>
        </is>
      </c>
      <c r="G317" t="inlineStr">
        <is>
          <t>HÖGSBY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46242</v>
      </c>
      <c r="F318" t="inlineStr">
        <is>
          <t>KALMAR LÄN</t>
        </is>
      </c>
      <c r="G318" t="inlineStr">
        <is>
          <t>HÖGSBY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45175</v>
      </c>
      <c r="E319" s="1" t="n">
        <v>46242</v>
      </c>
      <c r="F319" t="inlineStr">
        <is>
          <t>KALMAR LÄN</t>
        </is>
      </c>
      <c r="G319" t="inlineStr">
        <is>
          <t>HÖGSBY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38802-2024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45547</v>
      </c>
      <c r="E320" s="1" t="n">
        <v>46242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50458-2022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44866</v>
      </c>
      <c r="E321" s="1" t="n">
        <v>46242</v>
      </c>
      <c r="F321" t="inlineStr">
        <is>
          <t>KALMAR LÄN</t>
        </is>
      </c>
      <c r="G321" t="inlineStr">
        <is>
          <t>HÖGSBY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27812-2026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46242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46242</v>
      </c>
      <c r="F323" t="inlineStr">
        <is>
          <t>KALMAR LÄN</t>
        </is>
      </c>
      <c r="G323" t="inlineStr">
        <is>
          <t>HÖGSBY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46242</v>
      </c>
      <c r="F324" t="inlineStr">
        <is>
          <t>KALMAR LÄN</t>
        </is>
      </c>
      <c r="G324" t="inlineStr">
        <is>
          <t>HÖGSBY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46242</v>
      </c>
      <c r="F325" t="inlineStr">
        <is>
          <t>KALMAR LÄN</t>
        </is>
      </c>
      <c r="G325" t="inlineStr">
        <is>
          <t>HÖGSBY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46242</v>
      </c>
      <c r="F326" t="inlineStr">
        <is>
          <t>KALMAR LÄN</t>
        </is>
      </c>
      <c r="G326" t="inlineStr">
        <is>
          <t>HÖGSBY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60555-2021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44496</v>
      </c>
      <c r="E327" s="1" t="n">
        <v>46242</v>
      </c>
      <c r="F327" t="inlineStr">
        <is>
          <t>KALMAR LÄN</t>
        </is>
      </c>
      <c r="G327" t="inlineStr">
        <is>
          <t>HÖGSBY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46242</v>
      </c>
      <c r="F328" t="inlineStr">
        <is>
          <t>KALMAR LÄN</t>
        </is>
      </c>
      <c r="G328" t="inlineStr">
        <is>
          <t>HÖGSBY</t>
        </is>
      </c>
      <c r="H328" t="inlineStr">
        <is>
          <t>Kommuner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46242</v>
      </c>
      <c r="F329" t="inlineStr">
        <is>
          <t>KALMAR LÄN</t>
        </is>
      </c>
      <c r="G329" t="inlineStr">
        <is>
          <t>HÖGSBY</t>
        </is>
      </c>
      <c r="H329" t="inlineStr">
        <is>
          <t>Kommuner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28702-2026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46198</v>
      </c>
      <c r="E330" s="1" t="n">
        <v>46242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46242</v>
      </c>
      <c r="F331" t="inlineStr">
        <is>
          <t>KALMAR LÄN</t>
        </is>
      </c>
      <c r="G331" t="inlineStr">
        <is>
          <t>HÖGSBY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28692-2026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46198</v>
      </c>
      <c r="E332" s="1" t="n">
        <v>46242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28691-2026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46198</v>
      </c>
      <c r="E333" s="1" t="n">
        <v>46242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28697-2026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46198</v>
      </c>
      <c r="E334" s="1" t="n">
        <v>46242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46242</v>
      </c>
      <c r="F335" t="inlineStr">
        <is>
          <t>KALMAR LÄN</t>
        </is>
      </c>
      <c r="G335" t="inlineStr">
        <is>
          <t>HÖGSBY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46242</v>
      </c>
      <c r="F336" t="inlineStr">
        <is>
          <t>KALMAR LÄN</t>
        </is>
      </c>
      <c r="G336" t="inlineStr">
        <is>
          <t>HÖGSBY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46242</v>
      </c>
      <c r="F337" t="inlineStr">
        <is>
          <t>KALMAR LÄN</t>
        </is>
      </c>
      <c r="G337" t="inlineStr">
        <is>
          <t>HÖGSBY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28713-2026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46198</v>
      </c>
      <c r="E338" s="1" t="n">
        <v>46242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46242</v>
      </c>
      <c r="F339" t="inlineStr">
        <is>
          <t>KALMAR LÄN</t>
        </is>
      </c>
      <c r="G339" t="inlineStr">
        <is>
          <t>HÖGSBY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46242</v>
      </c>
      <c r="F340" t="inlineStr">
        <is>
          <t>KALMAR LÄN</t>
        </is>
      </c>
      <c r="G340" t="inlineStr">
        <is>
          <t>HÖGSBY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46242</v>
      </c>
      <c r="F341" t="inlineStr">
        <is>
          <t>KALMAR LÄN</t>
        </is>
      </c>
      <c r="G341" t="inlineStr">
        <is>
          <t>HÖGSBY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46242</v>
      </c>
      <c r="F342" t="inlineStr">
        <is>
          <t>KALMAR LÄN</t>
        </is>
      </c>
      <c r="G342" t="inlineStr">
        <is>
          <t>HÖGSBY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46242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30294-2022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44760</v>
      </c>
      <c r="E344" s="1" t="n">
        <v>46242</v>
      </c>
      <c r="F344" t="inlineStr">
        <is>
          <t>KALMAR LÄN</t>
        </is>
      </c>
      <c r="G344" t="inlineStr">
        <is>
          <t>HÖGSBY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44879</v>
      </c>
      <c r="E345" s="1" t="n">
        <v>46242</v>
      </c>
      <c r="F345" t="inlineStr">
        <is>
          <t>KALMAR LÄN</t>
        </is>
      </c>
      <c r="G345" t="inlineStr">
        <is>
          <t>HÖGSBY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44987</v>
      </c>
      <c r="E346" s="1" t="n">
        <v>46242</v>
      </c>
      <c r="F346" t="inlineStr">
        <is>
          <t>KALMAR LÄN</t>
        </is>
      </c>
      <c r="G346" t="inlineStr">
        <is>
          <t>HÖGSBY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45393</v>
      </c>
      <c r="E347" s="1" t="n">
        <v>46242</v>
      </c>
      <c r="F347" t="inlineStr">
        <is>
          <t>KALMAR LÄN</t>
        </is>
      </c>
      <c r="G347" t="inlineStr">
        <is>
          <t>HÖGSBY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62562-2022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44924</v>
      </c>
      <c r="E348" s="1" t="n">
        <v>46242</v>
      </c>
      <c r="F348" t="inlineStr">
        <is>
          <t>KALMAR LÄN</t>
        </is>
      </c>
      <c r="G348" t="inlineStr">
        <is>
          <t>HÖGSBY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45254</v>
      </c>
      <c r="E349" s="1" t="n">
        <v>46242</v>
      </c>
      <c r="F349" t="inlineStr">
        <is>
          <t>KALMAR LÄN</t>
        </is>
      </c>
      <c r="G349" t="inlineStr">
        <is>
          <t>HÖGSBY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45552</v>
      </c>
      <c r="E350" s="1" t="n">
        <v>46242</v>
      </c>
      <c r="F350" t="inlineStr">
        <is>
          <t>KALMAR LÄN</t>
        </is>
      </c>
      <c r="G350" t="inlineStr">
        <is>
          <t>HÖGSBY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44999</v>
      </c>
      <c r="E351" s="1" t="n">
        <v>46242</v>
      </c>
      <c r="F351" t="inlineStr">
        <is>
          <t>KALMAR LÄN</t>
        </is>
      </c>
      <c r="G351" t="inlineStr">
        <is>
          <t>HÖGSBY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44981</v>
      </c>
      <c r="E352" s="1" t="n">
        <v>46242</v>
      </c>
      <c r="F352" t="inlineStr">
        <is>
          <t>KALMAR LÄN</t>
        </is>
      </c>
      <c r="G352" t="inlineStr">
        <is>
          <t>HÖGSBY</t>
        </is>
      </c>
      <c r="H352" t="inlineStr">
        <is>
          <t>Övriga Aktiebolag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50428-2024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46242</v>
      </c>
      <c r="F353" t="inlineStr">
        <is>
          <t>KALMAR LÄN</t>
        </is>
      </c>
      <c r="G353" t="inlineStr">
        <is>
          <t>HÖGSBY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45546</v>
      </c>
      <c r="E354" s="1" t="n">
        <v>46242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45247</v>
      </c>
      <c r="E355" s="1" t="n">
        <v>46242</v>
      </c>
      <c r="F355" t="inlineStr">
        <is>
          <t>KALMAR LÄN</t>
        </is>
      </c>
      <c r="G355" t="inlineStr">
        <is>
          <t>HÖGSBY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65130-2023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45288</v>
      </c>
      <c r="E356" s="1" t="n">
        <v>46242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45341</v>
      </c>
      <c r="E357" s="1" t="n">
        <v>46242</v>
      </c>
      <c r="F357" t="inlineStr">
        <is>
          <t>KALMAR LÄN</t>
        </is>
      </c>
      <c r="G357" t="inlineStr">
        <is>
          <t>HÖGSBY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44861</v>
      </c>
      <c r="E358" s="1" t="n">
        <v>46242</v>
      </c>
      <c r="F358" t="inlineStr">
        <is>
          <t>KALMAR LÄN</t>
        </is>
      </c>
      <c r="G358" t="inlineStr">
        <is>
          <t>HÖGSBY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46242</v>
      </c>
      <c r="F359" t="inlineStr">
        <is>
          <t>KALMAR LÄN</t>
        </is>
      </c>
      <c r="G359" t="inlineStr">
        <is>
          <t>HÖGSBY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46242</v>
      </c>
      <c r="F360" t="inlineStr">
        <is>
          <t>KALMAR LÄN</t>
        </is>
      </c>
      <c r="G360" t="inlineStr">
        <is>
          <t>HÖGSBY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46242</v>
      </c>
      <c r="F361" t="inlineStr">
        <is>
          <t>KALMAR LÄN</t>
        </is>
      </c>
      <c r="G361" t="inlineStr">
        <is>
          <t>HÖGSBY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45239</v>
      </c>
      <c r="E362" s="1" t="n">
        <v>46242</v>
      </c>
      <c r="F362" t="inlineStr">
        <is>
          <t>KALMAR LÄN</t>
        </is>
      </c>
      <c r="G362" t="inlineStr">
        <is>
          <t>HÖGSBY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44907</v>
      </c>
      <c r="E363" s="1" t="n">
        <v>46242</v>
      </c>
      <c r="F363" t="inlineStr">
        <is>
          <t>KALMAR LÄN</t>
        </is>
      </c>
      <c r="G363" t="inlineStr">
        <is>
          <t>HÖGSBY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46242</v>
      </c>
      <c r="F364" t="inlineStr">
        <is>
          <t>KALMAR LÄN</t>
        </is>
      </c>
      <c r="G364" t="inlineStr">
        <is>
          <t>HÖGSBY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51624-2023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45222</v>
      </c>
      <c r="E365" s="1" t="n">
        <v>46242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46242</v>
      </c>
      <c r="F366" t="inlineStr">
        <is>
          <t>KALMAR LÄN</t>
        </is>
      </c>
      <c r="G366" t="inlineStr">
        <is>
          <t>HÖGSBY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46242</v>
      </c>
      <c r="F367" t="inlineStr">
        <is>
          <t>KALMAR LÄN</t>
        </is>
      </c>
      <c r="G367" t="inlineStr">
        <is>
          <t>HÖGSBY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44953</v>
      </c>
      <c r="E368" s="1" t="n">
        <v>46242</v>
      </c>
      <c r="F368" t="inlineStr">
        <is>
          <t>KALMAR LÄN</t>
        </is>
      </c>
      <c r="G368" t="inlineStr">
        <is>
          <t>HÖGSBY</t>
        </is>
      </c>
      <c r="H368" t="inlineStr">
        <is>
          <t>Övriga Aktiebolag</t>
        </is>
      </c>
      <c r="I368" t="n">
        <v>15.2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46242</v>
      </c>
      <c r="F369" t="inlineStr">
        <is>
          <t>KALMAR LÄN</t>
        </is>
      </c>
      <c r="G369" t="inlineStr">
        <is>
          <t>HÖGSBY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46242</v>
      </c>
      <c r="F370" t="inlineStr">
        <is>
          <t>KALMAR LÄN</t>
        </is>
      </c>
      <c r="G370" t="inlineStr">
        <is>
          <t>HÖGSBY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44939</v>
      </c>
      <c r="E371" s="1" t="n">
        <v>46242</v>
      </c>
      <c r="F371" t="inlineStr">
        <is>
          <t>KALMAR LÄN</t>
        </is>
      </c>
      <c r="G371" t="inlineStr">
        <is>
          <t>HÖGSBY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46242</v>
      </c>
      <c r="F372" t="inlineStr">
        <is>
          <t>KALMAR LÄN</t>
        </is>
      </c>
      <c r="G372" t="inlineStr">
        <is>
          <t>HÖGSBY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46329-2024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45581</v>
      </c>
      <c r="E373" s="1" t="n">
        <v>46242</v>
      </c>
      <c r="F373" t="inlineStr">
        <is>
          <t>KALMAR LÄN</t>
        </is>
      </c>
      <c r="G373" t="inlineStr">
        <is>
          <t>HÖGSBY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46242</v>
      </c>
      <c r="F374" t="inlineStr">
        <is>
          <t>KALMAR LÄN</t>
        </is>
      </c>
      <c r="G374" t="inlineStr">
        <is>
          <t>HÖGSBY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50367-2022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44866</v>
      </c>
      <c r="E375" s="1" t="n">
        <v>46242</v>
      </c>
      <c r="F375" t="inlineStr">
        <is>
          <t>KALMAR LÄN</t>
        </is>
      </c>
      <c r="G375" t="inlineStr">
        <is>
          <t>HÖGSBY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46242</v>
      </c>
      <c r="F376" t="inlineStr">
        <is>
          <t>KALMAR LÄN</t>
        </is>
      </c>
      <c r="G376" t="inlineStr">
        <is>
          <t>HÖGSBY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45307</v>
      </c>
      <c r="E377" s="1" t="n">
        <v>46242</v>
      </c>
      <c r="F377" t="inlineStr">
        <is>
          <t>KALMAR LÄN</t>
        </is>
      </c>
      <c r="G377" t="inlineStr">
        <is>
          <t>HÖGSBY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34078-2024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45523</v>
      </c>
      <c r="E378" s="1" t="n">
        <v>46242</v>
      </c>
      <c r="F378" t="inlineStr">
        <is>
          <t>KALMAR LÄN</t>
        </is>
      </c>
      <c r="G378" t="inlineStr">
        <is>
          <t>HÖGSBY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21569-2025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45782</v>
      </c>
      <c r="E379" s="1" t="n">
        <v>46242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46242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46242</v>
      </c>
      <c r="F381" t="inlineStr">
        <is>
          <t>KALMAR LÄN</t>
        </is>
      </c>
      <c r="G381" t="inlineStr">
        <is>
          <t>HÖGSBY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  <c r="Z381">
        <f>HYPERLINK("https://klasma.github.io/Logging_0821/knärot/A 40137-2024 karta knärot.png", "A 40137-2024")</f>
        <v/>
      </c>
      <c r="AA381">
        <f>HYPERLINK("https://klasma.github.io/Logging_0821/klagomål/A 40137-2024 FSC-klagomål.docx", "A 40137-2024")</f>
        <v/>
      </c>
      <c r="AB381">
        <f>HYPERLINK("https://klasma.github.io/Logging_0821/klagomålsmail/A 40137-2024 FSC-klagomål mail.docx", "A 40137-2024")</f>
        <v/>
      </c>
      <c r="AC381">
        <f>HYPERLINK("https://klasma.github.io/Logging_0821/tillsyn/A 40137-2024 tillsynsbegäran.docx", "A 40137-2024")</f>
        <v/>
      </c>
      <c r="AD381">
        <f>HYPERLINK("https://klasma.github.io/Logging_0821/tillsynsmail/A 40137-2024 tillsynsbegäran mail.docx", "A 40137-2024")</f>
        <v/>
      </c>
    </row>
    <row r="382" ht="15" customHeight="1">
      <c r="A382" t="inlineStr">
        <is>
          <t>A 24378-2025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45797</v>
      </c>
      <c r="E382" s="1" t="n">
        <v>46242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24013-2025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45796</v>
      </c>
      <c r="E383" s="1" t="n">
        <v>46242</v>
      </c>
      <c r="F383" t="inlineStr">
        <is>
          <t>KALMAR LÄN</t>
        </is>
      </c>
      <c r="G383" t="inlineStr">
        <is>
          <t>HÖGSBY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46242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46242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46242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46242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46242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46242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46242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46242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46242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5035-2024</t>
        </is>
      </c>
      <c r="B393" t="inlineStr">
        <is>
          <t>samrådsanmälan</t>
        </is>
      </c>
      <c r="C393" t="inlineStr">
        <is>
          <t>Stubbskörd</t>
        </is>
      </c>
      <c r="D393" s="1" t="n">
        <v>45636</v>
      </c>
      <c r="E393" s="1" t="n">
        <v>46242</v>
      </c>
      <c r="F393" t="inlineStr">
        <is>
          <t>KALMAR LÄN</t>
        </is>
      </c>
      <c r="G393" t="inlineStr">
        <is>
          <t>HÖGSBY</t>
        </is>
      </c>
      <c r="I393" t="n">
        <v>14.2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561-2022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46242</v>
      </c>
      <c r="F394" t="inlineStr">
        <is>
          <t>KALMAR LÄN</t>
        </is>
      </c>
      <c r="G394" t="inlineStr">
        <is>
          <t>HÖGSBY</t>
        </is>
      </c>
      <c r="I394" t="n">
        <v>30.3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2021-2025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45835</v>
      </c>
      <c r="E395" s="1" t="n">
        <v>46242</v>
      </c>
      <c r="F395" t="inlineStr">
        <is>
          <t>KALMAR LÄN</t>
        </is>
      </c>
      <c r="G395" t="inlineStr">
        <is>
          <t>HÖGSBY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379-2023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44958</v>
      </c>
      <c r="E396" s="1" t="n">
        <v>46242</v>
      </c>
      <c r="F396" t="inlineStr">
        <is>
          <t>KALMAR LÄN</t>
        </is>
      </c>
      <c r="G396" t="inlineStr">
        <is>
          <t>HÖGSBY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351-2023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44958</v>
      </c>
      <c r="E397" s="1" t="n">
        <v>46242</v>
      </c>
      <c r="F397" t="inlineStr">
        <is>
          <t>KALMAR LÄN</t>
        </is>
      </c>
      <c r="G397" t="inlineStr">
        <is>
          <t>HÖGSBY</t>
        </is>
      </c>
      <c r="I397" t="n">
        <v>21.3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2809-2025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45938</v>
      </c>
      <c r="E398" s="1" t="n">
        <v>46242</v>
      </c>
      <c r="F398" t="inlineStr">
        <is>
          <t>KALMAR LÄN</t>
        </is>
      </c>
      <c r="G398" t="inlineStr">
        <is>
          <t>HÖGSBY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1031-2026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46125</v>
      </c>
      <c r="E399" s="1" t="n">
        <v>46242</v>
      </c>
      <c r="F399" t="inlineStr">
        <is>
          <t>KALMAR LÄN</t>
        </is>
      </c>
      <c r="G399" t="inlineStr">
        <is>
          <t>HÖGSBY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1417-2026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46155</v>
      </c>
      <c r="E400" s="1" t="n">
        <v>46242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1418-2026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46155</v>
      </c>
      <c r="E401" s="1" t="n">
        <v>46242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1938-2026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46203</v>
      </c>
      <c r="E402" s="1" t="n">
        <v>46242</v>
      </c>
      <c r="F402" t="inlineStr">
        <is>
          <t>KALMAR LÄN</t>
        </is>
      </c>
      <c r="G402" t="inlineStr">
        <is>
          <t>HÖGSBY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46242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46242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46242</v>
      </c>
      <c r="F405" t="inlineStr">
        <is>
          <t>KALMAR LÄN</t>
        </is>
      </c>
      <c r="G405" t="inlineStr">
        <is>
          <t>HÖGSBY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1847-2026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46242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2026-08-08T01:54:14Z</dcterms:created>
  <dcterms:modified xmlns:dcterms="http://purl.org/dc/terms/" xmlns:xsi="http://www.w3.org/2001/XMLSchema-instance" xsi:type="dcterms:W3CDTF">2026-08-08T01:54:14Z</dcterms:modified>
</cp:coreProperties>
</file>