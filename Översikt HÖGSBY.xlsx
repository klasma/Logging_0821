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46290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46290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46290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46290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46290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46290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46290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46290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46290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46290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46290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46290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46290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46290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46290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46290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46290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46290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46290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46290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46290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46290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46290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46290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46290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46290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46290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46290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46290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46290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46290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46290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46290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46290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46290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46290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46290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46290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22757-2026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46290</v>
      </c>
      <c r="F46" t="inlineStr">
        <is>
          <t>KALMAR LÄN</t>
        </is>
      </c>
      <c r="G46" t="inlineStr">
        <is>
          <t>HÖGSBY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Blåsippa</t>
        </is>
      </c>
      <c r="W46">
        <f>HYPERLINK("https://klasma.github.io/Logging_0821/artfynd/A 22757-2026 artfynd.xlsx", "A 22757-2026")</f>
        <v/>
      </c>
      <c r="X46">
        <f>HYPERLINK("https://klasma.github.io/Logging_0821/kartor/A 22757-2026 karta.png", "A 22757-2026")</f>
        <v/>
      </c>
      <c r="Y46">
        <f>HYPERLINK("https://klasma.github.io/Logging_0821/kartor_geotiff/A 22757-2026 georefererad karta.tif", "A 22757-2026")</f>
        <v/>
      </c>
      <c r="AA46">
        <f>HYPERLINK("https://klasma.github.io/Logging_0821/klagomål/A 22757-2026 FSC-klagomål.docx", "A 22757-2026")</f>
        <v/>
      </c>
      <c r="AB46">
        <f>HYPERLINK("https://klasma.github.io/Logging_0821/klagomålsmail/A 22757-2026 FSC-klagomål mail.docx", "A 22757-2026")</f>
        <v/>
      </c>
      <c r="AC46">
        <f>HYPERLINK("https://klasma.github.io/Logging_0821/tillsyn/A 22757-2026 tillsynsbegäran.docx", "A 22757-2026")</f>
        <v/>
      </c>
      <c r="AD46">
        <f>HYPERLINK("https://klasma.github.io/Logging_0821/tillsynsmail/A 22757-2026 tillsynsbegäran mail.docx", "A 22757-2026")</f>
        <v/>
      </c>
    </row>
    <row r="47" ht="15" customHeight="1">
      <c r="A47" t="inlineStr">
        <is>
          <t>A 23859-2026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46290</v>
      </c>
      <c r="F47" t="inlineStr">
        <is>
          <t>KALMAR LÄN</t>
        </is>
      </c>
      <c r="G47" t="inlineStr">
        <is>
          <t>HÖGSBY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HYPERLINK("https://klasma.github.io/Logging_0821/artfynd/A 23859-2026 artfynd.xlsx", "A 23859-2026")</f>
        <v/>
      </c>
      <c r="X47">
        <f>HYPERLINK("https://klasma.github.io/Logging_0821/kartor/A 23859-2026 karta.png", "A 23859-2026")</f>
        <v/>
      </c>
      <c r="Y47">
        <f>HYPERLINK("https://klasma.github.io/Logging_0821/kartor_geotiff/A 23859-2026 georefererad karta.tif", "A 23859-2026")</f>
        <v/>
      </c>
      <c r="AA47">
        <f>HYPERLINK("https://klasma.github.io/Logging_0821/klagomål/A 23859-2026 FSC-klagomål.docx", "A 23859-2026")</f>
        <v/>
      </c>
      <c r="AB47">
        <f>HYPERLINK("https://klasma.github.io/Logging_0821/klagomålsmail/A 23859-2026 FSC-klagomål mail.docx", "A 23859-2026")</f>
        <v/>
      </c>
      <c r="AC47">
        <f>HYPERLINK("https://klasma.github.io/Logging_0821/tillsyn/A 23859-2026 tillsynsbegäran.docx", "A 23859-2026")</f>
        <v/>
      </c>
      <c r="AD47">
        <f>HYPERLINK("https://klasma.github.io/Logging_0821/tillsynsmail/A 23859-2026 tillsynsbegäran mail.docx", "A 23859-2026")</f>
        <v/>
      </c>
    </row>
    <row r="48" ht="15" customHeight="1">
      <c r="A48" t="inlineStr">
        <is>
          <t>A 24911-2023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46290</v>
      </c>
      <c r="F48" t="inlineStr">
        <is>
          <t>KALMAR LÄN</t>
        </is>
      </c>
      <c r="G48" t="inlineStr">
        <is>
          <t>HÖGSBY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Sotlav</t>
        </is>
      </c>
      <c r="W48">
        <f>HYPERLINK("https://klasma.github.io/Logging_0821/artfynd/A 24911-2023 artfynd.xlsx", "A 24911-2023")</f>
        <v/>
      </c>
      <c r="X48">
        <f>HYPERLINK("https://klasma.github.io/Logging_0821/kartor/A 24911-2023 karta.png", "A 24911-2023")</f>
        <v/>
      </c>
      <c r="Y48">
        <f>HYPERLINK("https://klasma.github.io/Logging_0821/kartor_geotiff/A 24911-2023 georefererad karta.tif", "A 24911-2023")</f>
        <v/>
      </c>
      <c r="AA48">
        <f>HYPERLINK("https://klasma.github.io/Logging_0821/klagomål/A 24911-2023 FSC-klagomål.docx", "A 24911-2023")</f>
        <v/>
      </c>
      <c r="AB48">
        <f>HYPERLINK("https://klasma.github.io/Logging_0821/klagomålsmail/A 24911-2023 FSC-klagomål mail.docx", "A 24911-2023")</f>
        <v/>
      </c>
      <c r="AC48">
        <f>HYPERLINK("https://klasma.github.io/Logging_0821/tillsyn/A 24911-2023 tillsynsbegäran.docx", "A 24911-2023")</f>
        <v/>
      </c>
      <c r="AD48">
        <f>HYPERLINK("https://klasma.github.io/Logging_0821/tillsynsmail/A 24911-2023 tillsynsbegäran mail.docx", "A 24911-2023")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46290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46290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46290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Mindre bastardsvärmare</t>
        </is>
      </c>
      <c r="W51">
        <f>HYPERLINK("https://klasma.github.io/Logging_0821/artfynd/A 17994-2026 artfynd.xlsx", "A 17994-2026")</f>
        <v/>
      </c>
      <c r="X51">
        <f>HYPERLINK("https://klasma.github.io/Logging_0821/kartor/A 17994-2026 karta.png", "A 17994-2026")</f>
        <v/>
      </c>
      <c r="Y51">
        <f>HYPERLINK("https://klasma.github.io/Logging_0821/kartor_geotiff/A 17994-2026 georefererad karta.tif", "A 17994-2026")</f>
        <v/>
      </c>
      <c r="AA51">
        <f>HYPERLINK("https://klasma.github.io/Logging_0821/klagomål/A 17994-2026 FSC-klagomål.docx", "A 17994-2026")</f>
        <v/>
      </c>
      <c r="AB51">
        <f>HYPERLINK("https://klasma.github.io/Logging_0821/klagomålsmail/A 17994-2026 FSC-klagomål mail.docx", "A 17994-2026")</f>
        <v/>
      </c>
      <c r="AC51">
        <f>HYPERLINK("https://klasma.github.io/Logging_0821/tillsyn/A 17994-2026 tillsynsbegäran.docx", "A 17994-2026")</f>
        <v/>
      </c>
      <c r="AD51">
        <f>HYPERLINK("https://klasma.github.io/Logging_0821/tillsynsmail/A 17994-2026 tillsynsbegäran mail.docx", "A 17994-2026")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46290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19463-2026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46290</v>
      </c>
      <c r="F53" t="inlineStr">
        <is>
          <t>KALMAR LÄN</t>
        </is>
      </c>
      <c r="G53" t="inlineStr">
        <is>
          <t>HÖGSBY</t>
        </is>
      </c>
      <c r="I53" t="n">
        <v>4.1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HYPERLINK("https://klasma.github.io/Logging_0821/artfynd/A 19463-2026 artfynd.xlsx", "A 19463-2026")</f>
        <v/>
      </c>
      <c r="X53">
        <f>HYPERLINK("https://klasma.github.io/Logging_0821/kartor/A 19463-2026 karta.png", "A 19463-2026")</f>
        <v/>
      </c>
      <c r="Y53">
        <f>HYPERLINK("https://klasma.github.io/Logging_0821/kartor_geotiff/A 19463-2026 georefererad karta.tif", "A 19463-2026")</f>
        <v/>
      </c>
      <c r="AA53">
        <f>HYPERLINK("https://klasma.github.io/Logging_0821/klagomål/A 19463-2026 FSC-klagomål.docx", "A 19463-2026")</f>
        <v/>
      </c>
      <c r="AB53">
        <f>HYPERLINK("https://klasma.github.io/Logging_0821/klagomålsmail/A 19463-2026 FSC-klagomål mail.docx", "A 19463-2026")</f>
        <v/>
      </c>
      <c r="AC53">
        <f>HYPERLINK("https://klasma.github.io/Logging_0821/tillsyn/A 19463-2026 tillsynsbegäran.docx", "A 19463-2026")</f>
        <v/>
      </c>
      <c r="AD53">
        <f>HYPERLINK("https://klasma.github.io/Logging_0821/tillsynsmail/A 19463-2026 tillsynsbegäran mail.docx", "A 19463-2026")</f>
        <v/>
      </c>
    </row>
    <row r="54" ht="15" customHeight="1">
      <c r="A54" t="inlineStr">
        <is>
          <t>A 35072-2023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46290</v>
      </c>
      <c r="F54" t="inlineStr">
        <is>
          <t>KALMAR LÄN</t>
        </is>
      </c>
      <c r="G54" t="inlineStr">
        <is>
          <t>HÖGSBY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35072-2023 artfynd.xlsx", "A 35072-2023")</f>
        <v/>
      </c>
      <c r="X54">
        <f>HYPERLINK("https://klasma.github.io/Logging_0821/kartor/A 35072-2023 karta.png", "A 35072-2023")</f>
        <v/>
      </c>
      <c r="Y54">
        <f>HYPERLINK("https://klasma.github.io/Logging_0821/kartor_geotiff/A 35072-2023 georefererad karta.tif", "A 35072-2023")</f>
        <v/>
      </c>
      <c r="AA54">
        <f>HYPERLINK("https://klasma.github.io/Logging_0821/klagomål/A 35072-2023 FSC-klagomål.docx", "A 35072-2023")</f>
        <v/>
      </c>
      <c r="AB54">
        <f>HYPERLINK("https://klasma.github.io/Logging_0821/klagomålsmail/A 35072-2023 FSC-klagomål mail.docx", "A 35072-2023")</f>
        <v/>
      </c>
      <c r="AC54">
        <f>HYPERLINK("https://klasma.github.io/Logging_0821/tillsyn/A 35072-2023 tillsynsbegäran.docx", "A 35072-2023")</f>
        <v/>
      </c>
      <c r="AD54">
        <f>HYPERLINK("https://klasma.github.io/Logging_0821/tillsynsmail/A 35072-2023 tillsynsbegäran mail.docx", "A 35072-2023")</f>
        <v/>
      </c>
    </row>
    <row r="55" ht="15" customHeight="1">
      <c r="A55" t="inlineStr">
        <is>
          <t>A 38802-2024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45547</v>
      </c>
      <c r="E55" s="1" t="n">
        <v>46290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HYPERLINK("https://klasma.github.io/Logging_0821/artfynd/A 38802-2024 artfynd.xlsx", "A 38802-2024")</f>
        <v/>
      </c>
      <c r="X55">
        <f>HYPERLINK("https://klasma.github.io/Logging_0821/kartor/A 38802-2024 karta.png", "A 38802-2024")</f>
        <v/>
      </c>
      <c r="Y55">
        <f>HYPERLINK("https://klasma.github.io/Logging_0821/kartor_geotiff/A 38802-2024 georefererad karta.tif", "A 38802-2024")</f>
        <v/>
      </c>
      <c r="AA55">
        <f>HYPERLINK("https://klasma.github.io/Logging_0821/klagomål/A 38802-2024 FSC-klagomål.docx", "A 38802-2024")</f>
        <v/>
      </c>
      <c r="AB55">
        <f>HYPERLINK("https://klasma.github.io/Logging_0821/klagomålsmail/A 38802-2024 FSC-klagomål mail.docx", "A 38802-2024")</f>
        <v/>
      </c>
      <c r="AC55">
        <f>HYPERLINK("https://klasma.github.io/Logging_0821/tillsyn/A 38802-2024 tillsynsbegäran.docx", "A 38802-2024")</f>
        <v/>
      </c>
      <c r="AD55">
        <f>HYPERLINK("https://klasma.github.io/Logging_0821/tillsynsmail/A 38802-2024 tillsynsbegäran mail.docx", "A 38802-2024")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46290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58792-2022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46290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58792-2022 artfynd.xlsx", "A 58792-2022")</f>
        <v/>
      </c>
      <c r="X57">
        <f>HYPERLINK("https://klasma.github.io/Logging_0821/kartor/A 58792-2022 karta.png", "A 58792-2022")</f>
        <v/>
      </c>
      <c r="Y57">
        <f>HYPERLINK("https://klasma.github.io/Logging_0821/kartor_geotiff/A 58792-2022 georefererad karta.tif", "A 58792-2022")</f>
        <v/>
      </c>
      <c r="AA57">
        <f>HYPERLINK("https://klasma.github.io/Logging_0821/klagomål/A 58792-2022 FSC-klagomål.docx", "A 58792-2022")</f>
        <v/>
      </c>
      <c r="AB57">
        <f>HYPERLINK("https://klasma.github.io/Logging_0821/klagomålsmail/A 58792-2022 FSC-klagomål mail.docx", "A 58792-2022")</f>
        <v/>
      </c>
      <c r="AC57">
        <f>HYPERLINK("https://klasma.github.io/Logging_0821/tillsyn/A 58792-2022 tillsynsbegäran.docx", "A 58792-2022")</f>
        <v/>
      </c>
      <c r="AD57">
        <f>HYPERLINK("https://klasma.github.io/Logging_0821/tillsynsmail/A 58792-2022 tillsynsbegäran mail.docx", "A 58792-2022")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46290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46290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46290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52177-2022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46290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Nordfladdermus</t>
        </is>
      </c>
      <c r="W61">
        <f>HYPERLINK("https://klasma.github.io/Logging_0821/artfynd/A 52177-2022 artfynd.xlsx", "A 52177-2022")</f>
        <v/>
      </c>
      <c r="X61">
        <f>HYPERLINK("https://klasma.github.io/Logging_0821/kartor/A 52177-2022 karta.png", "A 52177-2022")</f>
        <v/>
      </c>
      <c r="Y61">
        <f>HYPERLINK("https://klasma.github.io/Logging_0821/kartor_geotiff/A 52177-2022 georefererad karta.tif", "A 52177-2022")</f>
        <v/>
      </c>
      <c r="AA61">
        <f>HYPERLINK("https://klasma.github.io/Logging_0821/klagomål/A 52177-2022 FSC-klagomål.docx", "A 52177-2022")</f>
        <v/>
      </c>
      <c r="AB61">
        <f>HYPERLINK("https://klasma.github.io/Logging_0821/klagomålsmail/A 52177-2022 FSC-klagomål mail.docx", "A 52177-2022")</f>
        <v/>
      </c>
      <c r="AC61">
        <f>HYPERLINK("https://klasma.github.io/Logging_0821/tillsyn/A 52177-2022 tillsynsbegäran.docx", "A 52177-2022")</f>
        <v/>
      </c>
      <c r="AD61">
        <f>HYPERLINK("https://klasma.github.io/Logging_0821/tillsynsmail/A 52177-2022 tillsynsbegäran mail.docx", "A 52177-2022")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46290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46290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A 39491-2026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46289</v>
      </c>
      <c r="E64" s="1" t="n">
        <v>46290</v>
      </c>
      <c r="F64" t="inlineStr">
        <is>
          <t>KALMAR LÄN</t>
        </is>
      </c>
      <c r="G64" t="inlineStr">
        <is>
          <t>HÖGSBY</t>
        </is>
      </c>
      <c r="H64" t="inlineStr">
        <is>
          <t>Sveaskog</t>
        </is>
      </c>
      <c r="I64" t="n">
        <v>33.4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HYPERLINK("https://klasma.github.io/Logging_0821/artfynd/A 39491-2026 artfynd.xlsx", "A 39491-2026")</f>
        <v/>
      </c>
      <c r="X64">
        <f>HYPERLINK("https://klasma.github.io/Logging_0821/kartor/A 39491-2026 karta.png", "A 39491-2026")</f>
        <v/>
      </c>
      <c r="Y64">
        <f>HYPERLINK("https://klasma.github.io/Logging_0821/kartor_geotiff/A 39491-2026 georefererad karta.tif", "A 39491-2026")</f>
        <v/>
      </c>
      <c r="AA64">
        <f>HYPERLINK("https://klasma.github.io/Logging_0821/klagomål/A 39491-2026 FSC-klagomål.docx", "A 39491-2026")</f>
        <v/>
      </c>
      <c r="AB64">
        <f>HYPERLINK("https://klasma.github.io/Logging_0821/klagomålsmail/A 39491-2026 FSC-klagomål mail.docx", "A 39491-2026")</f>
        <v/>
      </c>
      <c r="AC64">
        <f>HYPERLINK("https://klasma.github.io/Logging_0821/tillsyn/A 39491-2026 tillsynsbegäran.docx", "A 39491-2026")</f>
        <v/>
      </c>
      <c r="AD64">
        <f>HYPERLINK("https://klasma.github.io/Logging_0821/tillsynsmail/A 39491-2026 tillsynsbegäran mail.docx", "A 39491-2026")</f>
        <v/>
      </c>
    </row>
    <row r="65" ht="15" customHeight="1">
      <c r="A65" t="inlineStr">
        <is>
          <t>S 352-2023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46290</v>
      </c>
      <c r="F65" t="inlineStr">
        <is>
          <t>KALMAR LÄN</t>
        </is>
      </c>
      <c r="G65" t="inlineStr">
        <is>
          <t>HÖGSBY</t>
        </is>
      </c>
      <c r="I65" t="n">
        <v>20.9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HYPERLINK("https://klasma.github.io/Logging_0821/artfynd/S 352-2023 artfynd.xlsx", "S 352-2023")</f>
        <v/>
      </c>
      <c r="X65">
        <f>HYPERLINK("https://klasma.github.io/Logging_0821/kartor/S 352-2023 karta.png", "S 352-2023")</f>
        <v/>
      </c>
      <c r="Y65">
        <f>HYPERLINK("https://klasma.github.io/Logging_0821/kartor_geotiff/S 352-2023 georefererad karta.tif", "S 352-2023")</f>
        <v/>
      </c>
      <c r="Z65">
        <f>HYPERLINK("https://klasma.github.io/Logging_0821/knärot/S 352-2023 karta knärot.png", "S 352-2023")</f>
        <v/>
      </c>
      <c r="AA65">
        <f>HYPERLINK("https://klasma.github.io/Logging_0821/klagomål/S 352-2023 FSC-klagomål.docx", "S 352-2023")</f>
        <v/>
      </c>
      <c r="AB65">
        <f>HYPERLINK("https://klasma.github.io/Logging_0821/klagomålsmail/S 352-2023 FSC-klagomål mail.docx", "S 352-2023")</f>
        <v/>
      </c>
      <c r="AC65">
        <f>HYPERLINK("https://klasma.github.io/Logging_0821/tillsyn/S 352-2023 tillsynsbegäran.docx", "S 352-2023")</f>
        <v/>
      </c>
      <c r="AD65">
        <f>HYPERLINK("https://klasma.github.io/Logging_0821/tillsynsmail/S 352-2023 tillsynsbegäran mail.docx", "S 352-2023")</f>
        <v/>
      </c>
      <c r="AE65">
        <f>HYPERLINK("https://klasma.github.io/Logging_0821/fåglar/S 352-2023 prioriterade fågelarter.docx", "S 352-2023")</f>
        <v/>
      </c>
    </row>
    <row r="66" ht="15" customHeight="1">
      <c r="A66" t="inlineStr">
        <is>
          <t>S 1694-2022</t>
        </is>
      </c>
      <c r="B66" t="inlineStr">
        <is>
          <t>samrådsanmälan</t>
        </is>
      </c>
      <c r="C66" t="inlineStr">
        <is>
          <t>Åtgärd i nyckelbiotop</t>
        </is>
      </c>
      <c r="D66" s="1" t="n">
        <v>44650</v>
      </c>
      <c r="E66" s="1" t="n">
        <v>46290</v>
      </c>
      <c r="F66" t="inlineStr">
        <is>
          <t>KALMAR LÄN</t>
        </is>
      </c>
      <c r="G66" t="inlineStr">
        <is>
          <t>HÖGSBY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Mistel</t>
        </is>
      </c>
      <c r="W66">
        <f>HYPERLINK("https://klasma.github.io/Logging_0821/artfynd/S 1694-2022 artfynd.xlsx", "S 1694-2022")</f>
        <v/>
      </c>
      <c r="X66">
        <f>HYPERLINK("https://klasma.github.io/Logging_0821/kartor/S 1694-2022 karta.png", "S 1694-2022")</f>
        <v/>
      </c>
      <c r="Y66">
        <f>HYPERLINK("https://klasma.github.io/Logging_0821/kartor_geotiff/S 1694-2022 georefererad karta.tif", "S 1694-2022")</f>
        <v/>
      </c>
      <c r="AA66">
        <f>HYPERLINK("https://klasma.github.io/Logging_0821/klagomål/S 1694-2022 FSC-klagomål.docx", "S 1694-2022")</f>
        <v/>
      </c>
      <c r="AB66">
        <f>HYPERLINK("https://klasma.github.io/Logging_0821/klagomålsmail/S 1694-2022 FSC-klagomål mail.docx", "S 1694-2022")</f>
        <v/>
      </c>
      <c r="AC66">
        <f>HYPERLINK("https://klasma.github.io/Logging_0821/tillsyn/S 1694-2022 tillsynsbegäran.docx", "S 1694-2022")</f>
        <v/>
      </c>
      <c r="AD66">
        <f>HYPERLINK("https://klasma.github.io/Logging_0821/tillsynsmail/S 1694-2022 tillsynsbegäran mail.docx", "S 1694-2022")</f>
        <v/>
      </c>
    </row>
    <row r="67" ht="15" customHeight="1">
      <c r="A67" t="inlineStr">
        <is>
          <t>S 771-2022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44602</v>
      </c>
      <c r="E67" s="1" t="n">
        <v>46290</v>
      </c>
      <c r="F67" t="inlineStr">
        <is>
          <t>KALMAR LÄN</t>
        </is>
      </c>
      <c r="G67" t="inlineStr">
        <is>
          <t>HÖGSBY</t>
        </is>
      </c>
      <c r="I67" t="n">
        <v>129.1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Ögonpyrola</t>
        </is>
      </c>
      <c r="W67">
        <f>HYPERLINK("https://klasma.github.io/Logging_0821/artfynd/S 771-2022 artfynd.xlsx", "S 771-2022")</f>
        <v/>
      </c>
      <c r="X67">
        <f>HYPERLINK("https://klasma.github.io/Logging_0821/kartor/S 771-2022 karta.png", "S 771-2022")</f>
        <v/>
      </c>
      <c r="Y67">
        <f>HYPERLINK("https://klasma.github.io/Logging_0821/kartor_geotiff/S 771-2022 georefererad karta.tif", "S 771-2022")</f>
        <v/>
      </c>
      <c r="AA67">
        <f>HYPERLINK("https://klasma.github.io/Logging_0821/klagomål/S 771-2022 FSC-klagomål.docx", "S 771-2022")</f>
        <v/>
      </c>
      <c r="AB67">
        <f>HYPERLINK("https://klasma.github.io/Logging_0821/klagomålsmail/S 771-2022 FSC-klagomål mail.docx", "S 771-2022")</f>
        <v/>
      </c>
      <c r="AC67">
        <f>HYPERLINK("https://klasma.github.io/Logging_0821/tillsyn/S 771-2022 tillsynsbegäran.docx", "S 771-2022")</f>
        <v/>
      </c>
      <c r="AD67">
        <f>HYPERLINK("https://klasma.github.io/Logging_0821/tillsynsmail/S 771-2022 tillsynsbegäran mail.docx", "S 771-2022")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46290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46290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46290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46290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46290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46290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46290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46290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46290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46290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46290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46290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46290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46290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46290</v>
      </c>
      <c r="F82" t="inlineStr">
        <is>
          <t>KALMAR LÄN</t>
        </is>
      </c>
      <c r="G82" t="inlineStr">
        <is>
          <t>HÖGSBY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46290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46290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46290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46290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46290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46290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46290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46290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46290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46290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46290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46290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46290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46290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46290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46290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46290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46290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44886</v>
      </c>
      <c r="E101" s="1" t="n">
        <v>46290</v>
      </c>
      <c r="F101" t="inlineStr">
        <is>
          <t>KALMAR LÄN</t>
        </is>
      </c>
      <c r="G101" t="inlineStr">
        <is>
          <t>HÖGSBY</t>
        </is>
      </c>
      <c r="H101" t="inlineStr">
        <is>
          <t>Kyrkan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46290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46290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46290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46290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46290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46290</v>
      </c>
      <c r="F107" t="inlineStr">
        <is>
          <t>KALMAR LÄN</t>
        </is>
      </c>
      <c r="G107" t="inlineStr">
        <is>
          <t>HÖGSBY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46290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46290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46290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46290</v>
      </c>
      <c r="F111" t="inlineStr">
        <is>
          <t>KALMAR LÄN</t>
        </is>
      </c>
      <c r="G111" t="inlineStr">
        <is>
          <t>HÖGSBY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46290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46290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46290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46290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46290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46290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46290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46290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46290</v>
      </c>
      <c r="F120" t="inlineStr">
        <is>
          <t>KALMAR LÄN</t>
        </is>
      </c>
      <c r="G120" t="inlineStr">
        <is>
          <t>HÖGSBY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44987</v>
      </c>
      <c r="E121" s="1" t="n">
        <v>46290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46290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44861</v>
      </c>
      <c r="E123" s="1" t="n">
        <v>46290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46290</v>
      </c>
      <c r="F124" t="inlineStr">
        <is>
          <t>KALMAR LÄN</t>
        </is>
      </c>
      <c r="G124" t="inlineStr">
        <is>
          <t>HÖGSBY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46290</v>
      </c>
      <c r="F125" t="inlineStr">
        <is>
          <t>KALMAR LÄN</t>
        </is>
      </c>
      <c r="G125" t="inlineStr">
        <is>
          <t>HÖGSBY</t>
        </is>
      </c>
      <c r="H125" t="inlineStr">
        <is>
          <t>Kommuner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46290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46290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46290</v>
      </c>
      <c r="F128" t="inlineStr">
        <is>
          <t>KALMAR LÄN</t>
        </is>
      </c>
      <c r="G128" t="inlineStr">
        <is>
          <t>HÖGSBY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46290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46290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46290</v>
      </c>
      <c r="F131" t="inlineStr">
        <is>
          <t>KALMAR LÄN</t>
        </is>
      </c>
      <c r="G131" t="inlineStr">
        <is>
          <t>HÖGSBY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46290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46290</v>
      </c>
      <c r="F133" t="inlineStr">
        <is>
          <t>KALMAR LÄN</t>
        </is>
      </c>
      <c r="G133" t="inlineStr">
        <is>
          <t>HÖGSBY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46290</v>
      </c>
      <c r="F134" t="inlineStr">
        <is>
          <t>KALMAR LÄN</t>
        </is>
      </c>
      <c r="G134" t="inlineStr">
        <is>
          <t>HÖGSBY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46290</v>
      </c>
      <c r="F135" t="inlineStr">
        <is>
          <t>KALMAR LÄN</t>
        </is>
      </c>
      <c r="G135" t="inlineStr">
        <is>
          <t>HÖGSBY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46290</v>
      </c>
      <c r="F136" t="inlineStr">
        <is>
          <t>KALMAR LÄN</t>
        </is>
      </c>
      <c r="G136" t="inlineStr">
        <is>
          <t>HÖGSBY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46290</v>
      </c>
      <c r="F137" t="inlineStr">
        <is>
          <t>KALMAR LÄN</t>
        </is>
      </c>
      <c r="G137" t="inlineStr">
        <is>
          <t>HÖGSBY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46290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46290</v>
      </c>
      <c r="F139" t="inlineStr">
        <is>
          <t>KALMAR LÄN</t>
        </is>
      </c>
      <c r="G139" t="inlineStr">
        <is>
          <t>HÖGSBY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46290</v>
      </c>
      <c r="F140" t="inlineStr">
        <is>
          <t>KALMAR LÄN</t>
        </is>
      </c>
      <c r="G140" t="inlineStr">
        <is>
          <t>HÖGSBY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46290</v>
      </c>
      <c r="F141" t="inlineStr">
        <is>
          <t>KALMAR LÄN</t>
        </is>
      </c>
      <c r="G141" t="inlineStr">
        <is>
          <t>HÖGSBY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46290</v>
      </c>
      <c r="F142" t="inlineStr">
        <is>
          <t>KALMAR LÄN</t>
        </is>
      </c>
      <c r="G142" t="inlineStr">
        <is>
          <t>HÖGSBY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46290</v>
      </c>
      <c r="F143" t="inlineStr">
        <is>
          <t>KALMAR LÄN</t>
        </is>
      </c>
      <c r="G143" t="inlineStr">
        <is>
          <t>HÖGSBY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46290</v>
      </c>
      <c r="F144" t="inlineStr">
        <is>
          <t>KALMAR LÄN</t>
        </is>
      </c>
      <c r="G144" t="inlineStr">
        <is>
          <t>HÖGSBY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46290</v>
      </c>
      <c r="F145" t="inlineStr">
        <is>
          <t>KALMAR LÄN</t>
        </is>
      </c>
      <c r="G145" t="inlineStr">
        <is>
          <t>HÖGSBY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46290</v>
      </c>
      <c r="F146" t="inlineStr">
        <is>
          <t>KALMAR LÄN</t>
        </is>
      </c>
      <c r="G146" t="inlineStr">
        <is>
          <t>HÖGSBY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46290</v>
      </c>
      <c r="F147" t="inlineStr">
        <is>
          <t>KALMAR LÄN</t>
        </is>
      </c>
      <c r="G147" t="inlineStr">
        <is>
          <t>HÖGSBY</t>
        </is>
      </c>
      <c r="H147" t="inlineStr">
        <is>
          <t>Kommuner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46290</v>
      </c>
      <c r="F148" t="inlineStr">
        <is>
          <t>KALMAR LÄN</t>
        </is>
      </c>
      <c r="G148" t="inlineStr">
        <is>
          <t>HÖGSBY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32049-2023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45119</v>
      </c>
      <c r="E149" s="1" t="n">
        <v>46290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46290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38068-2025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45882</v>
      </c>
      <c r="E151" s="1" t="n">
        <v>46290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46290</v>
      </c>
      <c r="F152" t="inlineStr">
        <is>
          <t>KALMAR LÄN</t>
        </is>
      </c>
      <c r="G152" t="inlineStr">
        <is>
          <t>HÖGSBY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46290</v>
      </c>
      <c r="F153" t="inlineStr">
        <is>
          <t>KALMAR LÄN</t>
        </is>
      </c>
      <c r="G153" t="inlineStr">
        <is>
          <t>HÖGSBY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38824-2024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45547</v>
      </c>
      <c r="E154" s="1" t="n">
        <v>46290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46290</v>
      </c>
      <c r="F155" t="inlineStr">
        <is>
          <t>KALMAR LÄN</t>
        </is>
      </c>
      <c r="G155" t="inlineStr">
        <is>
          <t>HÖGSBY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28648-2023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45103</v>
      </c>
      <c r="E156" s="1" t="n">
        <v>46290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46290</v>
      </c>
      <c r="F157" t="inlineStr">
        <is>
          <t>KALMAR LÄN</t>
        </is>
      </c>
      <c r="G157" t="inlineStr">
        <is>
          <t>HÖGSBY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46290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46290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46290</v>
      </c>
      <c r="F160" t="inlineStr">
        <is>
          <t>KALMAR LÄN</t>
        </is>
      </c>
      <c r="G160" t="inlineStr">
        <is>
          <t>HÖGSBY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44552</v>
      </c>
      <c r="E161" s="1" t="n">
        <v>46290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44729</v>
      </c>
      <c r="E162" s="1" t="n">
        <v>46290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46290</v>
      </c>
      <c r="F163" t="inlineStr">
        <is>
          <t>KALMAR LÄN</t>
        </is>
      </c>
      <c r="G163" t="inlineStr">
        <is>
          <t>HÖGSBY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46290</v>
      </c>
      <c r="F164" t="inlineStr">
        <is>
          <t>KALMAR LÄN</t>
        </is>
      </c>
      <c r="G164" t="inlineStr">
        <is>
          <t>HÖGSBY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46290</v>
      </c>
      <c r="F165" t="inlineStr">
        <is>
          <t>KALMAR LÄN</t>
        </is>
      </c>
      <c r="G165" t="inlineStr">
        <is>
          <t>HÖGSBY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46290</v>
      </c>
      <c r="F166" t="inlineStr">
        <is>
          <t>KALMAR LÄN</t>
        </is>
      </c>
      <c r="G166" t="inlineStr">
        <is>
          <t>HÖGSBY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46290</v>
      </c>
      <c r="F167" t="inlineStr">
        <is>
          <t>KALMAR LÄN</t>
        </is>
      </c>
      <c r="G167" t="inlineStr">
        <is>
          <t>HÖGSBY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46290</v>
      </c>
      <c r="F168" t="inlineStr">
        <is>
          <t>KALMAR LÄN</t>
        </is>
      </c>
      <c r="G168" t="inlineStr">
        <is>
          <t>HÖGSBY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46290</v>
      </c>
      <c r="F169" t="inlineStr">
        <is>
          <t>KALMAR LÄN</t>
        </is>
      </c>
      <c r="G169" t="inlineStr">
        <is>
          <t>HÖGSBY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46290</v>
      </c>
      <c r="F170" t="inlineStr">
        <is>
          <t>KALMAR LÄN</t>
        </is>
      </c>
      <c r="G170" t="inlineStr">
        <is>
          <t>HÖGSBY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45707</v>
      </c>
      <c r="E171" s="1" t="n">
        <v>46290</v>
      </c>
      <c r="F171" t="inlineStr">
        <is>
          <t>KALMAR LÄN</t>
        </is>
      </c>
      <c r="G171" t="inlineStr">
        <is>
          <t>HÖGSBY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46290</v>
      </c>
      <c r="F172" t="inlineStr">
        <is>
          <t>KALMAR LÄN</t>
        </is>
      </c>
      <c r="G172" t="inlineStr">
        <is>
          <t>HÖGSBY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46290</v>
      </c>
      <c r="F173" t="inlineStr">
        <is>
          <t>KALMAR LÄN</t>
        </is>
      </c>
      <c r="G173" t="inlineStr">
        <is>
          <t>HÖGSBY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46290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45546</v>
      </c>
      <c r="E175" s="1" t="n">
        <v>46290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46290</v>
      </c>
      <c r="F176" t="inlineStr">
        <is>
          <t>KALMAR LÄN</t>
        </is>
      </c>
      <c r="G176" t="inlineStr">
        <is>
          <t>HÖGSBY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46290</v>
      </c>
      <c r="F177" t="inlineStr">
        <is>
          <t>KALMAR LÄN</t>
        </is>
      </c>
      <c r="G177" t="inlineStr">
        <is>
          <t>HÖGSBY</t>
        </is>
      </c>
      <c r="H177" t="inlineStr">
        <is>
          <t>Kommuner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46290</v>
      </c>
      <c r="F178" t="inlineStr">
        <is>
          <t>KALMAR LÄN</t>
        </is>
      </c>
      <c r="G178" t="inlineStr">
        <is>
          <t>HÖGSBY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44991</v>
      </c>
      <c r="E179" s="1" t="n">
        <v>46290</v>
      </c>
      <c r="F179" t="inlineStr">
        <is>
          <t>KALMAR LÄN</t>
        </is>
      </c>
      <c r="G179" t="inlineStr">
        <is>
          <t>HÖGSBY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46290</v>
      </c>
      <c r="F180" t="inlineStr">
        <is>
          <t>KALMAR LÄN</t>
        </is>
      </c>
      <c r="G180" t="inlineStr">
        <is>
          <t>HÖGSBY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46290</v>
      </c>
      <c r="F181" t="inlineStr">
        <is>
          <t>KALMAR LÄN</t>
        </is>
      </c>
      <c r="G181" t="inlineStr">
        <is>
          <t>HÖGSBY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46290</v>
      </c>
      <c r="F182" t="inlineStr">
        <is>
          <t>KALMAR LÄN</t>
        </is>
      </c>
      <c r="G182" t="inlineStr">
        <is>
          <t>HÖGSBY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46290</v>
      </c>
      <c r="F183" t="inlineStr">
        <is>
          <t>KALMAR LÄN</t>
        </is>
      </c>
      <c r="G183" t="inlineStr">
        <is>
          <t>HÖGSBY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46290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46290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46290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46290</v>
      </c>
      <c r="F187" t="inlineStr">
        <is>
          <t>KALMAR LÄN</t>
        </is>
      </c>
      <c r="G187" t="inlineStr">
        <is>
          <t>HÖGSBY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71635-2021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46290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51720-2025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46290</v>
      </c>
      <c r="F189" t="inlineStr">
        <is>
          <t>KALMAR LÄN</t>
        </is>
      </c>
      <c r="G189" t="inlineStr">
        <is>
          <t>HÖGSBY</t>
        </is>
      </c>
      <c r="I189" t="n">
        <v>12.8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45228</v>
      </c>
      <c r="E190" s="1" t="n">
        <v>46290</v>
      </c>
      <c r="F190" t="inlineStr">
        <is>
          <t>KALMAR LÄN</t>
        </is>
      </c>
      <c r="G190" t="inlineStr">
        <is>
          <t>HÖGSBY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46290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46290</v>
      </c>
      <c r="F192" t="inlineStr">
        <is>
          <t>KALMAR LÄN</t>
        </is>
      </c>
      <c r="G192" t="inlineStr">
        <is>
          <t>HÖGSBY</t>
        </is>
      </c>
      <c r="H192" t="inlineStr">
        <is>
          <t>Kyrkan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46290</v>
      </c>
      <c r="F193" t="inlineStr">
        <is>
          <t>KALMAR LÄN</t>
        </is>
      </c>
      <c r="G193" t="inlineStr">
        <is>
          <t>HÖGSBY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46290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46290</v>
      </c>
      <c r="F195" t="inlineStr">
        <is>
          <t>KALMAR LÄN</t>
        </is>
      </c>
      <c r="G195" t="inlineStr">
        <is>
          <t>HÖGSBY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46290</v>
      </c>
      <c r="F196" t="inlineStr">
        <is>
          <t>KALMAR LÄN</t>
        </is>
      </c>
      <c r="G196" t="inlineStr">
        <is>
          <t>HÖGSBY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44993</v>
      </c>
      <c r="E197" s="1" t="n">
        <v>46290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46290</v>
      </c>
      <c r="F198" t="inlineStr">
        <is>
          <t>KALMAR LÄN</t>
        </is>
      </c>
      <c r="G198" t="inlineStr">
        <is>
          <t>HÖGSBY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45702</v>
      </c>
      <c r="E199" s="1" t="n">
        <v>46290</v>
      </c>
      <c r="F199" t="inlineStr">
        <is>
          <t>KALMAR LÄN</t>
        </is>
      </c>
      <c r="G199" t="inlineStr">
        <is>
          <t>HÖGSBY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46290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44725</v>
      </c>
      <c r="E201" s="1" t="n">
        <v>46290</v>
      </c>
      <c r="F201" t="inlineStr">
        <is>
          <t>KALMAR LÄN</t>
        </is>
      </c>
      <c r="G201" t="inlineStr">
        <is>
          <t>HÖGSBY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46290</v>
      </c>
      <c r="F202" t="inlineStr">
        <is>
          <t>KALMAR LÄN</t>
        </is>
      </c>
      <c r="G202" t="inlineStr">
        <is>
          <t>HÖGSBY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46290</v>
      </c>
      <c r="F203" t="inlineStr">
        <is>
          <t>KALMAR LÄN</t>
        </is>
      </c>
      <c r="G203" t="inlineStr">
        <is>
          <t>HÖGSBY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46290</v>
      </c>
      <c r="F204" t="inlineStr">
        <is>
          <t>KALMAR LÄN</t>
        </is>
      </c>
      <c r="G204" t="inlineStr">
        <is>
          <t>HÖGSBY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45204</v>
      </c>
      <c r="E205" s="1" t="n">
        <v>46290</v>
      </c>
      <c r="F205" t="inlineStr">
        <is>
          <t>KALMAR LÄN</t>
        </is>
      </c>
      <c r="G205" t="inlineStr">
        <is>
          <t>HÖGSBY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46290</v>
      </c>
      <c r="F206" t="inlineStr">
        <is>
          <t>KALMAR LÄN</t>
        </is>
      </c>
      <c r="G206" t="inlineStr">
        <is>
          <t>HÖGSBY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46290</v>
      </c>
      <c r="F207" t="inlineStr">
        <is>
          <t>KALMAR LÄN</t>
        </is>
      </c>
      <c r="G207" t="inlineStr">
        <is>
          <t>HÖGSBY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45217</v>
      </c>
      <c r="E208" s="1" t="n">
        <v>46290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45393</v>
      </c>
      <c r="E209" s="1" t="n">
        <v>46290</v>
      </c>
      <c r="F209" t="inlineStr">
        <is>
          <t>KALMAR LÄN</t>
        </is>
      </c>
      <c r="G209" t="inlineStr">
        <is>
          <t>HÖGSBY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46290</v>
      </c>
      <c r="F210" t="inlineStr">
        <is>
          <t>KALMAR LÄN</t>
        </is>
      </c>
      <c r="G210" t="inlineStr">
        <is>
          <t>HÖGSBY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46290</v>
      </c>
      <c r="F211" t="inlineStr">
        <is>
          <t>KALMAR LÄN</t>
        </is>
      </c>
      <c r="G211" t="inlineStr">
        <is>
          <t>HÖGSBY</t>
        </is>
      </c>
      <c r="H211" t="inlineStr">
        <is>
          <t>Kommuner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46290</v>
      </c>
      <c r="F212" t="inlineStr">
        <is>
          <t>KALMAR LÄN</t>
        </is>
      </c>
      <c r="G212" t="inlineStr">
        <is>
          <t>HÖGSBY</t>
        </is>
      </c>
      <c r="H212" t="inlineStr">
        <is>
          <t>Övriga Aktiebolag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46290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22562-2026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46155</v>
      </c>
      <c r="E214" s="1" t="n">
        <v>46290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22564-2026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46155</v>
      </c>
      <c r="E215" s="1" t="n">
        <v>46290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46290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46290</v>
      </c>
      <c r="F217" t="inlineStr">
        <is>
          <t>KALMAR LÄN</t>
        </is>
      </c>
      <c r="G217" t="inlineStr">
        <is>
          <t>HÖGSBY</t>
        </is>
      </c>
      <c r="H217" t="inlineStr">
        <is>
          <t>Kyrkan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46290</v>
      </c>
      <c r="F218" t="inlineStr">
        <is>
          <t>KALMAR LÄN</t>
        </is>
      </c>
      <c r="G218" t="inlineStr">
        <is>
          <t>HÖGSBY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45337</v>
      </c>
      <c r="E219" s="1" t="n">
        <v>46290</v>
      </c>
      <c r="F219" t="inlineStr">
        <is>
          <t>KALMAR LÄN</t>
        </is>
      </c>
      <c r="G219" t="inlineStr">
        <is>
          <t>HÖGSBY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46290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46290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46290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46290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46290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46290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44861</v>
      </c>
      <c r="E226" s="1" t="n">
        <v>46290</v>
      </c>
      <c r="F226" t="inlineStr">
        <is>
          <t>KALMAR LÄN</t>
        </is>
      </c>
      <c r="G226" t="inlineStr">
        <is>
          <t>HÖGSBY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46290</v>
      </c>
      <c r="F227" t="inlineStr">
        <is>
          <t>KALMAR LÄN</t>
        </is>
      </c>
      <c r="G227" t="inlineStr">
        <is>
          <t>HÖGSBY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62563-2025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46290</v>
      </c>
      <c r="F228" t="inlineStr">
        <is>
          <t>KALMAR LÄN</t>
        </is>
      </c>
      <c r="G228" t="inlineStr">
        <is>
          <t>HÖGSBY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46290</v>
      </c>
      <c r="F229" t="inlineStr">
        <is>
          <t>KALMAR LÄN</t>
        </is>
      </c>
      <c r="G229" t="inlineStr">
        <is>
          <t>HÖGSBY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62720-2025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46008</v>
      </c>
      <c r="E230" s="1" t="n">
        <v>46290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62722-2025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46008</v>
      </c>
      <c r="E231" s="1" t="n">
        <v>46290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46290</v>
      </c>
      <c r="F232" t="inlineStr">
        <is>
          <t>KALMAR LÄN</t>
        </is>
      </c>
      <c r="G232" t="inlineStr">
        <is>
          <t>HÖGSBY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46290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46290</v>
      </c>
      <c r="F234" t="inlineStr">
        <is>
          <t>KALMAR LÄN</t>
        </is>
      </c>
      <c r="G234" t="inlineStr">
        <is>
          <t>HÖGSBY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46290</v>
      </c>
      <c r="F235" t="inlineStr">
        <is>
          <t>KALMAR LÄN</t>
        </is>
      </c>
      <c r="G235" t="inlineStr">
        <is>
          <t>HÖGSBY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46290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46290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46290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46290</v>
      </c>
      <c r="F239" t="inlineStr">
        <is>
          <t>KALMAR LÄN</t>
        </is>
      </c>
      <c r="G239" t="inlineStr">
        <is>
          <t>HÖGSBY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46290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46290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46290</v>
      </c>
      <c r="F242" t="inlineStr">
        <is>
          <t>KALMAR LÄN</t>
        </is>
      </c>
      <c r="G242" t="inlineStr">
        <is>
          <t>HÖGSBY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57006-2024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45626</v>
      </c>
      <c r="E243" s="1" t="n">
        <v>46290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46290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46290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60853-2021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44496</v>
      </c>
      <c r="E246" s="1" t="n">
        <v>46290</v>
      </c>
      <c r="F246" t="inlineStr">
        <is>
          <t>KALMAR LÄN</t>
        </is>
      </c>
      <c r="G246" t="inlineStr">
        <is>
          <t>HÖGSBY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46290</v>
      </c>
      <c r="F247" t="inlineStr">
        <is>
          <t>KALMAR LÄN</t>
        </is>
      </c>
      <c r="G247" t="inlineStr">
        <is>
          <t>HÖGSBY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46290</v>
      </c>
      <c r="F248" t="inlineStr">
        <is>
          <t>KALMAR LÄN</t>
        </is>
      </c>
      <c r="G248" t="inlineStr">
        <is>
          <t>HÖGSBY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23937-2026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46167</v>
      </c>
      <c r="E249" s="1" t="n">
        <v>46290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46290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46290</v>
      </c>
      <c r="F251" t="inlineStr">
        <is>
          <t>KALMAR LÄN</t>
        </is>
      </c>
      <c r="G251" t="inlineStr">
        <is>
          <t>HÖGSBY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44470</v>
      </c>
      <c r="E252" s="1" t="n">
        <v>46290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14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46290</v>
      </c>
      <c r="F253" t="inlineStr">
        <is>
          <t>KALMAR LÄN</t>
        </is>
      </c>
      <c r="G253" t="inlineStr">
        <is>
          <t>HÖGSBY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45190</v>
      </c>
      <c r="E254" s="1" t="n">
        <v>46290</v>
      </c>
      <c r="F254" t="inlineStr">
        <is>
          <t>KALMAR LÄN</t>
        </is>
      </c>
      <c r="G254" t="inlineStr">
        <is>
          <t>HÖGSBY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46290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7443-2026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46059</v>
      </c>
      <c r="E256" s="1" t="n">
        <v>46290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46290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24601-2024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45460</v>
      </c>
      <c r="E258" s="1" t="n">
        <v>46290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46290</v>
      </c>
      <c r="F259" t="inlineStr">
        <is>
          <t>KALMAR LÄN</t>
        </is>
      </c>
      <c r="G259" t="inlineStr">
        <is>
          <t>HÖGSBY</t>
        </is>
      </c>
      <c r="H259" t="inlineStr">
        <is>
          <t>Kommuner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46290</v>
      </c>
      <c r="F260" t="inlineStr">
        <is>
          <t>KALMAR LÄN</t>
        </is>
      </c>
      <c r="G260" t="inlineStr">
        <is>
          <t>HÖGSBY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46290</v>
      </c>
      <c r="F261" t="inlineStr">
        <is>
          <t>KALMAR LÄN</t>
        </is>
      </c>
      <c r="G261" t="inlineStr">
        <is>
          <t>HÖGSBY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46290</v>
      </c>
      <c r="F262" t="inlineStr">
        <is>
          <t>KALMAR LÄN</t>
        </is>
      </c>
      <c r="G262" t="inlineStr">
        <is>
          <t>HÖGSBY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46290</v>
      </c>
      <c r="F263" t="inlineStr">
        <is>
          <t>KALMAR LÄN</t>
        </is>
      </c>
      <c r="G263" t="inlineStr">
        <is>
          <t>HÖGSBY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46290</v>
      </c>
      <c r="F264" t="inlineStr">
        <is>
          <t>KALMAR LÄN</t>
        </is>
      </c>
      <c r="G264" t="inlineStr">
        <is>
          <t>HÖGSBY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46290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45469</v>
      </c>
      <c r="E266" s="1" t="n">
        <v>46290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46290</v>
      </c>
      <c r="F267" t="inlineStr">
        <is>
          <t>KALMAR LÄN</t>
        </is>
      </c>
      <c r="G267" t="inlineStr">
        <is>
          <t>HÖGSBY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46290</v>
      </c>
      <c r="F268" t="inlineStr">
        <is>
          <t>KALMAR LÄN</t>
        </is>
      </c>
      <c r="G268" t="inlineStr">
        <is>
          <t>HÖGSBY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46290</v>
      </c>
      <c r="F269" t="inlineStr">
        <is>
          <t>KALMAR LÄN</t>
        </is>
      </c>
      <c r="G269" t="inlineStr">
        <is>
          <t>HÖGSBY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45348</v>
      </c>
      <c r="E270" s="1" t="n">
        <v>46290</v>
      </c>
      <c r="F270" t="inlineStr">
        <is>
          <t>KALMAR LÄN</t>
        </is>
      </c>
      <c r="G270" t="inlineStr">
        <is>
          <t>HÖGSBY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46290</v>
      </c>
      <c r="F271" t="inlineStr">
        <is>
          <t>KALMAR LÄN</t>
        </is>
      </c>
      <c r="G271" t="inlineStr">
        <is>
          <t>HÖGSBY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46290</v>
      </c>
      <c r="F272" t="inlineStr">
        <is>
          <t>KALMAR LÄN</t>
        </is>
      </c>
      <c r="G272" t="inlineStr">
        <is>
          <t>HÖGSBY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46290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46290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46290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46290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46290</v>
      </c>
      <c r="F277" t="inlineStr">
        <is>
          <t>KALMAR LÄN</t>
        </is>
      </c>
      <c r="G277" t="inlineStr">
        <is>
          <t>HÖGSBY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46290</v>
      </c>
      <c r="F278" t="inlineStr">
        <is>
          <t>KALMAR LÄN</t>
        </is>
      </c>
      <c r="G278" t="inlineStr">
        <is>
          <t>HÖGSBY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46290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46290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46290</v>
      </c>
      <c r="F281" t="inlineStr">
        <is>
          <t>KALMAR LÄN</t>
        </is>
      </c>
      <c r="G281" t="inlineStr">
        <is>
          <t>HÖGSBY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46290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46290</v>
      </c>
      <c r="F283" t="inlineStr">
        <is>
          <t>KALMAR LÄN</t>
        </is>
      </c>
      <c r="G283" t="inlineStr">
        <is>
          <t>HÖGSBY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14894-2025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45743</v>
      </c>
      <c r="E284" s="1" t="n">
        <v>46290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46290</v>
      </c>
      <c r="F285" t="inlineStr">
        <is>
          <t>KALMAR LÄN</t>
        </is>
      </c>
      <c r="G285" t="inlineStr">
        <is>
          <t>HÖGSBY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45360</v>
      </c>
      <c r="E286" s="1" t="n">
        <v>46290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46290</v>
      </c>
      <c r="F287" t="inlineStr">
        <is>
          <t>KALMAR LÄN</t>
        </is>
      </c>
      <c r="G287" t="inlineStr">
        <is>
          <t>HÖGSBY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46290</v>
      </c>
      <c r="F288" t="inlineStr">
        <is>
          <t>KALMAR LÄN</t>
        </is>
      </c>
      <c r="G288" t="inlineStr">
        <is>
          <t>HÖGSBY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45588</v>
      </c>
      <c r="E289" s="1" t="n">
        <v>46290</v>
      </c>
      <c r="F289" t="inlineStr">
        <is>
          <t>KALMAR LÄN</t>
        </is>
      </c>
      <c r="G289" t="inlineStr">
        <is>
          <t>HÖGSBY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45447</v>
      </c>
      <c r="E290" s="1" t="n">
        <v>46290</v>
      </c>
      <c r="F290" t="inlineStr">
        <is>
          <t>KALMAR LÄN</t>
        </is>
      </c>
      <c r="G290" t="inlineStr">
        <is>
          <t>HÖGSBY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46290</v>
      </c>
      <c r="F291" t="inlineStr">
        <is>
          <t>KALMAR LÄN</t>
        </is>
      </c>
      <c r="G291" t="inlineStr">
        <is>
          <t>HÖGSBY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46290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45126</v>
      </c>
      <c r="E293" s="1" t="n">
        <v>46290</v>
      </c>
      <c r="F293" t="inlineStr">
        <is>
          <t>KALMAR LÄN</t>
        </is>
      </c>
      <c r="G293" t="inlineStr">
        <is>
          <t>HÖGSBY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46290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46290</v>
      </c>
      <c r="F295" t="inlineStr">
        <is>
          <t>KALMAR LÄN</t>
        </is>
      </c>
      <c r="G295" t="inlineStr">
        <is>
          <t>HÖGSBY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46290</v>
      </c>
      <c r="F296" t="inlineStr">
        <is>
          <t>KALMAR LÄN</t>
        </is>
      </c>
      <c r="G296" t="inlineStr">
        <is>
          <t>HÖGSBY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46290</v>
      </c>
      <c r="F297" t="inlineStr">
        <is>
          <t>KALMAR LÄN</t>
        </is>
      </c>
      <c r="G297" t="inlineStr">
        <is>
          <t>HÖGSBY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46290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46290</v>
      </c>
      <c r="F299" t="inlineStr">
        <is>
          <t>KALMAR LÄN</t>
        </is>
      </c>
      <c r="G299" t="inlineStr">
        <is>
          <t>HÖGSBY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46290</v>
      </c>
      <c r="F300" t="inlineStr">
        <is>
          <t>KALMAR LÄN</t>
        </is>
      </c>
      <c r="G300" t="inlineStr">
        <is>
          <t>HÖGSBY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46290</v>
      </c>
      <c r="F301" t="inlineStr">
        <is>
          <t>KALMAR LÄN</t>
        </is>
      </c>
      <c r="G301" t="inlineStr">
        <is>
          <t>HÖGSBY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46290</v>
      </c>
      <c r="F302" t="inlineStr">
        <is>
          <t>KALMAR LÄN</t>
        </is>
      </c>
      <c r="G302" t="inlineStr">
        <is>
          <t>HÖGSBY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46290</v>
      </c>
      <c r="F303" t="inlineStr">
        <is>
          <t>KALMAR LÄN</t>
        </is>
      </c>
      <c r="G303" t="inlineStr">
        <is>
          <t>HÖGSBY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41479-2023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45175</v>
      </c>
      <c r="E304" s="1" t="n">
        <v>46290</v>
      </c>
      <c r="F304" t="inlineStr">
        <is>
          <t>KALMAR LÄN</t>
        </is>
      </c>
      <c r="G304" t="inlineStr">
        <is>
          <t>HÖGSBY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46290</v>
      </c>
      <c r="F305" t="inlineStr">
        <is>
          <t>KALMAR LÄN</t>
        </is>
      </c>
      <c r="G305" t="inlineStr">
        <is>
          <t>HÖGSBY</t>
        </is>
      </c>
      <c r="H305" t="inlineStr">
        <is>
          <t>Kommuner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46290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28702-2026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46198</v>
      </c>
      <c r="E307" s="1" t="n">
        <v>46290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28692-2026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46198</v>
      </c>
      <c r="E308" s="1" t="n">
        <v>46290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28691-2026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46198</v>
      </c>
      <c r="E309" s="1" t="n">
        <v>46290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28697-2026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46198</v>
      </c>
      <c r="E310" s="1" t="n">
        <v>46290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46290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46290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28713-2026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46290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46290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46290</v>
      </c>
      <c r="F315" t="inlineStr">
        <is>
          <t>KALMAR LÄN</t>
        </is>
      </c>
      <c r="G315" t="inlineStr">
        <is>
          <t>HÖGSBY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46290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46290</v>
      </c>
      <c r="F317" t="inlineStr">
        <is>
          <t>KALMAR LÄN</t>
        </is>
      </c>
      <c r="G317" t="inlineStr">
        <is>
          <t>HÖGSBY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46290</v>
      </c>
      <c r="F318" t="inlineStr">
        <is>
          <t>KALMAR LÄN</t>
        </is>
      </c>
      <c r="G318" t="inlineStr">
        <is>
          <t>HÖGSBY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44866</v>
      </c>
      <c r="E319" s="1" t="n">
        <v>46290</v>
      </c>
      <c r="F319" t="inlineStr">
        <is>
          <t>KALMAR LÄN</t>
        </is>
      </c>
      <c r="G319" t="inlineStr">
        <is>
          <t>HÖGSBY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46290</v>
      </c>
      <c r="F320" t="inlineStr">
        <is>
          <t>KALMAR LÄN</t>
        </is>
      </c>
      <c r="G320" t="inlineStr">
        <is>
          <t>HÖGSBY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46290</v>
      </c>
      <c r="F321" t="inlineStr">
        <is>
          <t>KALMAR LÄN</t>
        </is>
      </c>
      <c r="G321" t="inlineStr">
        <is>
          <t>HÖGSBY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46290</v>
      </c>
      <c r="F322" t="inlineStr">
        <is>
          <t>KALMAR LÄN</t>
        </is>
      </c>
      <c r="G322" t="inlineStr">
        <is>
          <t>HÖGSBY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46290</v>
      </c>
      <c r="F323" t="inlineStr">
        <is>
          <t>KALMAR LÄN</t>
        </is>
      </c>
      <c r="G323" t="inlineStr">
        <is>
          <t>HÖGSBY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60555-2021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44496</v>
      </c>
      <c r="E324" s="1" t="n">
        <v>46290</v>
      </c>
      <c r="F324" t="inlineStr">
        <is>
          <t>KALMAR LÄN</t>
        </is>
      </c>
      <c r="G324" t="inlineStr">
        <is>
          <t>HÖGSBY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46290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46290</v>
      </c>
      <c r="F326" t="inlineStr">
        <is>
          <t>KALMAR LÄN</t>
        </is>
      </c>
      <c r="G326" t="inlineStr">
        <is>
          <t>HÖGSBY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30294-2022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44760</v>
      </c>
      <c r="E327" s="1" t="n">
        <v>46290</v>
      </c>
      <c r="F327" t="inlineStr">
        <is>
          <t>KALMAR LÄN</t>
        </is>
      </c>
      <c r="G327" t="inlineStr">
        <is>
          <t>HÖGSBY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46290</v>
      </c>
      <c r="F328" t="inlineStr">
        <is>
          <t>KALMAR LÄN</t>
        </is>
      </c>
      <c r="G328" t="inlineStr">
        <is>
          <t>HÖGSBY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33788-2026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46251</v>
      </c>
      <c r="E329" s="1" t="n">
        <v>46290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46290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46290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46290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46290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46290</v>
      </c>
      <c r="F334" t="inlineStr">
        <is>
          <t>KALMAR LÄN</t>
        </is>
      </c>
      <c r="G334" t="inlineStr">
        <is>
          <t>HÖGSBY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46290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62562-2022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44924</v>
      </c>
      <c r="E336" s="1" t="n">
        <v>46290</v>
      </c>
      <c r="F336" t="inlineStr">
        <is>
          <t>KALMAR LÄN</t>
        </is>
      </c>
      <c r="G336" t="inlineStr">
        <is>
          <t>HÖGSBY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46290</v>
      </c>
      <c r="F337" t="inlineStr">
        <is>
          <t>KALMAR LÄN</t>
        </is>
      </c>
      <c r="G337" t="inlineStr">
        <is>
          <t>HÖGSBY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46290</v>
      </c>
      <c r="F338" t="inlineStr">
        <is>
          <t>KALMAR LÄN</t>
        </is>
      </c>
      <c r="G338" t="inlineStr">
        <is>
          <t>HÖGSBY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44999</v>
      </c>
      <c r="E339" s="1" t="n">
        <v>46290</v>
      </c>
      <c r="F339" t="inlineStr">
        <is>
          <t>KALMAR LÄN</t>
        </is>
      </c>
      <c r="G339" t="inlineStr">
        <is>
          <t>HÖGSBY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46290</v>
      </c>
      <c r="F340" t="inlineStr">
        <is>
          <t>KALMAR LÄN</t>
        </is>
      </c>
      <c r="G340" t="inlineStr">
        <is>
          <t>HÖGSBY</t>
        </is>
      </c>
      <c r="H340" t="inlineStr">
        <is>
          <t>Övriga Aktiebolag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46290</v>
      </c>
      <c r="F341" t="inlineStr">
        <is>
          <t>KALMAR LÄN</t>
        </is>
      </c>
      <c r="G341" t="inlineStr">
        <is>
          <t>HÖGSBY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46290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45247</v>
      </c>
      <c r="E343" s="1" t="n">
        <v>46290</v>
      </c>
      <c r="F343" t="inlineStr">
        <is>
          <t>KALMAR LÄN</t>
        </is>
      </c>
      <c r="G343" t="inlineStr">
        <is>
          <t>HÖGSBY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65130-2023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45288</v>
      </c>
      <c r="E344" s="1" t="n">
        <v>46290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46290</v>
      </c>
      <c r="F345" t="inlineStr">
        <is>
          <t>KALMAR LÄN</t>
        </is>
      </c>
      <c r="G345" t="inlineStr">
        <is>
          <t>HÖGSBY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49486-2022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44861</v>
      </c>
      <c r="E346" s="1" t="n">
        <v>46290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46290</v>
      </c>
      <c r="F347" t="inlineStr">
        <is>
          <t>KALMAR LÄN</t>
        </is>
      </c>
      <c r="G347" t="inlineStr">
        <is>
          <t>HÖGSBY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46290</v>
      </c>
      <c r="F348" t="inlineStr">
        <is>
          <t>KALMAR LÄN</t>
        </is>
      </c>
      <c r="G348" t="inlineStr">
        <is>
          <t>HÖGSBY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46266</v>
      </c>
      <c r="E349" s="1" t="n">
        <v>46290</v>
      </c>
      <c r="F349" t="inlineStr">
        <is>
          <t>KALMAR LÄN</t>
        </is>
      </c>
      <c r="G349" t="inlineStr">
        <is>
          <t>HÖGSBY</t>
        </is>
      </c>
      <c r="I349" t="n">
        <v>9.6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46290</v>
      </c>
      <c r="F350" t="inlineStr">
        <is>
          <t>KALMAR LÄN</t>
        </is>
      </c>
      <c r="G350" t="inlineStr">
        <is>
          <t>HÖGSBY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46266</v>
      </c>
      <c r="E351" s="1" t="n">
        <v>46290</v>
      </c>
      <c r="F351" t="inlineStr">
        <is>
          <t>KALMAR LÄN</t>
        </is>
      </c>
      <c r="G351" t="inlineStr">
        <is>
          <t>HÖGSBY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46290</v>
      </c>
      <c r="F352" t="inlineStr">
        <is>
          <t>KALMAR LÄN</t>
        </is>
      </c>
      <c r="G352" t="inlineStr">
        <is>
          <t>HÖGSBY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46267</v>
      </c>
      <c r="E353" s="1" t="n">
        <v>46290</v>
      </c>
      <c r="F353" t="inlineStr">
        <is>
          <t>KALMAR LÄN</t>
        </is>
      </c>
      <c r="G353" t="inlineStr">
        <is>
          <t>HÖGSBY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46290</v>
      </c>
      <c r="F354" t="inlineStr">
        <is>
          <t>KALMAR LÄN</t>
        </is>
      </c>
      <c r="G354" t="inlineStr">
        <is>
          <t>HÖGSBY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46269</v>
      </c>
      <c r="E355" s="1" t="n">
        <v>46290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46268</v>
      </c>
      <c r="E356" s="1" t="n">
        <v>46290</v>
      </c>
      <c r="F356" t="inlineStr">
        <is>
          <t>KALMAR LÄN</t>
        </is>
      </c>
      <c r="G356" t="inlineStr">
        <is>
          <t>HÖGSBY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46290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24.4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46268</v>
      </c>
      <c r="E358" s="1" t="n">
        <v>46290</v>
      </c>
      <c r="F358" t="inlineStr">
        <is>
          <t>KALMAR LÄN</t>
        </is>
      </c>
      <c r="G358" t="inlineStr">
        <is>
          <t>HÖGSBY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46290</v>
      </c>
      <c r="F359" t="inlineStr">
        <is>
          <t>KALMAR LÄN</t>
        </is>
      </c>
      <c r="G359" t="inlineStr">
        <is>
          <t>HÖGSBY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44907</v>
      </c>
      <c r="E360" s="1" t="n">
        <v>46290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46290</v>
      </c>
      <c r="F361" t="inlineStr">
        <is>
          <t>KALMAR LÄN</t>
        </is>
      </c>
      <c r="G361" t="inlineStr">
        <is>
          <t>HÖGSBY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46290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46290</v>
      </c>
      <c r="F363" t="inlineStr">
        <is>
          <t>KALMAR LÄN</t>
        </is>
      </c>
      <c r="G363" t="inlineStr">
        <is>
          <t>HÖGSBY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46290</v>
      </c>
      <c r="F364" t="inlineStr">
        <is>
          <t>KALMAR LÄN</t>
        </is>
      </c>
      <c r="G364" t="inlineStr">
        <is>
          <t>HÖGSBY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46290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46290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46290</v>
      </c>
      <c r="F367" t="inlineStr">
        <is>
          <t>KALMAR LÄN</t>
        </is>
      </c>
      <c r="G367" t="inlineStr">
        <is>
          <t>HÖGSBY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44953</v>
      </c>
      <c r="E368" s="1" t="n">
        <v>46290</v>
      </c>
      <c r="F368" t="inlineStr">
        <is>
          <t>KALMAR LÄN</t>
        </is>
      </c>
      <c r="G368" t="inlineStr">
        <is>
          <t>HÖGSBY</t>
        </is>
      </c>
      <c r="H368" t="inlineStr">
        <is>
          <t>Övriga Aktiebolag</t>
        </is>
      </c>
      <c r="I368" t="n">
        <v>15.2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46274</v>
      </c>
      <c r="E369" s="1" t="n">
        <v>46290</v>
      </c>
      <c r="F369" t="inlineStr">
        <is>
          <t>KALMAR LÄN</t>
        </is>
      </c>
      <c r="G369" t="inlineStr">
        <is>
          <t>HÖGSBY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46290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46290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44939</v>
      </c>
      <c r="E372" s="1" t="n">
        <v>46290</v>
      </c>
      <c r="F372" t="inlineStr">
        <is>
          <t>KALMAR LÄN</t>
        </is>
      </c>
      <c r="G372" t="inlineStr">
        <is>
          <t>HÖGSBY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46290</v>
      </c>
      <c r="F373" t="inlineStr">
        <is>
          <t>KALMAR LÄN</t>
        </is>
      </c>
      <c r="G373" t="inlineStr">
        <is>
          <t>HÖGSBY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45581</v>
      </c>
      <c r="E374" s="1" t="n">
        <v>46290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46290</v>
      </c>
      <c r="F375" t="inlineStr">
        <is>
          <t>KALMAR LÄN</t>
        </is>
      </c>
      <c r="G375" t="inlineStr">
        <is>
          <t>HÖGSBY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44866</v>
      </c>
      <c r="E376" s="1" t="n">
        <v>46290</v>
      </c>
      <c r="F376" t="inlineStr">
        <is>
          <t>KALMAR LÄN</t>
        </is>
      </c>
      <c r="G376" t="inlineStr">
        <is>
          <t>HÖGSBY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46237</v>
      </c>
      <c r="E377" s="1" t="n">
        <v>46290</v>
      </c>
      <c r="F377" t="inlineStr">
        <is>
          <t>KALMAR LÄN</t>
        </is>
      </c>
      <c r="G377" t="inlineStr">
        <is>
          <t>HÖGSBY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46290</v>
      </c>
      <c r="F378" t="inlineStr">
        <is>
          <t>KALMAR LÄN</t>
        </is>
      </c>
      <c r="G378" t="inlineStr">
        <is>
          <t>HÖGSBY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45638</v>
      </c>
      <c r="E379" s="1" t="n">
        <v>46290</v>
      </c>
      <c r="F379" t="inlineStr">
        <is>
          <t>KALMAR LÄN</t>
        </is>
      </c>
      <c r="G379" t="inlineStr">
        <is>
          <t>HÖGSBY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45307</v>
      </c>
      <c r="E380" s="1" t="n">
        <v>46290</v>
      </c>
      <c r="F380" t="inlineStr">
        <is>
          <t>KALMAR LÄN</t>
        </is>
      </c>
      <c r="G380" t="inlineStr">
        <is>
          <t>HÖGSBY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34078-2024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45523</v>
      </c>
      <c r="E381" s="1" t="n">
        <v>46290</v>
      </c>
      <c r="F381" t="inlineStr">
        <is>
          <t>KALMAR LÄN</t>
        </is>
      </c>
      <c r="G381" t="inlineStr">
        <is>
          <t>HÖGSBY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45782</v>
      </c>
      <c r="E382" s="1" t="n">
        <v>46290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46287</v>
      </c>
      <c r="E383" s="1" t="n">
        <v>46290</v>
      </c>
      <c r="F383" t="inlineStr">
        <is>
          <t>KALMAR LÄN</t>
        </is>
      </c>
      <c r="G383" t="inlineStr">
        <is>
          <t>HÖGSBY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45170</v>
      </c>
      <c r="E384" s="1" t="n">
        <v>46290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46290</v>
      </c>
      <c r="F385" t="inlineStr">
        <is>
          <t>KALMAR LÄN</t>
        </is>
      </c>
      <c r="G385" t="inlineStr">
        <is>
          <t>HÖGSBY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46290</v>
      </c>
      <c r="F386" t="inlineStr">
        <is>
          <t>KALMAR LÄN</t>
        </is>
      </c>
      <c r="G386" t="inlineStr">
        <is>
          <t>HÖGSBY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HYPERLINK("https://klasma.github.io/Logging_0821/knärot/A 40137-2024 karta knärot.png", "A 40137-2024")</f>
        <v/>
      </c>
      <c r="AA386">
        <f>HYPERLINK("https://klasma.github.io/Logging_0821/klagomål/A 40137-2024 FSC-klagomål.docx", "A 40137-2024")</f>
        <v/>
      </c>
      <c r="AB386">
        <f>HYPERLINK("https://klasma.github.io/Logging_0821/klagomålsmail/A 40137-2024 FSC-klagomål mail.docx", "A 40137-2024")</f>
        <v/>
      </c>
      <c r="AC386">
        <f>HYPERLINK("https://klasma.github.io/Logging_0821/tillsyn/A 40137-2024 tillsynsbegäran.docx", "A 40137-2024")</f>
        <v/>
      </c>
      <c r="AD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24378-2025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46290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46290</v>
      </c>
      <c r="F388" t="inlineStr">
        <is>
          <t>KALMAR LÄN</t>
        </is>
      </c>
      <c r="G388" t="inlineStr">
        <is>
          <t>HÖGSBY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46290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46290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46290</v>
      </c>
      <c r="F391" t="inlineStr">
        <is>
          <t>KALMAR LÄN</t>
        </is>
      </c>
      <c r="G391" t="inlineStr">
        <is>
          <t>HÖGSBY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46290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46290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46290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46290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46290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46290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46290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46290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46290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46290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46290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46290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46290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46290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46290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46290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46290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46290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46290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46290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46290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46290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46290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46290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2026-09-25T02:01:37Z</dcterms:created>
  <dcterms:modified xmlns:dcterms="http://purl.org/dc/terms/" xmlns:xsi="http://www.w3.org/2001/XMLSchema-instance" xsi:type="dcterms:W3CDTF">2026-09-25T02:01:37Z</dcterms:modified>
</cp:coreProperties>
</file>