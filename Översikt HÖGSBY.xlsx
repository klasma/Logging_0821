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46277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46277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46277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46277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46277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46277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46277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46277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46277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46277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46277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46277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46277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46277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58017-2025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45982</v>
      </c>
      <c r="E19" s="1" t="n">
        <v>46277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8.4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Backvickermal
Björksplintborre
Blåmossa
Kornknutmossa</t>
        </is>
      </c>
      <c r="W19">
        <f>HYPERLINK("https://klasma.github.io/Logging_0821/artfynd/A 58017-2025 artfynd.xlsx", "A 58017-2025")</f>
        <v/>
      </c>
      <c r="X19">
        <f>HYPERLINK("https://klasma.github.io/Logging_0821/kartor/A 58017-2025 karta.png", "A 58017-2025")</f>
        <v/>
      </c>
      <c r="Y19">
        <f>HYPERLINK("https://klasma.github.io/Logging_0821/kartor_geotiff/A 58017-2025 georefererad karta.tif", "A 58017-2025")</f>
        <v/>
      </c>
      <c r="AA19">
        <f>HYPERLINK("https://klasma.github.io/Logging_0821/klagomål/A 58017-2025 FSC-klagomål.docx", "A 58017-2025")</f>
        <v/>
      </c>
      <c r="AB19">
        <f>HYPERLINK("https://klasma.github.io/Logging_0821/klagomålsmail/A 58017-2025 FSC-klagomål mail.docx", "A 58017-2025")</f>
        <v/>
      </c>
      <c r="AC19">
        <f>HYPERLINK("https://klasma.github.io/Logging_0821/tillsyn/A 58017-2025 tillsynsbegäran.docx", "A 58017-2025")</f>
        <v/>
      </c>
      <c r="AD19">
        <f>HYPERLINK("https://klasma.github.io/Logging_0821/tillsynsmail/A 58017-2025 tillsynsbegäran mail.docx", "A 58017-2025")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46277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46277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46277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46277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46277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46277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46277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46277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46277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46277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46277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46277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46277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46277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Slåttergubbe
Slåttergubbemal</t>
        </is>
      </c>
      <c r="W33">
        <f>HYPERLINK("https://klasma.github.io/Logging_0821/artfynd/A 5667-2026 artfynd.xlsx", "A 5667-2026")</f>
        <v/>
      </c>
      <c r="X33">
        <f>HYPERLINK("https://klasma.github.io/Logging_0821/kartor/A 5667-2026 karta.png", "A 5667-2026")</f>
        <v/>
      </c>
      <c r="Y33">
        <f>HYPERLINK("https://klasma.github.io/Logging_0821/kartor_geotiff/A 5667-2026 georefererad karta.tif", "A 5667-2026")</f>
        <v/>
      </c>
      <c r="AA33">
        <f>HYPERLINK("https://klasma.github.io/Logging_0821/klagomål/A 5667-2026 FSC-klagomål.docx", "A 5667-2026")</f>
        <v/>
      </c>
      <c r="AB33">
        <f>HYPERLINK("https://klasma.github.io/Logging_0821/klagomålsmail/A 5667-2026 FSC-klagomål mail.docx", "A 5667-2026")</f>
        <v/>
      </c>
      <c r="AC33">
        <f>HYPERLINK("https://klasma.github.io/Logging_0821/tillsyn/A 5667-2026 tillsynsbegäran.docx", "A 5667-2026")</f>
        <v/>
      </c>
      <c r="AD33">
        <f>HYPERLINK("https://klasma.github.io/Logging_0821/tillsynsmail/A 5667-2026 tillsynsbegäran mail.docx", "A 5667-2026")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46277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Järnsparv
Kungsfågel</t>
        </is>
      </c>
      <c r="W35">
        <f>HYPERLINK("https://klasma.github.io/Logging_0821/artfynd/A 26759-2026 artfynd.xlsx", "A 26759-2026")</f>
        <v/>
      </c>
      <c r="X35">
        <f>HYPERLINK("https://klasma.github.io/Logging_0821/kartor/A 26759-2026 karta.png", "A 26759-2026")</f>
        <v/>
      </c>
      <c r="Y35">
        <f>HYPERLINK("https://klasma.github.io/Logging_0821/kartor_geotiff/A 26759-2026 georefererad karta.tif", "A 26759-2026")</f>
        <v/>
      </c>
      <c r="AA35">
        <f>HYPERLINK("https://klasma.github.io/Logging_0821/klagomål/A 26759-2026 FSC-klagomål.docx", "A 26759-2026")</f>
        <v/>
      </c>
      <c r="AB35">
        <f>HYPERLINK("https://klasma.github.io/Logging_0821/klagomålsmail/A 26759-2026 FSC-klagomål mail.docx", "A 26759-2026")</f>
        <v/>
      </c>
      <c r="AC35">
        <f>HYPERLINK("https://klasma.github.io/Logging_0821/tillsyn/A 26759-2026 tillsynsbegäran.docx", "A 26759-2026")</f>
        <v/>
      </c>
      <c r="AD35">
        <f>HYPERLINK("https://klasma.github.io/Logging_0821/tillsynsmail/A 26759-2026 tillsynsbegäran mail.docx", "A 26759-2026")</f>
        <v/>
      </c>
      <c r="AE35">
        <f>HYPERLINK("https://klasma.github.io/Logging_0821/fåglar/A 26759-2026 prioriterade fågelarter.docx", "A 26759-2026")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46277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46277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46277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46277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46277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46277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46277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46277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46277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46277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46277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59407-2022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46277</v>
      </c>
      <c r="F47" t="inlineStr">
        <is>
          <t>KALMAR LÄN</t>
        </is>
      </c>
      <c r="G47" t="inlineStr">
        <is>
          <t>HÖGSBY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HYPERLINK("https://klasma.github.io/Logging_0821/artfynd/A 59407-2022 artfynd.xlsx", "A 59407-2022")</f>
        <v/>
      </c>
      <c r="X47">
        <f>HYPERLINK("https://klasma.github.io/Logging_0821/kartor/A 59407-2022 karta.png", "A 59407-2022")</f>
        <v/>
      </c>
      <c r="Y47">
        <f>HYPERLINK("https://klasma.github.io/Logging_0821/kartor_geotiff/A 59407-2022 georefererad karta.tif", "A 59407-2022")</f>
        <v/>
      </c>
      <c r="AA47">
        <f>HYPERLINK("https://klasma.github.io/Logging_0821/klagomål/A 59407-2022 FSC-klagomål.docx", "A 59407-2022")</f>
        <v/>
      </c>
      <c r="AB47">
        <f>HYPERLINK("https://klasma.github.io/Logging_0821/klagomålsmail/A 59407-2022 FSC-klagomål mail.docx", "A 59407-2022")</f>
        <v/>
      </c>
      <c r="AC47">
        <f>HYPERLINK("https://klasma.github.io/Logging_0821/tillsyn/A 59407-2022 tillsynsbegäran.docx", "A 59407-2022")</f>
        <v/>
      </c>
      <c r="AD47">
        <f>HYPERLINK("https://klasma.github.io/Logging_0821/tillsynsmail/A 59407-2022 tillsynsbegäran mail.docx", "A 59407-2022")</f>
        <v/>
      </c>
    </row>
    <row r="48" ht="15" customHeight="1">
      <c r="A48" t="inlineStr">
        <is>
          <t>A 35075-2023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46277</v>
      </c>
      <c r="F48" t="inlineStr">
        <is>
          <t>KALMAR LÄN</t>
        </is>
      </c>
      <c r="G48" t="inlineStr">
        <is>
          <t>HÖGSBY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HYPERLINK("https://klasma.github.io/Logging_0821/artfynd/A 35075-2023 artfynd.xlsx", "A 35075-2023")</f>
        <v/>
      </c>
      <c r="X48">
        <f>HYPERLINK("https://klasma.github.io/Logging_0821/kartor/A 35075-2023 karta.png", "A 35075-2023")</f>
        <v/>
      </c>
      <c r="Y48">
        <f>HYPERLINK("https://klasma.github.io/Logging_0821/kartor_geotiff/A 35075-2023 georefererad karta.tif", "A 35075-2023")</f>
        <v/>
      </c>
      <c r="AA48">
        <f>HYPERLINK("https://klasma.github.io/Logging_0821/klagomål/A 35075-2023 FSC-klagomål.docx", "A 35075-2023")</f>
        <v/>
      </c>
      <c r="AB48">
        <f>HYPERLINK("https://klasma.github.io/Logging_0821/klagomålsmail/A 35075-2023 FSC-klagomål mail.docx", "A 35075-2023")</f>
        <v/>
      </c>
      <c r="AC48">
        <f>HYPERLINK("https://klasma.github.io/Logging_0821/tillsyn/A 35075-2023 tillsynsbegäran.docx", "A 35075-2023")</f>
        <v/>
      </c>
      <c r="AD48">
        <f>HYPERLINK("https://klasma.github.io/Logging_0821/tillsynsmail/A 35075-2023 tillsynsbegäran mail.docx", "A 35075-2023")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46277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HYPERLINK("https://klasma.github.io/Logging_0821/artfynd/A 1519-2022 artfynd.xlsx", "A 1519-2022")</f>
        <v/>
      </c>
      <c r="X49">
        <f>HYPERLINK("https://klasma.github.io/Logging_0821/kartor/A 1519-2022 karta.png", "A 1519-2022")</f>
        <v/>
      </c>
      <c r="Y49">
        <f>HYPERLINK("https://klasma.github.io/Logging_0821/kartor_geotiff/A 1519-2022 georefererad karta.tif", "A 1519-2022")</f>
        <v/>
      </c>
      <c r="AA49">
        <f>HYPERLINK("https://klasma.github.io/Logging_0821/klagomål/A 1519-2022 FSC-klagomål.docx", "A 1519-2022")</f>
        <v/>
      </c>
      <c r="AB49">
        <f>HYPERLINK("https://klasma.github.io/Logging_0821/klagomålsmail/A 1519-2022 FSC-klagomål mail.docx", "A 1519-2022")</f>
        <v/>
      </c>
      <c r="AC49">
        <f>HYPERLINK("https://klasma.github.io/Logging_0821/tillsyn/A 1519-2022 tillsynsbegäran.docx", "A 1519-2022")</f>
        <v/>
      </c>
      <c r="AD49">
        <f>HYPERLINK("https://klasma.github.io/Logging_0821/tillsynsmail/A 1519-2022 tillsynsbegäran mail.docx", "A 1519-2022")</f>
        <v/>
      </c>
    </row>
    <row r="50" ht="15" customHeight="1">
      <c r="A50" t="inlineStr">
        <is>
          <t>A 23859-2026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46277</v>
      </c>
      <c r="F50" t="inlineStr">
        <is>
          <t>KALMAR LÄN</t>
        </is>
      </c>
      <c r="G50" t="inlineStr">
        <is>
          <t>HÖGSBY</t>
        </is>
      </c>
      <c r="I50" t="n">
        <v>3.8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Rödlånke</t>
        </is>
      </c>
      <c r="W50">
        <f>HYPERLINK("https://klasma.github.io/Logging_0821/artfynd/A 23859-2026 artfynd.xlsx", "A 23859-2026")</f>
        <v/>
      </c>
      <c r="X50">
        <f>HYPERLINK("https://klasma.github.io/Logging_0821/kartor/A 23859-2026 karta.png", "A 23859-2026")</f>
        <v/>
      </c>
      <c r="Y50">
        <f>HYPERLINK("https://klasma.github.io/Logging_0821/kartor_geotiff/A 23859-2026 georefererad karta.tif", "A 23859-2026")</f>
        <v/>
      </c>
      <c r="AA50">
        <f>HYPERLINK("https://klasma.github.io/Logging_0821/klagomål/A 23859-2026 FSC-klagomål.docx", "A 23859-2026")</f>
        <v/>
      </c>
      <c r="AB50">
        <f>HYPERLINK("https://klasma.github.io/Logging_0821/klagomålsmail/A 23859-2026 FSC-klagomål mail.docx", "A 23859-2026")</f>
        <v/>
      </c>
      <c r="AC50">
        <f>HYPERLINK("https://klasma.github.io/Logging_0821/tillsyn/A 23859-2026 tillsynsbegäran.docx", "A 23859-2026")</f>
        <v/>
      </c>
      <c r="AD50">
        <f>HYPERLINK("https://klasma.github.io/Logging_0821/tillsynsmail/A 23859-2026 tillsynsbegäran mail.docx", "A 23859-2026")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46277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35072-2023 artfynd.xlsx", "A 35072-2023")</f>
        <v/>
      </c>
      <c r="X51">
        <f>HYPERLINK("https://klasma.github.io/Logging_0821/kartor/A 35072-2023 karta.png", "A 35072-2023")</f>
        <v/>
      </c>
      <c r="Y51">
        <f>HYPERLINK("https://klasma.github.io/Logging_0821/kartor_geotiff/A 35072-2023 georefererad karta.tif", "A 35072-2023")</f>
        <v/>
      </c>
      <c r="AA51">
        <f>HYPERLINK("https://klasma.github.io/Logging_0821/klagomål/A 35072-2023 FSC-klagomål.docx", "A 35072-2023")</f>
        <v/>
      </c>
      <c r="AB51">
        <f>HYPERLINK("https://klasma.github.io/Logging_0821/klagomålsmail/A 35072-2023 FSC-klagomål mail.docx", "A 35072-2023")</f>
        <v/>
      </c>
      <c r="AC51">
        <f>HYPERLINK("https://klasma.github.io/Logging_0821/tillsyn/A 35072-2023 tillsynsbegäran.docx", "A 35072-2023")</f>
        <v/>
      </c>
      <c r="AD51">
        <f>HYPERLINK("https://klasma.github.io/Logging_0821/tillsynsmail/A 35072-2023 tillsynsbegäran mail.docx", "A 35072-2023")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46277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46277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46277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46277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59700-2023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45256</v>
      </c>
      <c r="E56" s="1" t="n">
        <v>46277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59700-2023 artfynd.xlsx", "A 59700-2023")</f>
        <v/>
      </c>
      <c r="X56">
        <f>HYPERLINK("https://klasma.github.io/Logging_0821/kartor/A 59700-2023 karta.png", "A 59700-2023")</f>
        <v/>
      </c>
      <c r="Y56">
        <f>HYPERLINK("https://klasma.github.io/Logging_0821/kartor_geotiff/A 59700-2023 georefererad karta.tif", "A 59700-2023")</f>
        <v/>
      </c>
      <c r="AA56">
        <f>HYPERLINK("https://klasma.github.io/Logging_0821/klagomål/A 59700-2023 FSC-klagomål.docx", "A 59700-2023")</f>
        <v/>
      </c>
      <c r="AB56">
        <f>HYPERLINK("https://klasma.github.io/Logging_0821/klagomålsmail/A 59700-2023 FSC-klagomål mail.docx", "A 59700-2023")</f>
        <v/>
      </c>
      <c r="AC56">
        <f>HYPERLINK("https://klasma.github.io/Logging_0821/tillsyn/A 59700-2023 tillsynsbegäran.docx", "A 59700-2023")</f>
        <v/>
      </c>
      <c r="AD56">
        <f>HYPERLINK("https://klasma.github.io/Logging_0821/tillsynsmail/A 59700-2023 tillsynsbegäran mail.docx", "A 59700-2023")</f>
        <v/>
      </c>
      <c r="AE56">
        <f>HYPERLINK("https://klasma.github.io/Logging_0821/fåglar/A 59700-2023 prioriterade fågelarter.docx", "A 59700-2023")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46277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46277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46277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46277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46277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46277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46277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46277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46277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46277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46277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46277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46277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46277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46277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46277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46277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46277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46277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46277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46277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46277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46277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46277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46277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46277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46277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46277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46277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46277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46277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46277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46277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46277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46277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46277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46277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46277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46277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46277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46277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46277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46277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46277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46277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46277</v>
      </c>
      <c r="F103" t="inlineStr">
        <is>
          <t>KALMAR LÄN</t>
        </is>
      </c>
      <c r="G103" t="inlineStr">
        <is>
          <t>HÖGSBY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14193-2024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46277</v>
      </c>
      <c r="F104" t="inlineStr">
        <is>
          <t>KALMAR LÄN</t>
        </is>
      </c>
      <c r="G104" t="inlineStr">
        <is>
          <t>HÖGSBY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46277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46277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46277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46277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46277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46277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46277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46277</v>
      </c>
      <c r="F112" t="inlineStr">
        <is>
          <t>KALMAR LÄN</t>
        </is>
      </c>
      <c r="G112" t="inlineStr">
        <is>
          <t>HÖGSBY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46277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46277</v>
      </c>
      <c r="F114" t="inlineStr">
        <is>
          <t>KALMAR LÄN</t>
        </is>
      </c>
      <c r="G114" t="inlineStr">
        <is>
          <t>HÖGSBY</t>
        </is>
      </c>
      <c r="I114" t="n">
        <v>11.5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57006-2024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45626</v>
      </c>
      <c r="E115" s="1" t="n">
        <v>46277</v>
      </c>
      <c r="F115" t="inlineStr">
        <is>
          <t>KALMAR LÄN</t>
        </is>
      </c>
      <c r="G115" t="inlineStr">
        <is>
          <t>HÖGSBY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46277</v>
      </c>
      <c r="F116" t="inlineStr">
        <is>
          <t>KALMAR LÄN</t>
        </is>
      </c>
      <c r="G116" t="inlineStr">
        <is>
          <t>HÖGSBY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46277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46277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46277</v>
      </c>
      <c r="F119" t="inlineStr">
        <is>
          <t>KALMAR LÄN</t>
        </is>
      </c>
      <c r="G119" t="inlineStr">
        <is>
          <t>HÖGSBY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46277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46277</v>
      </c>
      <c r="F121" t="inlineStr">
        <is>
          <t>KALMAR LÄN</t>
        </is>
      </c>
      <c r="G121" t="inlineStr">
        <is>
          <t>HÖGSBY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46277</v>
      </c>
      <c r="F122" t="inlineStr">
        <is>
          <t>KALMAR LÄN</t>
        </is>
      </c>
      <c r="G122" t="inlineStr">
        <is>
          <t>HÖGSBY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45554</v>
      </c>
      <c r="E123" s="1" t="n">
        <v>46277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45624</v>
      </c>
      <c r="E124" s="1" t="n">
        <v>46277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46277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46277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65130-2023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45288</v>
      </c>
      <c r="E127" s="1" t="n">
        <v>46277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46277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57000-2024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45626</v>
      </c>
      <c r="E129" s="1" t="n">
        <v>46277</v>
      </c>
      <c r="F129" t="inlineStr">
        <is>
          <t>KALMAR LÄN</t>
        </is>
      </c>
      <c r="G129" t="inlineStr">
        <is>
          <t>HÖGSBY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46277</v>
      </c>
      <c r="F130" t="inlineStr">
        <is>
          <t>KALMAR LÄN</t>
        </is>
      </c>
      <c r="G130" t="inlineStr">
        <is>
          <t>HÖGSBY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60853-2021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46277</v>
      </c>
      <c r="F131" t="inlineStr">
        <is>
          <t>KALMAR LÄN</t>
        </is>
      </c>
      <c r="G131" t="inlineStr">
        <is>
          <t>HÖGSBY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46277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46277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38068-2025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45882</v>
      </c>
      <c r="E134" s="1" t="n">
        <v>46277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45688</v>
      </c>
      <c r="E135" s="1" t="n">
        <v>46277</v>
      </c>
      <c r="F135" t="inlineStr">
        <is>
          <t>KALMAR LÄN</t>
        </is>
      </c>
      <c r="G135" t="inlineStr">
        <is>
          <t>HÖGSBY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46277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46277</v>
      </c>
      <c r="F137" t="inlineStr">
        <is>
          <t>KALMAR LÄN</t>
        </is>
      </c>
      <c r="G137" t="inlineStr">
        <is>
          <t>HÖGSBY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46277</v>
      </c>
      <c r="F138" t="inlineStr">
        <is>
          <t>KALMAR LÄN</t>
        </is>
      </c>
      <c r="G138" t="inlineStr">
        <is>
          <t>HÖGSBY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44729</v>
      </c>
      <c r="E139" s="1" t="n">
        <v>46277</v>
      </c>
      <c r="F139" t="inlineStr">
        <is>
          <t>KALMAR LÄN</t>
        </is>
      </c>
      <c r="G139" t="inlineStr">
        <is>
          <t>HÖGSBY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46277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46277</v>
      </c>
      <c r="F141" t="inlineStr">
        <is>
          <t>KALMAR LÄN</t>
        </is>
      </c>
      <c r="G141" t="inlineStr">
        <is>
          <t>HÖGSBY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46277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46277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46277</v>
      </c>
      <c r="F144" t="inlineStr">
        <is>
          <t>KALMAR LÄN</t>
        </is>
      </c>
      <c r="G144" t="inlineStr">
        <is>
          <t>HÖGSBY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46277</v>
      </c>
      <c r="F145" t="inlineStr">
        <is>
          <t>KALMAR LÄN</t>
        </is>
      </c>
      <c r="G145" t="inlineStr">
        <is>
          <t>HÖGSBY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46277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46277</v>
      </c>
      <c r="F147" t="inlineStr">
        <is>
          <t>KALMAR LÄN</t>
        </is>
      </c>
      <c r="G147" t="inlineStr">
        <is>
          <t>HÖGSBY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46277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46277</v>
      </c>
      <c r="F149" t="inlineStr">
        <is>
          <t>KALMAR LÄN</t>
        </is>
      </c>
      <c r="G149" t="inlineStr">
        <is>
          <t>HÖGSBY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46277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46277</v>
      </c>
      <c r="F151" t="inlineStr">
        <is>
          <t>KALMAR LÄN</t>
        </is>
      </c>
      <c r="G151" t="inlineStr">
        <is>
          <t>HÖGSBY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46277</v>
      </c>
      <c r="F152" t="inlineStr">
        <is>
          <t>KALMAR LÄN</t>
        </is>
      </c>
      <c r="G152" t="inlineStr">
        <is>
          <t>HÖGSBY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46277</v>
      </c>
      <c r="F153" t="inlineStr">
        <is>
          <t>KALMAR LÄN</t>
        </is>
      </c>
      <c r="G153" t="inlineStr">
        <is>
          <t>HÖGSBY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46277</v>
      </c>
      <c r="F154" t="inlineStr">
        <is>
          <t>KALMAR LÄN</t>
        </is>
      </c>
      <c r="G154" t="inlineStr">
        <is>
          <t>HÖGSBY</t>
        </is>
      </c>
      <c r="H154" t="inlineStr">
        <is>
          <t>Kyrkan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45743</v>
      </c>
      <c r="E155" s="1" t="n">
        <v>46277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46277</v>
      </c>
      <c r="F156" t="inlineStr">
        <is>
          <t>KALMAR LÄN</t>
        </is>
      </c>
      <c r="G156" t="inlineStr">
        <is>
          <t>HÖGSBY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46277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38802-2024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45547</v>
      </c>
      <c r="E158" s="1" t="n">
        <v>46277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46277</v>
      </c>
      <c r="F159" t="inlineStr">
        <is>
          <t>KALMAR LÄN</t>
        </is>
      </c>
      <c r="G159" t="inlineStr">
        <is>
          <t>HÖGSBY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46277</v>
      </c>
      <c r="F160" t="inlineStr">
        <is>
          <t>KALMAR LÄN</t>
        </is>
      </c>
      <c r="G160" t="inlineStr">
        <is>
          <t>HÖGSBY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46277</v>
      </c>
      <c r="F161" t="inlineStr">
        <is>
          <t>KALMAR LÄN</t>
        </is>
      </c>
      <c r="G161" t="inlineStr">
        <is>
          <t>HÖGSBY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46277</v>
      </c>
      <c r="F162" t="inlineStr">
        <is>
          <t>KALMAR LÄN</t>
        </is>
      </c>
      <c r="G162" t="inlineStr">
        <is>
          <t>HÖGSBY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46277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46277</v>
      </c>
      <c r="F164" t="inlineStr">
        <is>
          <t>KALMAR LÄN</t>
        </is>
      </c>
      <c r="G164" t="inlineStr">
        <is>
          <t>HÖGSBY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46277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46277</v>
      </c>
      <c r="F166" t="inlineStr">
        <is>
          <t>KALMAR LÄN</t>
        </is>
      </c>
      <c r="G166" t="inlineStr">
        <is>
          <t>HÖGSBY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46277</v>
      </c>
      <c r="F167" t="inlineStr">
        <is>
          <t>KALMAR LÄN</t>
        </is>
      </c>
      <c r="G167" t="inlineStr">
        <is>
          <t>HÖGSBY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46277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46277</v>
      </c>
      <c r="F169" t="inlineStr">
        <is>
          <t>KALMAR LÄN</t>
        </is>
      </c>
      <c r="G169" t="inlineStr">
        <is>
          <t>HÖGSBY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45247</v>
      </c>
      <c r="E170" s="1" t="n">
        <v>46277</v>
      </c>
      <c r="F170" t="inlineStr">
        <is>
          <t>KALMAR LÄN</t>
        </is>
      </c>
      <c r="G170" t="inlineStr">
        <is>
          <t>HÖGSBY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46277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46277</v>
      </c>
      <c r="F172" t="inlineStr">
        <is>
          <t>KALMAR LÄN</t>
        </is>
      </c>
      <c r="G172" t="inlineStr">
        <is>
          <t>HÖGSBY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46277</v>
      </c>
      <c r="F173" t="inlineStr">
        <is>
          <t>KALMAR LÄN</t>
        </is>
      </c>
      <c r="G173" t="inlineStr">
        <is>
          <t>HÖGSBY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45244</v>
      </c>
      <c r="E174" s="1" t="n">
        <v>46277</v>
      </c>
      <c r="F174" t="inlineStr">
        <is>
          <t>KALMAR LÄN</t>
        </is>
      </c>
      <c r="G174" t="inlineStr">
        <is>
          <t>HÖGSBY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46277</v>
      </c>
      <c r="F175" t="inlineStr">
        <is>
          <t>KALMAR LÄN</t>
        </is>
      </c>
      <c r="G175" t="inlineStr">
        <is>
          <t>HÖGSBY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46122</v>
      </c>
      <c r="E176" s="1" t="n">
        <v>46277</v>
      </c>
      <c r="F176" t="inlineStr">
        <is>
          <t>KALMAR LÄN</t>
        </is>
      </c>
      <c r="G176" t="inlineStr">
        <is>
          <t>HÖGSBY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46277</v>
      </c>
      <c r="F177" t="inlineStr">
        <is>
          <t>KALMAR LÄN</t>
        </is>
      </c>
      <c r="G177" t="inlineStr">
        <is>
          <t>HÖGSBY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45532</v>
      </c>
      <c r="E178" s="1" t="n">
        <v>46277</v>
      </c>
      <c r="F178" t="inlineStr">
        <is>
          <t>KALMAR LÄN</t>
        </is>
      </c>
      <c r="G178" t="inlineStr">
        <is>
          <t>HÖGSBY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46277</v>
      </c>
      <c r="F179" t="inlineStr">
        <is>
          <t>KALMAR LÄN</t>
        </is>
      </c>
      <c r="G179" t="inlineStr">
        <is>
          <t>HÖGSBY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46277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46277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46277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44981</v>
      </c>
      <c r="E183" s="1" t="n">
        <v>46277</v>
      </c>
      <c r="F183" t="inlineStr">
        <is>
          <t>KALMAR LÄN</t>
        </is>
      </c>
      <c r="G183" t="inlineStr">
        <is>
          <t>HÖGSBY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46277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46277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18.4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46277</v>
      </c>
      <c r="F186" t="inlineStr">
        <is>
          <t>KALMAR LÄN</t>
        </is>
      </c>
      <c r="G186" t="inlineStr">
        <is>
          <t>HÖGSBY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46277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46277</v>
      </c>
      <c r="F188" t="inlineStr">
        <is>
          <t>KALMAR LÄN</t>
        </is>
      </c>
      <c r="G188" t="inlineStr">
        <is>
          <t>HÖGSBY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46277</v>
      </c>
      <c r="F189" t="inlineStr">
        <is>
          <t>KALMAR LÄN</t>
        </is>
      </c>
      <c r="G189" t="inlineStr">
        <is>
          <t>HÖGSBY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46277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46277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46277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46277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46277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44904</v>
      </c>
      <c r="E195" s="1" t="n">
        <v>46277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46277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46277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46277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46277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46277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46277</v>
      </c>
      <c r="F201" t="inlineStr">
        <is>
          <t>KALMAR LÄN</t>
        </is>
      </c>
      <c r="G201" t="inlineStr">
        <is>
          <t>HÖGSBY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46277</v>
      </c>
      <c r="F202" t="inlineStr">
        <is>
          <t>KALMAR LÄN</t>
        </is>
      </c>
      <c r="G202" t="inlineStr">
        <is>
          <t>HÖGSBY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46277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46277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46277</v>
      </c>
      <c r="F205" t="inlineStr">
        <is>
          <t>KALMAR LÄN</t>
        </is>
      </c>
      <c r="G205" t="inlineStr">
        <is>
          <t>HÖGSBY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46277</v>
      </c>
      <c r="F206" t="inlineStr">
        <is>
          <t>KALMAR LÄN</t>
        </is>
      </c>
      <c r="G206" t="inlineStr">
        <is>
          <t>HÖGSBY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46277</v>
      </c>
      <c r="F207" t="inlineStr">
        <is>
          <t>KALMAR LÄN</t>
        </is>
      </c>
      <c r="G207" t="inlineStr">
        <is>
          <t>HÖGSBY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46277</v>
      </c>
      <c r="F208" t="inlineStr">
        <is>
          <t>KALMAR LÄN</t>
        </is>
      </c>
      <c r="G208" t="inlineStr">
        <is>
          <t>HÖGSBY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46277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46277</v>
      </c>
      <c r="F210" t="inlineStr">
        <is>
          <t>KALMAR LÄN</t>
        </is>
      </c>
      <c r="G210" t="inlineStr">
        <is>
          <t>HÖGSBY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46277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46013</v>
      </c>
      <c r="E212" s="1" t="n">
        <v>46277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44809</v>
      </c>
      <c r="E213" s="1" t="n">
        <v>46277</v>
      </c>
      <c r="F213" t="inlineStr">
        <is>
          <t>KALMAR LÄN</t>
        </is>
      </c>
      <c r="G213" t="inlineStr">
        <is>
          <t>HÖGSBY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46277</v>
      </c>
      <c r="F214" t="inlineStr">
        <is>
          <t>KALMAR LÄN</t>
        </is>
      </c>
      <c r="G214" t="inlineStr">
        <is>
          <t>HÖGSBY</t>
        </is>
      </c>
      <c r="I214" t="n">
        <v>12.1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46277</v>
      </c>
      <c r="F215" t="inlineStr">
        <is>
          <t>KALMAR LÄN</t>
        </is>
      </c>
      <c r="G215" t="inlineStr">
        <is>
          <t>HÖGSBY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45034</v>
      </c>
      <c r="E216" s="1" t="n">
        <v>46277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46277</v>
      </c>
      <c r="F217" t="inlineStr">
        <is>
          <t>KALMAR LÄN</t>
        </is>
      </c>
      <c r="G217" t="inlineStr">
        <is>
          <t>HÖGSBY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45727</v>
      </c>
      <c r="E218" s="1" t="n">
        <v>46277</v>
      </c>
      <c r="F218" t="inlineStr">
        <is>
          <t>KALMAR LÄN</t>
        </is>
      </c>
      <c r="G218" t="inlineStr">
        <is>
          <t>HÖGSBY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46277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44907</v>
      </c>
      <c r="E220" s="1" t="n">
        <v>46277</v>
      </c>
      <c r="F220" t="inlineStr">
        <is>
          <t>KALMAR LÄN</t>
        </is>
      </c>
      <c r="G220" t="inlineStr">
        <is>
          <t>HÖGSBY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45624</v>
      </c>
      <c r="E221" s="1" t="n">
        <v>46277</v>
      </c>
      <c r="F221" t="inlineStr">
        <is>
          <t>KALMAR LÄN</t>
        </is>
      </c>
      <c r="G221" t="inlineStr">
        <is>
          <t>HÖGSBY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45307</v>
      </c>
      <c r="E222" s="1" t="n">
        <v>46277</v>
      </c>
      <c r="F222" t="inlineStr">
        <is>
          <t>KALMAR LÄN</t>
        </is>
      </c>
      <c r="G222" t="inlineStr">
        <is>
          <t>HÖGSBY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45114</v>
      </c>
      <c r="E223" s="1" t="n">
        <v>46277</v>
      </c>
      <c r="F223" t="inlineStr">
        <is>
          <t>KALMAR LÄN</t>
        </is>
      </c>
      <c r="G223" t="inlineStr">
        <is>
          <t>HÖGSBY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46277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60555-2021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46277</v>
      </c>
      <c r="F225" t="inlineStr">
        <is>
          <t>KALMAR LÄN</t>
        </is>
      </c>
      <c r="G225" t="inlineStr">
        <is>
          <t>HÖGSBY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46277</v>
      </c>
      <c r="F226" t="inlineStr">
        <is>
          <t>KALMAR LÄN</t>
        </is>
      </c>
      <c r="G226" t="inlineStr">
        <is>
          <t>HÖGSBY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45386</v>
      </c>
      <c r="E227" s="1" t="n">
        <v>46277</v>
      </c>
      <c r="F227" t="inlineStr">
        <is>
          <t>KALMAR LÄN</t>
        </is>
      </c>
      <c r="G227" t="inlineStr">
        <is>
          <t>HÖGSBY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46048</v>
      </c>
      <c r="E228" s="1" t="n">
        <v>46277</v>
      </c>
      <c r="F228" t="inlineStr">
        <is>
          <t>KALMAR LÄN</t>
        </is>
      </c>
      <c r="G228" t="inlineStr">
        <is>
          <t>HÖGSBY</t>
        </is>
      </c>
      <c r="I228" t="n">
        <v>7.7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46329-2024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46277</v>
      </c>
      <c r="F229" t="inlineStr">
        <is>
          <t>KALMAR LÄN</t>
        </is>
      </c>
      <c r="G229" t="inlineStr">
        <is>
          <t>HÖGSBY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46277</v>
      </c>
      <c r="F230" t="inlineStr">
        <is>
          <t>KALMAR LÄN</t>
        </is>
      </c>
      <c r="G230" t="inlineStr">
        <is>
          <t>HÖGSBY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73709-2021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46277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45393</v>
      </c>
      <c r="E232" s="1" t="n">
        <v>46277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46277</v>
      </c>
      <c r="F233" t="inlineStr">
        <is>
          <t>KALMAR LÄN</t>
        </is>
      </c>
      <c r="G233" t="inlineStr">
        <is>
          <t>HÖGSBY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45546</v>
      </c>
      <c r="E234" s="1" t="n">
        <v>46277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45348</v>
      </c>
      <c r="E235" s="1" t="n">
        <v>46277</v>
      </c>
      <c r="F235" t="inlineStr">
        <is>
          <t>KALMAR LÄN</t>
        </is>
      </c>
      <c r="G235" t="inlineStr">
        <is>
          <t>HÖGSBY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46277</v>
      </c>
      <c r="F236" t="inlineStr">
        <is>
          <t>KALMAR LÄN</t>
        </is>
      </c>
      <c r="G236" t="inlineStr">
        <is>
          <t>HÖGSBY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8463-2023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44972</v>
      </c>
      <c r="E237" s="1" t="n">
        <v>46277</v>
      </c>
      <c r="F237" t="inlineStr">
        <is>
          <t>KALMAR LÄN</t>
        </is>
      </c>
      <c r="G237" t="inlineStr">
        <is>
          <t>HÖGSBY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46277</v>
      </c>
      <c r="F238" t="inlineStr">
        <is>
          <t>KALMAR LÄN</t>
        </is>
      </c>
      <c r="G238" t="inlineStr">
        <is>
          <t>HÖGSBY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7166-2026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46277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46059</v>
      </c>
      <c r="E240" s="1" t="n">
        <v>46277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45360</v>
      </c>
      <c r="E241" s="1" t="n">
        <v>46277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46277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46277</v>
      </c>
      <c r="F243" t="inlineStr">
        <is>
          <t>KALMAR LÄN</t>
        </is>
      </c>
      <c r="G243" t="inlineStr">
        <is>
          <t>HÖGSBY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41479-2023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46277</v>
      </c>
      <c r="F244" t="inlineStr">
        <is>
          <t>KALMAR LÄN</t>
        </is>
      </c>
      <c r="G244" t="inlineStr">
        <is>
          <t>HÖGSBY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53501-2024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46277</v>
      </c>
      <c r="F245" t="inlineStr">
        <is>
          <t>KALMAR LÄN</t>
        </is>
      </c>
      <c r="G245" t="inlineStr">
        <is>
          <t>HÖGSBY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45145</v>
      </c>
      <c r="E246" s="1" t="n">
        <v>46277</v>
      </c>
      <c r="F246" t="inlineStr">
        <is>
          <t>KALMAR LÄN</t>
        </is>
      </c>
      <c r="G246" t="inlineStr">
        <is>
          <t>HÖGSBY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46277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44993</v>
      </c>
      <c r="E248" s="1" t="n">
        <v>46277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46277</v>
      </c>
      <c r="F249" t="inlineStr">
        <is>
          <t>KALMAR LÄN</t>
        </is>
      </c>
      <c r="G249" t="inlineStr">
        <is>
          <t>HÖGSBY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45348</v>
      </c>
      <c r="E250" s="1" t="n">
        <v>46277</v>
      </c>
      <c r="F250" t="inlineStr">
        <is>
          <t>KALMAR LÄN</t>
        </is>
      </c>
      <c r="G250" t="inlineStr">
        <is>
          <t>HÖGSBY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46277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46277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46277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46277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46277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46277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47443-2025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46277</v>
      </c>
      <c r="F257" t="inlineStr">
        <is>
          <t>KALMAR LÄN</t>
        </is>
      </c>
      <c r="G257" t="inlineStr">
        <is>
          <t>HÖGSBY</t>
        </is>
      </c>
      <c r="H257" t="inlineStr">
        <is>
          <t>Kyrkan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47503-2023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45203</v>
      </c>
      <c r="E258" s="1" t="n">
        <v>46277</v>
      </c>
      <c r="F258" t="inlineStr">
        <is>
          <t>KALMAR LÄN</t>
        </is>
      </c>
      <c r="G258" t="inlineStr">
        <is>
          <t>HÖGSBY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22562-2026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46155</v>
      </c>
      <c r="E259" s="1" t="n">
        <v>46277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22564-2026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46155</v>
      </c>
      <c r="E260" s="1" t="n">
        <v>46277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46277</v>
      </c>
      <c r="F261" t="inlineStr">
        <is>
          <t>KALMAR LÄN</t>
        </is>
      </c>
      <c r="G261" t="inlineStr">
        <is>
          <t>HÖGSBY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22757-2026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46157</v>
      </c>
      <c r="E262" s="1" t="n">
        <v>46277</v>
      </c>
      <c r="F262" t="inlineStr">
        <is>
          <t>KALMAR LÄN</t>
        </is>
      </c>
      <c r="G262" t="inlineStr">
        <is>
          <t>HÖGSBY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46157</v>
      </c>
      <c r="E263" s="1" t="n">
        <v>46277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46277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46277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23209-2026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46162</v>
      </c>
      <c r="E266" s="1" t="n">
        <v>46277</v>
      </c>
      <c r="F266" t="inlineStr">
        <is>
          <t>KALMAR LÄN</t>
        </is>
      </c>
      <c r="G266" t="inlineStr">
        <is>
          <t>HÖGSBY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23116-2026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46161</v>
      </c>
      <c r="E267" s="1" t="n">
        <v>46277</v>
      </c>
      <c r="F267" t="inlineStr">
        <is>
          <t>KALMAR LÄN</t>
        </is>
      </c>
      <c r="G267" t="inlineStr">
        <is>
          <t>HÖGSBY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38797-2024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45547</v>
      </c>
      <c r="E268" s="1" t="n">
        <v>46277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46277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46167</v>
      </c>
      <c r="E270" s="1" t="n">
        <v>46277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46277</v>
      </c>
      <c r="F271" t="inlineStr">
        <is>
          <t>KALMAR LÄN</t>
        </is>
      </c>
      <c r="G271" t="inlineStr">
        <is>
          <t>HÖGSBY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25876-2023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46277</v>
      </c>
      <c r="F272" t="inlineStr">
        <is>
          <t>KALMAR LÄN</t>
        </is>
      </c>
      <c r="G272" t="inlineStr">
        <is>
          <t>HÖGSBY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45160</v>
      </c>
      <c r="E273" s="1" t="n">
        <v>46277</v>
      </c>
      <c r="F273" t="inlineStr">
        <is>
          <t>KALMAR LÄN</t>
        </is>
      </c>
      <c r="G273" t="inlineStr">
        <is>
          <t>HÖGSBY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44677</v>
      </c>
      <c r="E274" s="1" t="n">
        <v>46277</v>
      </c>
      <c r="F274" t="inlineStr">
        <is>
          <t>KALMAR LÄN</t>
        </is>
      </c>
      <c r="G274" t="inlineStr">
        <is>
          <t>HÖGSBY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46277</v>
      </c>
      <c r="F275" t="inlineStr">
        <is>
          <t>KALMAR LÄN</t>
        </is>
      </c>
      <c r="G275" t="inlineStr">
        <is>
          <t>HÖGSBY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46277</v>
      </c>
      <c r="F276" t="inlineStr">
        <is>
          <t>KALMAR LÄN</t>
        </is>
      </c>
      <c r="G276" t="inlineStr">
        <is>
          <t>HÖGSBY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46277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46277</v>
      </c>
      <c r="F278" t="inlineStr">
        <is>
          <t>KALMAR LÄN</t>
        </is>
      </c>
      <c r="G278" t="inlineStr">
        <is>
          <t>HÖGSBY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46277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46277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46277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46277</v>
      </c>
      <c r="F282" t="inlineStr">
        <is>
          <t>KALMAR LÄN</t>
        </is>
      </c>
      <c r="G282" t="inlineStr">
        <is>
          <t>HÖGSBY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63379-2023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46277</v>
      </c>
      <c r="F283" t="inlineStr">
        <is>
          <t>KALMAR LÄN</t>
        </is>
      </c>
      <c r="G283" t="inlineStr">
        <is>
          <t>HÖGSBY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24601-2024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45460</v>
      </c>
      <c r="E284" s="1" t="n">
        <v>46277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46277</v>
      </c>
      <c r="F285" t="inlineStr">
        <is>
          <t>KALMAR LÄN</t>
        </is>
      </c>
      <c r="G285" t="inlineStr">
        <is>
          <t>HÖGSBY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46277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44760</v>
      </c>
      <c r="E287" s="1" t="n">
        <v>46277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45259</v>
      </c>
      <c r="E288" s="1" t="n">
        <v>46277</v>
      </c>
      <c r="F288" t="inlineStr">
        <is>
          <t>KALMAR LÄN</t>
        </is>
      </c>
      <c r="G288" t="inlineStr">
        <is>
          <t>HÖGSBY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45720</v>
      </c>
      <c r="E289" s="1" t="n">
        <v>46277</v>
      </c>
      <c r="F289" t="inlineStr">
        <is>
          <t>KALMAR LÄN</t>
        </is>
      </c>
      <c r="G289" t="inlineStr">
        <is>
          <t>HÖGSBY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25352-2026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46176</v>
      </c>
      <c r="E290" s="1" t="n">
        <v>46277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46176</v>
      </c>
      <c r="E291" s="1" t="n">
        <v>46277</v>
      </c>
      <c r="F291" t="inlineStr">
        <is>
          <t>KALMAR LÄN</t>
        </is>
      </c>
      <c r="G291" t="inlineStr">
        <is>
          <t>HÖGSBY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26109-2026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46277</v>
      </c>
      <c r="F292" t="inlineStr">
        <is>
          <t>KALMAR LÄN</t>
        </is>
      </c>
      <c r="G292" t="inlineStr">
        <is>
          <t>HÖGSBY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46277</v>
      </c>
      <c r="F293" t="inlineStr">
        <is>
          <t>KALMAR LÄN</t>
        </is>
      </c>
      <c r="G293" t="inlineStr">
        <is>
          <t>HÖGSBY</t>
        </is>
      </c>
      <c r="I293" t="n">
        <v>7.3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46184</v>
      </c>
      <c r="E294" s="1" t="n">
        <v>46277</v>
      </c>
      <c r="F294" t="inlineStr">
        <is>
          <t>KALMAR LÄN</t>
        </is>
      </c>
      <c r="G294" t="inlineStr">
        <is>
          <t>HÖGSBY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46277</v>
      </c>
      <c r="F295" t="inlineStr">
        <is>
          <t>KALMAR LÄN</t>
        </is>
      </c>
      <c r="G295" t="inlineStr">
        <is>
          <t>HÖGSBY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45306</v>
      </c>
      <c r="E296" s="1" t="n">
        <v>46277</v>
      </c>
      <c r="F296" t="inlineStr">
        <is>
          <t>KALMAR LÄN</t>
        </is>
      </c>
      <c r="G296" t="inlineStr">
        <is>
          <t>HÖGSBY</t>
        </is>
      </c>
      <c r="H296" t="inlineStr">
        <is>
          <t>Övriga Aktiebolag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26757-2026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46277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46277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46277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46277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46277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46277</v>
      </c>
      <c r="F302" t="inlineStr">
        <is>
          <t>KALMAR LÄN</t>
        </is>
      </c>
      <c r="G302" t="inlineStr">
        <is>
          <t>HÖGSBY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46277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74478-2021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44559</v>
      </c>
      <c r="E304" s="1" t="n">
        <v>46277</v>
      </c>
      <c r="F304" t="inlineStr">
        <is>
          <t>KALMAR LÄN</t>
        </is>
      </c>
      <c r="G304" t="inlineStr">
        <is>
          <t>HÖGSBY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27812-2026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46277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46277</v>
      </c>
      <c r="F306" t="inlineStr">
        <is>
          <t>KALMAR LÄN</t>
        </is>
      </c>
      <c r="G306" t="inlineStr">
        <is>
          <t>HÖGSBY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46195</v>
      </c>
      <c r="E307" s="1" t="n">
        <v>46277</v>
      </c>
      <c r="F307" t="inlineStr">
        <is>
          <t>KALMAR LÄN</t>
        </is>
      </c>
      <c r="G307" t="inlineStr">
        <is>
          <t>HÖGSBY</t>
        </is>
      </c>
      <c r="H307" t="inlineStr">
        <is>
          <t>Kommuner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46277</v>
      </c>
      <c r="F308" t="inlineStr">
        <is>
          <t>KALMAR LÄN</t>
        </is>
      </c>
      <c r="G308" t="inlineStr">
        <is>
          <t>HÖGSBY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46237</v>
      </c>
      <c r="E309" s="1" t="n">
        <v>46277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38824-2024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45547</v>
      </c>
      <c r="E310" s="1" t="n">
        <v>46277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46277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46197</v>
      </c>
      <c r="E312" s="1" t="n">
        <v>46277</v>
      </c>
      <c r="F312" t="inlineStr">
        <is>
          <t>KALMAR LÄN</t>
        </is>
      </c>
      <c r="G312" t="inlineStr">
        <is>
          <t>HÖGSBY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46277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46277</v>
      </c>
      <c r="F314" t="inlineStr">
        <is>
          <t>KALMAR LÄN</t>
        </is>
      </c>
      <c r="G314" t="inlineStr">
        <is>
          <t>HÖGSBY</t>
        </is>
      </c>
      <c r="H314" t="inlineStr">
        <is>
          <t>Kommuner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46277</v>
      </c>
      <c r="F315" t="inlineStr">
        <is>
          <t>KALMAR LÄN</t>
        </is>
      </c>
      <c r="G315" t="inlineStr">
        <is>
          <t>HÖGSBY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46277</v>
      </c>
      <c r="F316" t="inlineStr">
        <is>
          <t>KALMAR LÄN</t>
        </is>
      </c>
      <c r="G316" t="inlineStr">
        <is>
          <t>HÖGSBY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28702-2026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46198</v>
      </c>
      <c r="E317" s="1" t="n">
        <v>46277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28692-2026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46277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28713-2026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46198</v>
      </c>
      <c r="E319" s="1" t="n">
        <v>46277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29038-2026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46277</v>
      </c>
      <c r="F320" t="inlineStr">
        <is>
          <t>KALMAR LÄN</t>
        </is>
      </c>
      <c r="G320" t="inlineStr">
        <is>
          <t>HÖGSBY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44861</v>
      </c>
      <c r="E321" s="1" t="n">
        <v>46277</v>
      </c>
      <c r="F321" t="inlineStr">
        <is>
          <t>KALMAR LÄN</t>
        </is>
      </c>
      <c r="G321" t="inlineStr">
        <is>
          <t>HÖGSBY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28634-2026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46198</v>
      </c>
      <c r="E322" s="1" t="n">
        <v>46277</v>
      </c>
      <c r="F322" t="inlineStr">
        <is>
          <t>KALMAR LÄN</t>
        </is>
      </c>
      <c r="G322" t="inlineStr">
        <is>
          <t>HÖGSBY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46277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46277</v>
      </c>
      <c r="F324" t="inlineStr">
        <is>
          <t>KALMAR LÄN</t>
        </is>
      </c>
      <c r="G324" t="inlineStr">
        <is>
          <t>HÖGSBY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46277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28691-2026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46277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28697-2026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46198</v>
      </c>
      <c r="E327" s="1" t="n">
        <v>46277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26927-2023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46277</v>
      </c>
      <c r="F328" t="inlineStr">
        <is>
          <t>KALMAR LÄN</t>
        </is>
      </c>
      <c r="G328" t="inlineStr">
        <is>
          <t>HÖGSBY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46277</v>
      </c>
      <c r="F329" t="inlineStr">
        <is>
          <t>KALMAR LÄN</t>
        </is>
      </c>
      <c r="G329" t="inlineStr">
        <is>
          <t>HÖGSBY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46277</v>
      </c>
      <c r="F330" t="inlineStr">
        <is>
          <t>KALMAR LÄN</t>
        </is>
      </c>
      <c r="G330" t="inlineStr">
        <is>
          <t>HÖGSBY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8613-2022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44613</v>
      </c>
      <c r="E331" s="1" t="n">
        <v>46277</v>
      </c>
      <c r="F331" t="inlineStr">
        <is>
          <t>KALMAR LÄN</t>
        </is>
      </c>
      <c r="G331" t="inlineStr">
        <is>
          <t>HÖGSBY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46277</v>
      </c>
      <c r="F332" t="inlineStr">
        <is>
          <t>KALMAR LÄN</t>
        </is>
      </c>
      <c r="G332" t="inlineStr">
        <is>
          <t>HÖGSBY</t>
        </is>
      </c>
      <c r="H332" t="inlineStr">
        <is>
          <t>Övriga Aktiebolag</t>
        </is>
      </c>
      <c r="I332" t="n">
        <v>15.2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46277</v>
      </c>
      <c r="F333" t="inlineStr">
        <is>
          <t>KALMAR LÄN</t>
        </is>
      </c>
      <c r="G333" t="inlineStr">
        <is>
          <t>HÖGSBY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45546</v>
      </c>
      <c r="E334" s="1" t="n">
        <v>46277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45447</v>
      </c>
      <c r="E335" s="1" t="n">
        <v>46277</v>
      </c>
      <c r="F335" t="inlineStr">
        <is>
          <t>KALMAR LÄN</t>
        </is>
      </c>
      <c r="G335" t="inlineStr">
        <is>
          <t>HÖGSBY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46277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12.7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51621-2023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45222</v>
      </c>
      <c r="E337" s="1" t="n">
        <v>46277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46277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46277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46277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58753-2022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44903</v>
      </c>
      <c r="E341" s="1" t="n">
        <v>46277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46277</v>
      </c>
      <c r="F342" t="inlineStr">
        <is>
          <t>KALMAR LÄN</t>
        </is>
      </c>
      <c r="G342" t="inlineStr">
        <is>
          <t>HÖGSBY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33788-2026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46251</v>
      </c>
      <c r="E343" s="1" t="n">
        <v>46277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46277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46277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46277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46277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46277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46277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46277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46277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46277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44436-2023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46277</v>
      </c>
      <c r="F353" t="inlineStr">
        <is>
          <t>KALMAR LÄN</t>
        </is>
      </c>
      <c r="G353" t="inlineStr">
        <is>
          <t>HÖGSBY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35914-2026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46266</v>
      </c>
      <c r="E354" s="1" t="n">
        <v>46277</v>
      </c>
      <c r="F354" t="inlineStr">
        <is>
          <t>KALMAR LÄN</t>
        </is>
      </c>
      <c r="G354" t="inlineStr">
        <is>
          <t>HÖGSBY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14394-2023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46277</v>
      </c>
      <c r="F355" t="inlineStr">
        <is>
          <t>KALMAR LÄN</t>
        </is>
      </c>
      <c r="G355" t="inlineStr">
        <is>
          <t>HÖGSBY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46277</v>
      </c>
      <c r="F356" t="inlineStr">
        <is>
          <t>KALMAR LÄN</t>
        </is>
      </c>
      <c r="G356" t="inlineStr">
        <is>
          <t>HÖGSBY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35910-2026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46277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46277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46267</v>
      </c>
      <c r="E359" s="1" t="n">
        <v>46277</v>
      </c>
      <c r="F359" t="inlineStr">
        <is>
          <t>KALMAR LÄN</t>
        </is>
      </c>
      <c r="G359" t="inlineStr">
        <is>
          <t>HÖGSBY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45588</v>
      </c>
      <c r="E360" s="1" t="n">
        <v>46277</v>
      </c>
      <c r="F360" t="inlineStr">
        <is>
          <t>KALMAR LÄN</t>
        </is>
      </c>
      <c r="G360" t="inlineStr">
        <is>
          <t>HÖGSBY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46277</v>
      </c>
      <c r="F361" t="inlineStr">
        <is>
          <t>KALMAR LÄN</t>
        </is>
      </c>
      <c r="G361" t="inlineStr">
        <is>
          <t>HÖGSBY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46268</v>
      </c>
      <c r="E362" s="1" t="n">
        <v>46277</v>
      </c>
      <c r="F362" t="inlineStr">
        <is>
          <t>KALMAR LÄN</t>
        </is>
      </c>
      <c r="G362" t="inlineStr">
        <is>
          <t>HÖGSBY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36258-2026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46277</v>
      </c>
      <c r="F363" t="inlineStr">
        <is>
          <t>KALMAR LÄN</t>
        </is>
      </c>
      <c r="G363" t="inlineStr">
        <is>
          <t>HÖGSBY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35873-2026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46266</v>
      </c>
      <c r="E364" s="1" t="n">
        <v>46277</v>
      </c>
      <c r="F364" t="inlineStr">
        <is>
          <t>KALMAR LÄN</t>
        </is>
      </c>
      <c r="G364" t="inlineStr">
        <is>
          <t>HÖGSBY</t>
        </is>
      </c>
      <c r="I364" t="n">
        <v>9.6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46277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36442-2026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46277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45239</v>
      </c>
      <c r="E367" s="1" t="n">
        <v>46277</v>
      </c>
      <c r="F367" t="inlineStr">
        <is>
          <t>KALMAR LÄN</t>
        </is>
      </c>
      <c r="G367" t="inlineStr">
        <is>
          <t>HÖGSBY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46277</v>
      </c>
      <c r="F368" t="inlineStr">
        <is>
          <t>KALMAR LÄN</t>
        </is>
      </c>
      <c r="G368" t="inlineStr">
        <is>
          <t>HÖGSBY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12757-2023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46277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46277</v>
      </c>
      <c r="F370" t="inlineStr">
        <is>
          <t>KALMAR LÄN</t>
        </is>
      </c>
      <c r="G370" t="inlineStr">
        <is>
          <t>HÖGSBY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36445-2026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46277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24.4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45153</v>
      </c>
      <c r="E372" s="1" t="n">
        <v>46277</v>
      </c>
      <c r="F372" t="inlineStr">
        <is>
          <t>KALMAR LÄN</t>
        </is>
      </c>
      <c r="G372" t="inlineStr">
        <is>
          <t>HÖGSBY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44623</v>
      </c>
      <c r="E373" s="1" t="n">
        <v>46277</v>
      </c>
      <c r="F373" t="inlineStr">
        <is>
          <t>KALMAR LÄN</t>
        </is>
      </c>
      <c r="G373" t="inlineStr">
        <is>
          <t>HÖGSBY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53328-2022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46277</v>
      </c>
      <c r="F374" t="inlineStr">
        <is>
          <t>KALMAR LÄN</t>
        </is>
      </c>
      <c r="G374" t="inlineStr">
        <is>
          <t>HÖGSBY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37194-2026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46274</v>
      </c>
      <c r="E375" s="1" t="n">
        <v>46277</v>
      </c>
      <c r="F375" t="inlineStr">
        <is>
          <t>KALMAR LÄN</t>
        </is>
      </c>
      <c r="G375" t="inlineStr">
        <is>
          <t>HÖGSBY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28650-2023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46277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59408-2022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44907</v>
      </c>
      <c r="E377" s="1" t="n">
        <v>46277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46277</v>
      </c>
      <c r="F378" t="inlineStr">
        <is>
          <t>KALMAR LÄN</t>
        </is>
      </c>
      <c r="G378" t="inlineStr">
        <is>
          <t>HÖGSBY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46277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44966</v>
      </c>
      <c r="E380" s="1" t="n">
        <v>46277</v>
      </c>
      <c r="F380" t="inlineStr">
        <is>
          <t>KALMAR LÄN</t>
        </is>
      </c>
      <c r="G380" t="inlineStr">
        <is>
          <t>HÖGSBY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46274</v>
      </c>
      <c r="E381" s="1" t="n">
        <v>46277</v>
      </c>
      <c r="F381" t="inlineStr">
        <is>
          <t>KALMAR LÄN</t>
        </is>
      </c>
      <c r="G381" t="inlineStr">
        <is>
          <t>HÖGSBY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37335-2026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46275</v>
      </c>
      <c r="E382" s="1" t="n">
        <v>46277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46277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46277</v>
      </c>
      <c r="F384" t="inlineStr">
        <is>
          <t>KALMAR LÄN</t>
        </is>
      </c>
      <c r="G384" t="inlineStr">
        <is>
          <t>HÖGSBY</t>
        </is>
      </c>
      <c r="I384" t="n">
        <v>8.9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46277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45523</v>
      </c>
      <c r="E386" s="1" t="n">
        <v>46277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46277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46277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46277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24013-2025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46277</v>
      </c>
      <c r="F390" t="inlineStr">
        <is>
          <t>KALMAR LÄN</t>
        </is>
      </c>
      <c r="G390" t="inlineStr">
        <is>
          <t>HÖGSBY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46277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46277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46277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46277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46277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46277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46277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46277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46277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46277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46277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46277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46277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46277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46277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46277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46277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46277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46277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46277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46277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46277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46277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46277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46277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2026-09-12T02:10:57Z</dcterms:created>
  <dcterms:modified xmlns:dcterms="http://purl.org/dc/terms/" xmlns:xsi="http://www.w3.org/2001/XMLSchema-instance" xsi:type="dcterms:W3CDTF">2026-09-12T02:10:57Z</dcterms:modified>
</cp:coreProperties>
</file>