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45826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45826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45826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45826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45826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45826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45826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45826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45826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45826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45826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45826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45826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45826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45826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45826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45826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45826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60252-2022</t>
        </is>
      </c>
      <c r="B20" s="1" t="n">
        <v>44910</v>
      </c>
      <c r="C20" s="1" t="n">
        <v>45826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Sommarfibbla
Spillkråka
Spindelört
Fällmossa
Blåsippa</t>
        </is>
      </c>
      <c r="S20">
        <f>HYPERLINK("https://klasma.github.io/Logging_0821/artfynd/A 60252-2022 artfynd.xlsx", "A 60252-2022")</f>
        <v/>
      </c>
      <c r="T20">
        <f>HYPERLINK("https://klasma.github.io/Logging_0821/kartor/A 60252-2022 karta.png", "A 60252-2022")</f>
        <v/>
      </c>
      <c r="V20">
        <f>HYPERLINK("https://klasma.github.io/Logging_0821/klagomål/A 60252-2022 FSC-klagomål.docx", "A 60252-2022")</f>
        <v/>
      </c>
      <c r="W20">
        <f>HYPERLINK("https://klasma.github.io/Logging_0821/klagomålsmail/A 60252-2022 FSC-klagomål mail.docx", "A 60252-2022")</f>
        <v/>
      </c>
      <c r="X20">
        <f>HYPERLINK("https://klasma.github.io/Logging_0821/tillsyn/A 60252-2022 tillsynsbegäran.docx", "A 60252-2022")</f>
        <v/>
      </c>
      <c r="Y20">
        <f>HYPERLINK("https://klasma.github.io/Logging_0821/tillsynsmail/A 60252-2022 tillsynsbegäran mail.docx", "A 60252-2022")</f>
        <v/>
      </c>
      <c r="Z20">
        <f>HYPERLINK("https://klasma.github.io/Logging_0821/fåglar/A 60252-2022 prioriterade fågelarter.docx", "A 60252-2022")</f>
        <v/>
      </c>
    </row>
    <row r="21" ht="15" customHeight="1">
      <c r="A21" t="inlineStr">
        <is>
          <t>A 24795-2020</t>
        </is>
      </c>
      <c r="B21" s="1" t="n">
        <v>43978</v>
      </c>
      <c r="C21" s="1" t="n">
        <v>45826</v>
      </c>
      <c r="D21" t="inlineStr">
        <is>
          <t>KALMAR LÄN</t>
        </is>
      </c>
      <c r="E21" t="inlineStr">
        <is>
          <t>HÖGSBY</t>
        </is>
      </c>
      <c r="G21" t="n">
        <v>0.6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Grangråticka
Spillkråka
Skarp dropptaggsvamp
Blåsippa</t>
        </is>
      </c>
      <c r="S21">
        <f>HYPERLINK("https://klasma.github.io/Logging_0821/artfynd/A 24795-2020 artfynd.xlsx", "A 24795-2020")</f>
        <v/>
      </c>
      <c r="T21">
        <f>HYPERLINK("https://klasma.github.io/Logging_0821/kartor/A 24795-2020 karta.png", "A 24795-2020")</f>
        <v/>
      </c>
      <c r="V21">
        <f>HYPERLINK("https://klasma.github.io/Logging_0821/klagomål/A 24795-2020 FSC-klagomål.docx", "A 24795-2020")</f>
        <v/>
      </c>
      <c r="W21">
        <f>HYPERLINK("https://klasma.github.io/Logging_0821/klagomålsmail/A 24795-2020 FSC-klagomål mail.docx", "A 24795-2020")</f>
        <v/>
      </c>
      <c r="X21">
        <f>HYPERLINK("https://klasma.github.io/Logging_0821/tillsyn/A 24795-2020 tillsynsbegäran.docx", "A 24795-2020")</f>
        <v/>
      </c>
      <c r="Y21">
        <f>HYPERLINK("https://klasma.github.io/Logging_0821/tillsynsmail/A 24795-2020 tillsynsbegäran mail.docx", "A 24795-2020")</f>
        <v/>
      </c>
      <c r="Z21">
        <f>HYPERLINK("https://klasma.github.io/Logging_0821/fåglar/A 24795-2020 prioriterade fågelarter.docx", "A 24795-2020")</f>
        <v/>
      </c>
    </row>
    <row r="22" ht="15" customHeight="1">
      <c r="A22" t="inlineStr">
        <is>
          <t>A 51578-2020</t>
        </is>
      </c>
      <c r="B22" s="1" t="n">
        <v>44109</v>
      </c>
      <c r="C22" s="1" t="n">
        <v>45826</v>
      </c>
      <c r="D22" t="inlineStr">
        <is>
          <t>KALMAR LÄN</t>
        </is>
      </c>
      <c r="E22" t="inlineStr">
        <is>
          <t>HÖGSBY</t>
        </is>
      </c>
      <c r="G22" t="n">
        <v>12.3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Spillkråka
Bronshjon
Vågbandad barkbock</t>
        </is>
      </c>
      <c r="S22">
        <f>HYPERLINK("https://klasma.github.io/Logging_0821/artfynd/A 51578-2020 artfynd.xlsx", "A 51578-2020")</f>
        <v/>
      </c>
      <c r="T22">
        <f>HYPERLINK("https://klasma.github.io/Logging_0821/kartor/A 51578-2020 karta.png", "A 51578-2020")</f>
        <v/>
      </c>
      <c r="V22">
        <f>HYPERLINK("https://klasma.github.io/Logging_0821/klagomål/A 51578-2020 FSC-klagomål.docx", "A 51578-2020")</f>
        <v/>
      </c>
      <c r="W22">
        <f>HYPERLINK("https://klasma.github.io/Logging_0821/klagomålsmail/A 51578-2020 FSC-klagomål mail.docx", "A 51578-2020")</f>
        <v/>
      </c>
      <c r="X22">
        <f>HYPERLINK("https://klasma.github.io/Logging_0821/tillsyn/A 51578-2020 tillsynsbegäran.docx", "A 51578-2020")</f>
        <v/>
      </c>
      <c r="Y22">
        <f>HYPERLINK("https://klasma.github.io/Logging_0821/tillsynsmail/A 51578-2020 tillsynsbegäran mail.docx", "A 51578-2020")</f>
        <v/>
      </c>
      <c r="Z22">
        <f>HYPERLINK("https://klasma.github.io/Logging_0821/fåglar/A 51578-2020 prioriterade fågelarter.docx", "A 51578-2020")</f>
        <v/>
      </c>
    </row>
    <row r="23" ht="15" customHeight="1">
      <c r="A23" t="inlineStr">
        <is>
          <t>A 57171-2022</t>
        </is>
      </c>
      <c r="B23" s="1" t="n">
        <v>44895</v>
      </c>
      <c r="C23" s="1" t="n">
        <v>45826</v>
      </c>
      <c r="D23" t="inlineStr">
        <is>
          <t>KALMAR LÄN</t>
        </is>
      </c>
      <c r="E23" t="inlineStr">
        <is>
          <t>HÖGSBY</t>
        </is>
      </c>
      <c r="G23" t="n">
        <v>4.3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Gulsparv
Mindre träfjäril
Talltita
Gröngöling</t>
        </is>
      </c>
      <c r="S23">
        <f>HYPERLINK("https://klasma.github.io/Logging_0821/artfynd/A 57171-2022 artfynd.xlsx", "A 57171-2022")</f>
        <v/>
      </c>
      <c r="T23">
        <f>HYPERLINK("https://klasma.github.io/Logging_0821/kartor/A 57171-2022 karta.png", "A 57171-2022")</f>
        <v/>
      </c>
      <c r="V23">
        <f>HYPERLINK("https://klasma.github.io/Logging_0821/klagomål/A 57171-2022 FSC-klagomål.docx", "A 57171-2022")</f>
        <v/>
      </c>
      <c r="W23">
        <f>HYPERLINK("https://klasma.github.io/Logging_0821/klagomålsmail/A 57171-2022 FSC-klagomål mail.docx", "A 57171-2022")</f>
        <v/>
      </c>
      <c r="X23">
        <f>HYPERLINK("https://klasma.github.io/Logging_0821/tillsyn/A 57171-2022 tillsynsbegäran.docx", "A 57171-2022")</f>
        <v/>
      </c>
      <c r="Y23">
        <f>HYPERLINK("https://klasma.github.io/Logging_0821/tillsynsmail/A 57171-2022 tillsynsbegäran mail.docx", "A 57171-2022")</f>
        <v/>
      </c>
      <c r="Z23">
        <f>HYPERLINK("https://klasma.github.io/Logging_0821/fåglar/A 57171-2022 prioriterade fågelarter.docx", "A 57171-2022")</f>
        <v/>
      </c>
    </row>
    <row r="24" ht="15" customHeight="1">
      <c r="A24" t="inlineStr">
        <is>
          <t>A 62412-2023</t>
        </is>
      </c>
      <c r="B24" s="1" t="n">
        <v>45268</v>
      </c>
      <c r="C24" s="1" t="n">
        <v>45826</v>
      </c>
      <c r="D24" t="inlineStr">
        <is>
          <t>KALMAR LÄN</t>
        </is>
      </c>
      <c r="E24" t="inlineStr">
        <is>
          <t>HÖGSBY</t>
        </is>
      </c>
      <c r="G24" t="n">
        <v>7.7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Bronshjon
Flagellkvastmossa
Vågbandad barkbock</t>
        </is>
      </c>
      <c r="S24">
        <f>HYPERLINK("https://klasma.github.io/Logging_0821/artfynd/A 62412-2023 artfynd.xlsx", "A 62412-2023")</f>
        <v/>
      </c>
      <c r="T24">
        <f>HYPERLINK("https://klasma.github.io/Logging_0821/kartor/A 62412-2023 karta.png", "A 62412-2023")</f>
        <v/>
      </c>
      <c r="V24">
        <f>HYPERLINK("https://klasma.github.io/Logging_0821/klagomål/A 62412-2023 FSC-klagomål.docx", "A 62412-2023")</f>
        <v/>
      </c>
      <c r="W24">
        <f>HYPERLINK("https://klasma.github.io/Logging_0821/klagomålsmail/A 62412-2023 FSC-klagomål mail.docx", "A 62412-2023")</f>
        <v/>
      </c>
      <c r="X24">
        <f>HYPERLINK("https://klasma.github.io/Logging_0821/tillsyn/A 62412-2023 tillsynsbegäran.docx", "A 62412-2023")</f>
        <v/>
      </c>
      <c r="Y24">
        <f>HYPERLINK("https://klasma.github.io/Logging_0821/tillsynsmail/A 62412-2023 tillsynsbegäran mail.docx", "A 62412-2023")</f>
        <v/>
      </c>
    </row>
    <row r="25" ht="15" customHeight="1">
      <c r="A25" t="inlineStr">
        <is>
          <t>A 20714-2024</t>
        </is>
      </c>
      <c r="B25" s="1" t="n">
        <v>45436</v>
      </c>
      <c r="C25" s="1" t="n">
        <v>45826</v>
      </c>
      <c r="D25" t="inlineStr">
        <is>
          <t>KALMAR LÄN</t>
        </is>
      </c>
      <c r="E25" t="inlineStr">
        <is>
          <t>HÖGSBY</t>
        </is>
      </c>
      <c r="G25" t="n">
        <v>3.8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Dropptaggsvamp
Kornknutmossa</t>
        </is>
      </c>
      <c r="S25">
        <f>HYPERLINK("https://klasma.github.io/Logging_0821/artfynd/A 20714-2024 artfynd.xlsx", "A 20714-2024")</f>
        <v/>
      </c>
      <c r="T25">
        <f>HYPERLINK("https://klasma.github.io/Logging_0821/kartor/A 20714-2024 karta.png", "A 20714-2024")</f>
        <v/>
      </c>
      <c r="U25">
        <f>HYPERLINK("https://klasma.github.io/Logging_0821/knärot/A 20714-2024 karta knärot.png", "A 20714-2024")</f>
        <v/>
      </c>
      <c r="V25">
        <f>HYPERLINK("https://klasma.github.io/Logging_0821/klagomål/A 20714-2024 FSC-klagomål.docx", "A 20714-2024")</f>
        <v/>
      </c>
      <c r="W25">
        <f>HYPERLINK("https://klasma.github.io/Logging_0821/klagomålsmail/A 20714-2024 FSC-klagomål mail.docx", "A 20714-2024")</f>
        <v/>
      </c>
      <c r="X25">
        <f>HYPERLINK("https://klasma.github.io/Logging_0821/tillsyn/A 20714-2024 tillsynsbegäran.docx", "A 20714-2024")</f>
        <v/>
      </c>
      <c r="Y25">
        <f>HYPERLINK("https://klasma.github.io/Logging_0821/tillsynsmail/A 20714-2024 tillsynsbegäran mail.docx", "A 20714-2024")</f>
        <v/>
      </c>
    </row>
    <row r="26" ht="15" customHeight="1">
      <c r="A26" t="inlineStr">
        <is>
          <t>A 61610-2019</t>
        </is>
      </c>
      <c r="B26" s="1" t="n">
        <v>43784</v>
      </c>
      <c r="C26" s="1" t="n">
        <v>45826</v>
      </c>
      <c r="D26" t="inlineStr">
        <is>
          <t>KALMAR LÄN</t>
        </is>
      </c>
      <c r="E26" t="inlineStr">
        <is>
          <t>HÖGSBY</t>
        </is>
      </c>
      <c r="G26" t="n">
        <v>17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Åkerkål
Purpurknipprot
Sårläka</t>
        </is>
      </c>
      <c r="S26">
        <f>HYPERLINK("https://klasma.github.io/Logging_0821/artfynd/A 61610-2019 artfynd.xlsx", "A 61610-2019")</f>
        <v/>
      </c>
      <c r="T26">
        <f>HYPERLINK("https://klasma.github.io/Logging_0821/kartor/A 61610-2019 karta.png", "A 61610-2019")</f>
        <v/>
      </c>
      <c r="V26">
        <f>HYPERLINK("https://klasma.github.io/Logging_0821/klagomål/A 61610-2019 FSC-klagomål.docx", "A 61610-2019")</f>
        <v/>
      </c>
      <c r="W26">
        <f>HYPERLINK("https://klasma.github.io/Logging_0821/klagomålsmail/A 61610-2019 FSC-klagomål mail.docx", "A 61610-2019")</f>
        <v/>
      </c>
      <c r="X26">
        <f>HYPERLINK("https://klasma.github.io/Logging_0821/tillsyn/A 61610-2019 tillsynsbegäran.docx", "A 61610-2019")</f>
        <v/>
      </c>
      <c r="Y26">
        <f>HYPERLINK("https://klasma.github.io/Logging_0821/tillsynsmail/A 61610-2019 tillsynsbegäran mail.docx", "A 61610-2019")</f>
        <v/>
      </c>
    </row>
    <row r="27" ht="15" customHeight="1">
      <c r="A27" t="inlineStr">
        <is>
          <t>A 51595-2020</t>
        </is>
      </c>
      <c r="B27" s="1" t="n">
        <v>44109</v>
      </c>
      <c r="C27" s="1" t="n">
        <v>45826</v>
      </c>
      <c r="D27" t="inlineStr">
        <is>
          <t>KALMAR LÄN</t>
        </is>
      </c>
      <c r="E27" t="inlineStr">
        <is>
          <t>HÖGSBY</t>
        </is>
      </c>
      <c r="G27" t="n">
        <v>8.1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Vågticka
Blodticka
Blåsippa</t>
        </is>
      </c>
      <c r="S27">
        <f>HYPERLINK("https://klasma.github.io/Logging_0821/artfynd/A 51595-2020 artfynd.xlsx", "A 51595-2020")</f>
        <v/>
      </c>
      <c r="T27">
        <f>HYPERLINK("https://klasma.github.io/Logging_0821/kartor/A 51595-2020 karta.png", "A 51595-2020")</f>
        <v/>
      </c>
      <c r="V27">
        <f>HYPERLINK("https://klasma.github.io/Logging_0821/klagomål/A 51595-2020 FSC-klagomål.docx", "A 51595-2020")</f>
        <v/>
      </c>
      <c r="W27">
        <f>HYPERLINK("https://klasma.github.io/Logging_0821/klagomålsmail/A 51595-2020 FSC-klagomål mail.docx", "A 51595-2020")</f>
        <v/>
      </c>
      <c r="X27">
        <f>HYPERLINK("https://klasma.github.io/Logging_0821/tillsyn/A 51595-2020 tillsynsbegäran.docx", "A 51595-2020")</f>
        <v/>
      </c>
      <c r="Y27">
        <f>HYPERLINK("https://klasma.github.io/Logging_0821/tillsynsmail/A 51595-2020 tillsynsbegäran mail.docx", "A 51595-2020")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45826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45826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45826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45826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45826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45826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45826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45826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45826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45826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45826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45826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45826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45826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45826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45826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45826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45826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45826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45826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45826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45826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45826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45826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45826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45826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45826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45826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45826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45826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45826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45826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45826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45826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45826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45826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45826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45826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45826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45826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45826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45826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45826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45826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45826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45826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45826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45826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45826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45826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45826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45826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45826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45826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45826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45826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45826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45826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45826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45826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45826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45826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45826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45826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45826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45826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45826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45826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45826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45826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45826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45826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45826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45826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45826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45826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45826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45826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45826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45826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45826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45826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45826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45826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45826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45826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45826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45826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45826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45826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45826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45826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45826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45826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45826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45826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45826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45826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45826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45826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45826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45826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45826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45826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45826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45826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45826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45826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45826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45826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45826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45826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45826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45826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45826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45826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45826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45826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45826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45826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45826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45826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45826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45826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45826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45826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45826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45826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45826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45826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45826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45826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45826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45826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45826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45826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45826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45826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45826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45826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45826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45826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45826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45826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45826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45826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45826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45826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45826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45826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45826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45826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45826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45826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45826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45826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45826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45826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45826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45826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45826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45826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45826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45826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45826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45826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45826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45826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45826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45826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45826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45826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45826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45826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45826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45826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45826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45826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45826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45826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45826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45826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45826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45826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45826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45826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45826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45826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45826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45826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45826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45826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45826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45826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45826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45826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45826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45826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45826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45826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45826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45826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45826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45826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45826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45826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45826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45826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45826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45826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45826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45826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45826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45826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45826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45826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45826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45826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45826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45826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45826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45826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45826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45826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45826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45826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45826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45826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45826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45826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45826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45826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45826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45826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45826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45826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45826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45826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45826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45826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45826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45826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45826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45826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45826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45826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45826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45826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45826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45826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45826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45826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45826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45826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45826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45826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45826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45826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45826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45826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45826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45826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45826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45826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45826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45826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45826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45826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45826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45826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45826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45826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45826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45826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45826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45826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45826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45826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45826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45826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45826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45826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45826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45826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45826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45826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45826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45826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45826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45826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45826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45826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45826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45826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45826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45826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45826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45826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45826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45826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45826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45826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45826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45826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45826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45826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45826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45826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45826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45826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45826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45826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45826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45826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45826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45826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45826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45826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45826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45826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45826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45826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45826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45826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45826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45826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45826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45826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45826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45826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45826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45826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45826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45826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45826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45826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45826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45826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45826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45826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45826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45826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45826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45826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45826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45826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45826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45826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45826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45826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45826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45826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45826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45826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45826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45826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45826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45826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45826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45826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45826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45826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45826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45826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45826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45826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45826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45826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45826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45826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45826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45826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45826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45826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45826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45826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45826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45826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45826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45826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45826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45826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45826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45826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45826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45826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45826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45826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45826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45826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45826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45826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45826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45826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45826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45826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45826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45826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45826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45826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45826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45826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45826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45826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45826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45826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45826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45826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45826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45826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45826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45826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45826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45826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45826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45826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45826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45826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45826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45826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45826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45826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45826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45826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45826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45826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45826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45826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45826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45826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45826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45826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45826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45826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45826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45826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45826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45826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45826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45826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45826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45826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45826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45826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45826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45826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45826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45826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45826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45826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45826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45826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45826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45826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45826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45826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45826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45826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45826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45826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45826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45826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45826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45826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45826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45826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45826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45826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45826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45826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45826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45826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45826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45826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45826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45826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45826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45826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45826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45826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45826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45826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45826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45826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45826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45826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45826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45826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45826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45826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45826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45826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45826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45826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45826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45826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45826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45826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45826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45826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45826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45826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45826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45826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45826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45826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45826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45826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45826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45826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45826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45826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45826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45826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45826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45826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45826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45826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45826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45826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45826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45826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45826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45826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45826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45826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45826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45826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45826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45826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45826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45826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45826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45826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45826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45826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45826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45826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45826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45826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45826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45826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45826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45826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45826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45826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45826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45826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45826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45826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45826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45826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45826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45826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45826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45826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45826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45826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45826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45826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45826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45826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45826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45826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45826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45826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45826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45826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45826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45826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45826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45826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45826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45826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45826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45826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45826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45826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45826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45826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45826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45826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45826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45826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45826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45826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45826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45826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45826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45826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45826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45826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45826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45826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45826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45826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45826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45826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45826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45826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45826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45826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45826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45826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45826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45826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45826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45826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45826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45826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45826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45826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45826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45826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45826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45826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45826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45826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45826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45826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45826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45826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45826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45826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45826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45826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45826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45826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45826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45826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45826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45826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45826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45826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45826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45826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45826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45826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45826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45826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45826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45826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45826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45826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45826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45826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45826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45826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45826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45826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45826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45826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45826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45826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45826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45826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45826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45826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45826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45826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45826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45826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45826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45826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45826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45826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45826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45826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45826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45826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45826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45826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45826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45826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45826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45826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45826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45826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45826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45826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45826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45826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45826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45826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45826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45826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45826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45826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45826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45826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45826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45826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45826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45826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45826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45826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45826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45826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45826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45826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45826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45826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45826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45826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45826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45826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45826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45826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45826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45826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45826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45826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45826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45826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45826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45826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45826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45826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45826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45826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45826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45826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45826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45826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45826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45826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45826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45826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45826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45826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45826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45826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45826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45826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45826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45826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45826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45826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45826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45826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45826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45826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45826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45826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45826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45826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45826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45826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45826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45826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45826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45826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45826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45826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45826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45826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45826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45826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45826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45826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45826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45826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45826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45826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45826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45826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45826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45826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45826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45826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45826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45826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45826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45826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45826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45826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45826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45826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45826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45826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45826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45826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45826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45826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45826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45826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45826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45826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45826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45826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45826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45826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45826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45826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45826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45826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45826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45826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22404-2025</t>
        </is>
      </c>
      <c r="B826" s="1" t="n">
        <v>45786</v>
      </c>
      <c r="C826" s="1" t="n">
        <v>45826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22365-2025</t>
        </is>
      </c>
      <c r="B827" s="1" t="n">
        <v>45786</v>
      </c>
      <c r="C827" s="1" t="n">
        <v>45826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22407-2025</t>
        </is>
      </c>
      <c r="B828" s="1" t="n">
        <v>45786</v>
      </c>
      <c r="C828" s="1" t="n">
        <v>45826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22405-2025</t>
        </is>
      </c>
      <c r="B829" s="1" t="n">
        <v>45786</v>
      </c>
      <c r="C829" s="1" t="n">
        <v>45826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45826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22688-2025</t>
        </is>
      </c>
      <c r="B831" s="1" t="n">
        <v>45789</v>
      </c>
      <c r="C831" s="1" t="n">
        <v>45826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23124-2025</t>
        </is>
      </c>
      <c r="B832" s="1" t="n">
        <v>45791</v>
      </c>
      <c r="C832" s="1" t="n">
        <v>45826</v>
      </c>
      <c r="D832" t="inlineStr">
        <is>
          <t>KALMAR LÄN</t>
        </is>
      </c>
      <c r="E832" t="inlineStr">
        <is>
          <t>HÖGSBY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23644-2025</t>
        </is>
      </c>
      <c r="B833" s="1" t="n">
        <v>45792</v>
      </c>
      <c r="C833" s="1" t="n">
        <v>45826</v>
      </c>
      <c r="D833" t="inlineStr">
        <is>
          <t>KALMAR LÄN</t>
        </is>
      </c>
      <c r="E833" t="inlineStr">
        <is>
          <t>HÖGSBY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23887-2025</t>
        </is>
      </c>
      <c r="B834" s="1" t="n">
        <v>45793</v>
      </c>
      <c r="C834" s="1" t="n">
        <v>45826</v>
      </c>
      <c r="D834" t="inlineStr">
        <is>
          <t>KALMAR LÄN</t>
        </is>
      </c>
      <c r="E834" t="inlineStr">
        <is>
          <t>HÖGSBY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24178-2025</t>
        </is>
      </c>
      <c r="B835" s="1" t="n">
        <v>45796</v>
      </c>
      <c r="C835" s="1" t="n">
        <v>45826</v>
      </c>
      <c r="D835" t="inlineStr">
        <is>
          <t>KALMAR LÄN</t>
        </is>
      </c>
      <c r="E835" t="inlineStr">
        <is>
          <t>HÖGSBY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24013-2025</t>
        </is>
      </c>
      <c r="B836" s="1" t="n">
        <v>45796</v>
      </c>
      <c r="C836" s="1" t="n">
        <v>45826</v>
      </c>
      <c r="D836" t="inlineStr">
        <is>
          <t>KALMAR LÄN</t>
        </is>
      </c>
      <c r="E836" t="inlineStr">
        <is>
          <t>HÖGSBY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24378-2025</t>
        </is>
      </c>
      <c r="B837" s="1" t="n">
        <v>45797</v>
      </c>
      <c r="C837" s="1" t="n">
        <v>45826</v>
      </c>
      <c r="D837" t="inlineStr">
        <is>
          <t>KALMAR LÄN</t>
        </is>
      </c>
      <c r="E837" t="inlineStr">
        <is>
          <t>HÖGSBY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25426-2025</t>
        </is>
      </c>
      <c r="B838" s="1" t="n">
        <v>45800</v>
      </c>
      <c r="C838" s="1" t="n">
        <v>45826</v>
      </c>
      <c r="D838" t="inlineStr">
        <is>
          <t>KALMAR LÄN</t>
        </is>
      </c>
      <c r="E838" t="inlineStr">
        <is>
          <t>HÖGSBY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25899-2025</t>
        </is>
      </c>
      <c r="B839" s="1" t="n">
        <v>45804</v>
      </c>
      <c r="C839" s="1" t="n">
        <v>45826</v>
      </c>
      <c r="D839" t="inlineStr">
        <is>
          <t>KALMAR LÄN</t>
        </is>
      </c>
      <c r="E839" t="inlineStr">
        <is>
          <t>HÖGSBY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25905-2025</t>
        </is>
      </c>
      <c r="B840" s="1" t="n">
        <v>45804</v>
      </c>
      <c r="C840" s="1" t="n">
        <v>45826</v>
      </c>
      <c r="D840" t="inlineStr">
        <is>
          <t>KALMAR LÄN</t>
        </is>
      </c>
      <c r="E840" t="inlineStr">
        <is>
          <t>HÖGSBY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25948-2025</t>
        </is>
      </c>
      <c r="B841" s="1" t="n">
        <v>45804</v>
      </c>
      <c r="C841" s="1" t="n">
        <v>45826</v>
      </c>
      <c r="D841" t="inlineStr">
        <is>
          <t>KALMAR LÄN</t>
        </is>
      </c>
      <c r="E841" t="inlineStr">
        <is>
          <t>HÖGSBY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25875-2025</t>
        </is>
      </c>
      <c r="B842" s="1" t="n">
        <v>45804</v>
      </c>
      <c r="C842" s="1" t="n">
        <v>45826</v>
      </c>
      <c r="D842" t="inlineStr">
        <is>
          <t>KALMAR LÄN</t>
        </is>
      </c>
      <c r="E842" t="inlineStr">
        <is>
          <t>HÖGSBY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26052-2025</t>
        </is>
      </c>
      <c r="B843" s="1" t="n">
        <v>45804</v>
      </c>
      <c r="C843" s="1" t="n">
        <v>45826</v>
      </c>
      <c r="D843" t="inlineStr">
        <is>
          <t>KALMAR LÄN</t>
        </is>
      </c>
      <c r="E843" t="inlineStr">
        <is>
          <t>HÖGSBY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26331-2025</t>
        </is>
      </c>
      <c r="B844" s="1" t="n">
        <v>45805</v>
      </c>
      <c r="C844" s="1" t="n">
        <v>45826</v>
      </c>
      <c r="D844" t="inlineStr">
        <is>
          <t>KALMAR LÄN</t>
        </is>
      </c>
      <c r="E844" t="inlineStr">
        <is>
          <t>HÖGSBY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26335-2025</t>
        </is>
      </c>
      <c r="B845" s="1" t="n">
        <v>45805</v>
      </c>
      <c r="C845" s="1" t="n">
        <v>45826</v>
      </c>
      <c r="D845" t="inlineStr">
        <is>
          <t>KALMAR LÄN</t>
        </is>
      </c>
      <c r="E845" t="inlineStr">
        <is>
          <t>HÖGSBY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28086-2025</t>
        </is>
      </c>
      <c r="B846" s="1" t="n">
        <v>45817</v>
      </c>
      <c r="C846" s="1" t="n">
        <v>45826</v>
      </c>
      <c r="D846" t="inlineStr">
        <is>
          <t>KALMAR LÄN</t>
        </is>
      </c>
      <c r="E846" t="inlineStr">
        <is>
          <t>HÖGSBY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28349-2025</t>
        </is>
      </c>
      <c r="B847" s="1" t="n">
        <v>45818</v>
      </c>
      <c r="C847" s="1" t="n">
        <v>45826</v>
      </c>
      <c r="D847" t="inlineStr">
        <is>
          <t>KALMAR LÄN</t>
        </is>
      </c>
      <c r="E847" t="inlineStr">
        <is>
          <t>HÖGSBY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29640-2025</t>
        </is>
      </c>
      <c r="B848" s="1" t="n">
        <v>45825</v>
      </c>
      <c r="C848" s="1" t="n">
        <v>45826</v>
      </c>
      <c r="D848" t="inlineStr">
        <is>
          <t>KALMAR LÄN</t>
        </is>
      </c>
      <c r="E848" t="inlineStr">
        <is>
          <t>HÖGSBY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>
      <c r="A849" t="inlineStr">
        <is>
          <t>A 29646-2025</t>
        </is>
      </c>
      <c r="B849" s="1" t="n">
        <v>45825</v>
      </c>
      <c r="C849" s="1" t="n">
        <v>45826</v>
      </c>
      <c r="D849" t="inlineStr">
        <is>
          <t>KALMAR LÄN</t>
        </is>
      </c>
      <c r="E849" t="inlineStr">
        <is>
          <t>HÖGSBY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2025-06-18T18:56:04Z</dcterms:created>
  <dcterms:modified xmlns:dcterms="http://purl.org/dc/terms/" xmlns:xsi="http://www.w3.org/2001/XMLSchema-instance" xsi:type="dcterms:W3CDTF">2025-06-18T18:56:05Z</dcterms:modified>
</cp:coreProperties>
</file>