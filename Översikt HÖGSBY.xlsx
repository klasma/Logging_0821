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46228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46228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46228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46228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46228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46228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46228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46228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46228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46228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46228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46228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t="n">
        <v>0</v>
      </c>
      <c r="V13" s="2" t="inlineStr">
        <is>
          <t>Knärot
Talltita
Blåsippa
Mattlummer
Tjäder</t>
        </is>
      </c>
      <c r="W13">
        <f>HYPERLINK("https://klasma.github.io/Logging_0821/artfynd/A 7410-2024 artfynd.xlsx", "A 7410-2024")</f>
        <v/>
      </c>
      <c r="X13">
        <f>HYPERLINK("https://klasma.github.io/Logging_0821/kartor/A 7410-2024 karta.png", "A 7410-2024")</f>
        <v/>
      </c>
      <c r="Y13">
        <f>HYPERLINK("https://klasma.github.io/Logging_0821/kartor_geotiff/A 7410-2024 georefererad karta.tif", "A 7410-2024")</f>
        <v/>
      </c>
      <c r="Z13">
        <f>HYPERLINK("https://klasma.github.io/Logging_0821/knärot/A 7410-2024 karta knärot.png", "A 7410-2024")</f>
        <v/>
      </c>
      <c r="AA13">
        <f>HYPERLINK("https://klasma.github.io/Logging_0821/klagomål/A 7410-2024 FSC-klagomål.docx", "A 7410-2024")</f>
        <v/>
      </c>
      <c r="AB13">
        <f>HYPERLINK("https://klasma.github.io/Logging_0821/klagomålsmail/A 7410-2024 FSC-klagomål mail.docx", "A 7410-2024")</f>
        <v/>
      </c>
      <c r="AC13">
        <f>HYPERLINK("https://klasma.github.io/Logging_0821/tillsyn/A 7410-2024 tillsynsbegäran.docx", "A 7410-2024")</f>
        <v/>
      </c>
      <c r="AD13">
        <f>HYPERLINK("https://klasma.github.io/Logging_0821/tillsynsmail/A 7410-2024 tillsynsbegäran mail.docx", "A 7410-2024")</f>
        <v/>
      </c>
      <c r="AE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46228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46228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46228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22559-2026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46228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1.5</v>
      </c>
      <c r="J17" t="n">
        <v>2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Svartoxe
Talltita
Bergsslok
Blåsippa</t>
        </is>
      </c>
      <c r="W17">
        <f>HYPERLINK("https://klasma.github.io/Logging_0821/artfynd/A 22559-2026 artfynd.xlsx", "A 22559-2026")</f>
        <v/>
      </c>
      <c r="X17">
        <f>HYPERLINK("https://klasma.github.io/Logging_0821/kartor/A 22559-2026 karta.png", "A 22559-2026")</f>
        <v/>
      </c>
      <c r="Y17">
        <f>HYPERLINK("https://klasma.github.io/Logging_0821/kartor_geotiff/A 22559-2026 georefererad karta.tif", "A 22559-2026")</f>
        <v/>
      </c>
      <c r="AA17">
        <f>HYPERLINK("https://klasma.github.io/Logging_0821/klagomål/A 22559-2026 FSC-klagomål.docx", "A 22559-2026")</f>
        <v/>
      </c>
      <c r="AB17">
        <f>HYPERLINK("https://klasma.github.io/Logging_0821/klagomålsmail/A 22559-2026 FSC-klagomål mail.docx", "A 22559-2026")</f>
        <v/>
      </c>
      <c r="AC17">
        <f>HYPERLINK("https://klasma.github.io/Logging_0821/tillsyn/A 22559-2026 tillsynsbegäran.docx", "A 22559-2026")</f>
        <v/>
      </c>
      <c r="AD17">
        <f>HYPERLINK("https://klasma.github.io/Logging_0821/tillsynsmail/A 22559-2026 tillsynsbegäran mail.docx", "A 22559-2026")</f>
        <v/>
      </c>
      <c r="AE17">
        <f>HYPERLINK("https://klasma.github.io/Logging_0821/fåglar/A 22559-2026 prioriterade fågelarter.docx", "A 22559-2026")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46228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46228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57171-2022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44895</v>
      </c>
      <c r="E20" s="1" t="n">
        <v>46228</v>
      </c>
      <c r="F20" t="inlineStr">
        <is>
          <t>KALMAR LÄN</t>
        </is>
      </c>
      <c r="G20" t="inlineStr">
        <is>
          <t>HÖGSBY</t>
        </is>
      </c>
      <c r="I20" t="n">
        <v>4.3</v>
      </c>
      <c r="J20" t="n">
        <v>3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Gulsparv
Mindre träfjäril
Talltita
Gröngöling</t>
        </is>
      </c>
      <c r="W20">
        <f>HYPERLINK("https://klasma.github.io/Logging_0821/artfynd/A 57171-2022 artfynd.xlsx", "A 57171-2022")</f>
        <v/>
      </c>
      <c r="X20">
        <f>HYPERLINK("https://klasma.github.io/Logging_0821/kartor/A 57171-2022 karta.png", "A 57171-2022")</f>
        <v/>
      </c>
      <c r="Y20">
        <f>HYPERLINK("https://klasma.github.io/Logging_0821/kartor_geotiff/A 57171-2022 georefererad karta.tif", "A 57171-2022")</f>
        <v/>
      </c>
      <c r="AA20">
        <f>HYPERLINK("https://klasma.github.io/Logging_0821/klagomål/A 57171-2022 FSC-klagomål.docx", "A 57171-2022")</f>
        <v/>
      </c>
      <c r="AB20">
        <f>HYPERLINK("https://klasma.github.io/Logging_0821/klagomålsmail/A 57171-2022 FSC-klagomål mail.docx", "A 57171-2022")</f>
        <v/>
      </c>
      <c r="AC20">
        <f>HYPERLINK("https://klasma.github.io/Logging_0821/tillsyn/A 57171-2022 tillsynsbegäran.docx", "A 57171-2022")</f>
        <v/>
      </c>
      <c r="AD20">
        <f>HYPERLINK("https://klasma.github.io/Logging_0821/tillsynsmail/A 57171-2022 tillsynsbegäran mail.docx", "A 57171-2022")</f>
        <v/>
      </c>
      <c r="AE20">
        <f>HYPERLINK("https://klasma.github.io/Logging_0821/fåglar/A 57171-2022 prioriterade fågelarter.docx", "A 57171-2022")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46228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46228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46228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46228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Svartoxe
Talltita
Kärrviol</t>
        </is>
      </c>
      <c r="W24">
        <f>HYPERLINK("https://klasma.github.io/Logging_0821/artfynd/A 22542-2026 artfynd.xlsx", "A 22542-2026")</f>
        <v/>
      </c>
      <c r="X24">
        <f>HYPERLINK("https://klasma.github.io/Logging_0821/kartor/A 22542-2026 karta.png", "A 22542-2026")</f>
        <v/>
      </c>
      <c r="Y24">
        <f>HYPERLINK("https://klasma.github.io/Logging_0821/kartor_geotiff/A 22542-2026 georefererad karta.tif", "A 22542-2026")</f>
        <v/>
      </c>
      <c r="AA24">
        <f>HYPERLINK("https://klasma.github.io/Logging_0821/klagomål/A 22542-2026 FSC-klagomål.docx", "A 22542-2026")</f>
        <v/>
      </c>
      <c r="AB24">
        <f>HYPERLINK("https://klasma.github.io/Logging_0821/klagomålsmail/A 22542-2026 FSC-klagomål mail.docx", "A 22542-2026")</f>
        <v/>
      </c>
      <c r="AC24">
        <f>HYPERLINK("https://klasma.github.io/Logging_0821/tillsyn/A 22542-2026 tillsynsbegäran.docx", "A 22542-2026")</f>
        <v/>
      </c>
      <c r="AD24">
        <f>HYPERLINK("https://klasma.github.io/Logging_0821/tillsynsmail/A 22542-2026 tillsynsbegäran mail.docx", "A 22542-2026")</f>
        <v/>
      </c>
      <c r="AE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46228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46228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46228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46228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46228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46228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46228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46228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46228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46228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46228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9616-2022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44617</v>
      </c>
      <c r="E36" s="1" t="n">
        <v>46228</v>
      </c>
      <c r="F36" t="inlineStr">
        <is>
          <t>KALMAR LÄN</t>
        </is>
      </c>
      <c r="G36" t="inlineStr">
        <is>
          <t>HÖGSBY</t>
        </is>
      </c>
      <c r="I36" t="n">
        <v>6.4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Knippnejlika
Solvända</t>
        </is>
      </c>
      <c r="W36">
        <f>HYPERLINK("https://klasma.github.io/Logging_0821/artfynd/A 9616-2022 artfynd.xlsx", "A 9616-2022")</f>
        <v/>
      </c>
      <c r="X36">
        <f>HYPERLINK("https://klasma.github.io/Logging_0821/kartor/A 9616-2022 karta.png", "A 9616-2022")</f>
        <v/>
      </c>
      <c r="Y36">
        <f>HYPERLINK("https://klasma.github.io/Logging_0821/kartor_geotiff/A 9616-2022 georefererad karta.tif", "A 9616-2022")</f>
        <v/>
      </c>
      <c r="AA36">
        <f>HYPERLINK("https://klasma.github.io/Logging_0821/klagomål/A 9616-2022 FSC-klagomål.docx", "A 9616-2022")</f>
        <v/>
      </c>
      <c r="AB36">
        <f>HYPERLINK("https://klasma.github.io/Logging_0821/klagomålsmail/A 9616-2022 FSC-klagomål mail.docx", "A 9616-2022")</f>
        <v/>
      </c>
      <c r="AC36">
        <f>HYPERLINK("https://klasma.github.io/Logging_0821/tillsyn/A 9616-2022 tillsynsbegäran.docx", "A 9616-2022")</f>
        <v/>
      </c>
      <c r="AD36">
        <f>HYPERLINK("https://klasma.github.io/Logging_0821/tillsynsmail/A 9616-2022 tillsynsbegäran mail.docx", "A 9616-2022")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46228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46228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46228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46228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38267-2025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46228</v>
      </c>
      <c r="F41" t="inlineStr">
        <is>
          <t>KALMAR LÄN</t>
        </is>
      </c>
      <c r="G41" t="inlineStr">
        <is>
          <t>HÖGSBY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Flikig tallfibbla</t>
        </is>
      </c>
      <c r="W41">
        <f>HYPERLINK("https://klasma.github.io/Logging_0821/artfynd/A 38267-2025 artfynd.xlsx", "A 38267-2025")</f>
        <v/>
      </c>
      <c r="X41">
        <f>HYPERLINK("https://klasma.github.io/Logging_0821/kartor/A 38267-2025 karta.png", "A 38267-2025")</f>
        <v/>
      </c>
      <c r="Y41">
        <f>HYPERLINK("https://klasma.github.io/Logging_0821/kartor_geotiff/A 38267-2025 georefererad karta.tif", "A 38267-2025")</f>
        <v/>
      </c>
      <c r="AA41">
        <f>HYPERLINK("https://klasma.github.io/Logging_0821/klagomål/A 38267-2025 FSC-klagomål.docx", "A 38267-2025")</f>
        <v/>
      </c>
      <c r="AB41">
        <f>HYPERLINK("https://klasma.github.io/Logging_0821/klagomålsmail/A 38267-2025 FSC-klagomål mail.docx", "A 38267-2025")</f>
        <v/>
      </c>
      <c r="AC41">
        <f>HYPERLINK("https://klasma.github.io/Logging_0821/tillsyn/A 38267-2025 tillsynsbegäran.docx", "A 38267-2025")</f>
        <v/>
      </c>
      <c r="AD41">
        <f>HYPERLINK("https://klasma.github.io/Logging_0821/tillsynsmail/A 38267-2025 tillsynsbegäran mail.docx", "A 38267-2025")</f>
        <v/>
      </c>
    </row>
    <row r="42" ht="15" customHeight="1">
      <c r="A42" t="inlineStr">
        <is>
          <t>A 35075-2023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45145</v>
      </c>
      <c r="E42" s="1" t="n">
        <v>46228</v>
      </c>
      <c r="F42" t="inlineStr">
        <is>
          <t>KALMAR LÄN</t>
        </is>
      </c>
      <c r="G42" t="inlineStr">
        <is>
          <t>HÖGSBY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Blåsippa</t>
        </is>
      </c>
      <c r="W42">
        <f>HYPERLINK("https://klasma.github.io/Logging_0821/artfynd/A 35075-2023 artfynd.xlsx", "A 35075-2023")</f>
        <v/>
      </c>
      <c r="X42">
        <f>HYPERLINK("https://klasma.github.io/Logging_0821/kartor/A 35075-2023 karta.png", "A 35075-2023")</f>
        <v/>
      </c>
      <c r="Y42">
        <f>HYPERLINK("https://klasma.github.io/Logging_0821/kartor_geotiff/A 35075-2023 georefererad karta.tif", "A 35075-2023")</f>
        <v/>
      </c>
      <c r="AA42">
        <f>HYPERLINK("https://klasma.github.io/Logging_0821/klagomål/A 35075-2023 FSC-klagomål.docx", "A 35075-2023")</f>
        <v/>
      </c>
      <c r="AB42">
        <f>HYPERLINK("https://klasma.github.io/Logging_0821/klagomålsmail/A 35075-2023 FSC-klagomål mail.docx", "A 35075-2023")</f>
        <v/>
      </c>
      <c r="AC42">
        <f>HYPERLINK("https://klasma.github.io/Logging_0821/tillsyn/A 35075-2023 tillsynsbegäran.docx", "A 35075-2023")</f>
        <v/>
      </c>
      <c r="AD42">
        <f>HYPERLINK("https://klasma.github.io/Logging_0821/tillsynsmail/A 35075-2023 tillsynsbegäran mail.docx", "A 35075-2023")</f>
        <v/>
      </c>
    </row>
    <row r="43" ht="15" customHeight="1">
      <c r="A43" t="inlineStr">
        <is>
          <t>A 28894-2026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46199</v>
      </c>
      <c r="E43" s="1" t="n">
        <v>46228</v>
      </c>
      <c r="F43" t="inlineStr">
        <is>
          <t>KALMAR LÄN</t>
        </is>
      </c>
      <c r="G43" t="inlineStr">
        <is>
          <t>HÖGSBY</t>
        </is>
      </c>
      <c r="I43" t="n">
        <v>6.3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HYPERLINK("https://klasma.github.io/Logging_0821/artfynd/A 28894-2026 artfynd.xlsx", "A 28894-2026")</f>
        <v/>
      </c>
      <c r="X43">
        <f>HYPERLINK("https://klasma.github.io/Logging_0821/kartor/A 28894-2026 karta.png", "A 28894-2026")</f>
        <v/>
      </c>
      <c r="Y43">
        <f>HYPERLINK("https://klasma.github.io/Logging_0821/kartor_geotiff/A 28894-2026 georefererad karta.tif", "A 28894-2026")</f>
        <v/>
      </c>
      <c r="AA43">
        <f>HYPERLINK("https://klasma.github.io/Logging_0821/klagomål/A 28894-2026 FSC-klagomål.docx", "A 28894-2026")</f>
        <v/>
      </c>
      <c r="AB43">
        <f>HYPERLINK("https://klasma.github.io/Logging_0821/klagomålsmail/A 28894-2026 FSC-klagomål mail.docx", "A 28894-2026")</f>
        <v/>
      </c>
      <c r="AC43">
        <f>HYPERLINK("https://klasma.github.io/Logging_0821/tillsyn/A 28894-2026 tillsynsbegäran.docx", "A 28894-2026")</f>
        <v/>
      </c>
      <c r="AD43">
        <f>HYPERLINK("https://klasma.github.io/Logging_0821/tillsynsmail/A 28894-2026 tillsynsbegäran mail.docx", "A 28894-2026")</f>
        <v/>
      </c>
      <c r="AE43">
        <f>HYPERLINK("https://klasma.github.io/Logging_0821/fåglar/A 28894-2026 prioriterade fågelarter.docx", "A 28894-2026")</f>
        <v/>
      </c>
    </row>
    <row r="44" ht="15" customHeight="1">
      <c r="A44" t="inlineStr">
        <is>
          <t>A 24911-2023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46228</v>
      </c>
      <c r="F44" t="inlineStr">
        <is>
          <t>KALMAR LÄN</t>
        </is>
      </c>
      <c r="G44" t="inlineStr">
        <is>
          <t>HÖGSBY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Sotlav</t>
        </is>
      </c>
      <c r="W44">
        <f>HYPERLINK("https://klasma.github.io/Logging_0821/artfynd/A 24911-2023 artfynd.xlsx", "A 24911-2023")</f>
        <v/>
      </c>
      <c r="X44">
        <f>HYPERLINK("https://klasma.github.io/Logging_0821/kartor/A 24911-2023 karta.png", "A 24911-2023")</f>
        <v/>
      </c>
      <c r="Y44">
        <f>HYPERLINK("https://klasma.github.io/Logging_0821/kartor_geotiff/A 24911-2023 georefererad karta.tif", "A 24911-2023")</f>
        <v/>
      </c>
      <c r="AA44">
        <f>HYPERLINK("https://klasma.github.io/Logging_0821/klagomål/A 24911-2023 FSC-klagomål.docx", "A 24911-2023")</f>
        <v/>
      </c>
      <c r="AB44">
        <f>HYPERLINK("https://klasma.github.io/Logging_0821/klagomålsmail/A 24911-2023 FSC-klagomål mail.docx", "A 24911-2023")</f>
        <v/>
      </c>
      <c r="AC44">
        <f>HYPERLINK("https://klasma.github.io/Logging_0821/tillsyn/A 24911-2023 tillsynsbegäran.docx", "A 24911-2023")</f>
        <v/>
      </c>
      <c r="AD44">
        <f>HYPERLINK("https://klasma.github.io/Logging_0821/tillsynsmail/A 24911-2023 tillsynsbegäran mail.docx", "A 24911-2023")</f>
        <v/>
      </c>
    </row>
    <row r="45" ht="15" customHeight="1">
      <c r="A45" t="inlineStr">
        <is>
          <t>A 30186-2026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46206</v>
      </c>
      <c r="E45" s="1" t="n">
        <v>46228</v>
      </c>
      <c r="F45" t="inlineStr">
        <is>
          <t>KALMAR LÄN</t>
        </is>
      </c>
      <c r="G45" t="inlineStr">
        <is>
          <t>HÖGSBY</t>
        </is>
      </c>
      <c r="H45" t="inlineStr">
        <is>
          <t>Sveaskog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Gullklöver</t>
        </is>
      </c>
      <c r="W45">
        <f>HYPERLINK("https://klasma.github.io/Logging_0821/artfynd/A 30186-2026 artfynd.xlsx", "A 30186-2026")</f>
        <v/>
      </c>
      <c r="X45">
        <f>HYPERLINK("https://klasma.github.io/Logging_0821/kartor/A 30186-2026 karta.png", "A 30186-2026")</f>
        <v/>
      </c>
      <c r="Y45">
        <f>HYPERLINK("https://klasma.github.io/Logging_0821/kartor_geotiff/A 30186-2026 georefererad karta.tif", "A 30186-2026")</f>
        <v/>
      </c>
      <c r="AA45">
        <f>HYPERLINK("https://klasma.github.io/Logging_0821/klagomål/A 30186-2026 FSC-klagomål.docx", "A 30186-2026")</f>
        <v/>
      </c>
      <c r="AB45">
        <f>HYPERLINK("https://klasma.github.io/Logging_0821/klagomålsmail/A 30186-2026 FSC-klagomål mail.docx", "A 30186-2026")</f>
        <v/>
      </c>
      <c r="AC45">
        <f>HYPERLINK("https://klasma.github.io/Logging_0821/tillsyn/A 30186-2026 tillsynsbegäran.docx", "A 30186-2026")</f>
        <v/>
      </c>
      <c r="AD45">
        <f>HYPERLINK("https://klasma.github.io/Logging_0821/tillsynsmail/A 30186-2026 tillsynsbegäran mail.docx", "A 30186-2026")</f>
        <v/>
      </c>
    </row>
    <row r="46" ht="15" customHeight="1">
      <c r="A46" t="inlineStr">
        <is>
          <t>A 23859-2026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46228</v>
      </c>
      <c r="F46" t="inlineStr">
        <is>
          <t>KALMAR LÄN</t>
        </is>
      </c>
      <c r="G46" t="inlineStr">
        <is>
          <t>HÖGSBY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HYPERLINK("https://klasma.github.io/Logging_0821/artfynd/A 23859-2026 artfynd.xlsx", "A 23859-2026")</f>
        <v/>
      </c>
      <c r="X46">
        <f>HYPERLINK("https://klasma.github.io/Logging_0821/kartor/A 23859-2026 karta.png", "A 23859-2026")</f>
        <v/>
      </c>
      <c r="Y46">
        <f>HYPERLINK("https://klasma.github.io/Logging_0821/kartor_geotiff/A 23859-2026 georefererad karta.tif", "A 23859-2026")</f>
        <v/>
      </c>
      <c r="AA46">
        <f>HYPERLINK("https://klasma.github.io/Logging_0821/klagomål/A 23859-2026 FSC-klagomål.docx", "A 23859-2026")</f>
        <v/>
      </c>
      <c r="AB46">
        <f>HYPERLINK("https://klasma.github.io/Logging_0821/klagomålsmail/A 23859-2026 FSC-klagomål mail.docx", "A 23859-2026")</f>
        <v/>
      </c>
      <c r="AC46">
        <f>HYPERLINK("https://klasma.github.io/Logging_0821/tillsyn/A 23859-2026 tillsynsbegäran.docx", "A 23859-2026")</f>
        <v/>
      </c>
      <c r="AD46">
        <f>HYPERLINK("https://klasma.github.io/Logging_0821/tillsynsmail/A 23859-2026 tillsynsbegäran mail.docx", "A 23859-2026")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46228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46228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46228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17994-2026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46124</v>
      </c>
      <c r="E50" s="1" t="n">
        <v>46228</v>
      </c>
      <c r="F50" t="inlineStr">
        <is>
          <t>KALMAR LÄN</t>
        </is>
      </c>
      <c r="G50" t="inlineStr">
        <is>
          <t>HÖGSBY</t>
        </is>
      </c>
      <c r="I50" t="n">
        <v>1.7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Mindre bastardsvärmare</t>
        </is>
      </c>
      <c r="W50">
        <f>HYPERLINK("https://klasma.github.io/Logging_0821/artfynd/A 17994-2026 artfynd.xlsx", "A 17994-2026")</f>
        <v/>
      </c>
      <c r="X50">
        <f>HYPERLINK("https://klasma.github.io/Logging_0821/kartor/A 17994-2026 karta.png", "A 17994-2026")</f>
        <v/>
      </c>
      <c r="Y50">
        <f>HYPERLINK("https://klasma.github.io/Logging_0821/kartor_geotiff/A 17994-2026 georefererad karta.tif", "A 17994-2026")</f>
        <v/>
      </c>
      <c r="AA50">
        <f>HYPERLINK("https://klasma.github.io/Logging_0821/klagomål/A 17994-2026 FSC-klagomål.docx", "A 17994-2026")</f>
        <v/>
      </c>
      <c r="AB50">
        <f>HYPERLINK("https://klasma.github.io/Logging_0821/klagomålsmail/A 17994-2026 FSC-klagomål mail.docx", "A 17994-2026")</f>
        <v/>
      </c>
      <c r="AC50">
        <f>HYPERLINK("https://klasma.github.io/Logging_0821/tillsyn/A 17994-2026 tillsynsbegäran.docx", "A 17994-2026")</f>
        <v/>
      </c>
      <c r="AD50">
        <f>HYPERLINK("https://klasma.github.io/Logging_0821/tillsynsmail/A 17994-2026 tillsynsbegäran mail.docx", "A 17994-2026")</f>
        <v/>
      </c>
    </row>
    <row r="51" ht="15" customHeight="1">
      <c r="A51" t="inlineStr">
        <is>
          <t>A 19463-2026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46129</v>
      </c>
      <c r="E51" s="1" t="n">
        <v>46228</v>
      </c>
      <c r="F51" t="inlineStr">
        <is>
          <t>KALMAR LÄN</t>
        </is>
      </c>
      <c r="G51" t="inlineStr">
        <is>
          <t>HÖGSBY</t>
        </is>
      </c>
      <c r="I51" t="n">
        <v>4.1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HYPERLINK("https://klasma.github.io/Logging_0821/artfynd/A 19463-2026 artfynd.xlsx", "A 19463-2026")</f>
        <v/>
      </c>
      <c r="X51">
        <f>HYPERLINK("https://klasma.github.io/Logging_0821/kartor/A 19463-2026 karta.png", "A 19463-2026")</f>
        <v/>
      </c>
      <c r="Y51">
        <f>HYPERLINK("https://klasma.github.io/Logging_0821/kartor_geotiff/A 19463-2026 georefererad karta.tif", "A 19463-2026")</f>
        <v/>
      </c>
      <c r="AA51">
        <f>HYPERLINK("https://klasma.github.io/Logging_0821/klagomål/A 19463-2026 FSC-klagomål.docx", "A 19463-2026")</f>
        <v/>
      </c>
      <c r="AB51">
        <f>HYPERLINK("https://klasma.github.io/Logging_0821/klagomålsmail/A 19463-2026 FSC-klagomål mail.docx", "A 19463-2026")</f>
        <v/>
      </c>
      <c r="AC51">
        <f>HYPERLINK("https://klasma.github.io/Logging_0821/tillsyn/A 19463-2026 tillsynsbegäran.docx", "A 19463-2026")</f>
        <v/>
      </c>
      <c r="AD51">
        <f>HYPERLINK("https://klasma.github.io/Logging_0821/tillsynsmail/A 19463-2026 tillsynsbegäran mail.docx", "A 19463-2026")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46228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58792-2022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46228</v>
      </c>
      <c r="F53" t="inlineStr">
        <is>
          <t>KALMAR LÄN</t>
        </is>
      </c>
      <c r="G53" t="inlineStr">
        <is>
          <t>HÖGSBY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Nattviol</t>
        </is>
      </c>
      <c r="W53">
        <f>HYPERLINK("https://klasma.github.io/Logging_0821/artfynd/A 58792-2022 artfynd.xlsx", "A 58792-2022")</f>
        <v/>
      </c>
      <c r="X53">
        <f>HYPERLINK("https://klasma.github.io/Logging_0821/kartor/A 58792-2022 karta.png", "A 58792-2022")</f>
        <v/>
      </c>
      <c r="Y53">
        <f>HYPERLINK("https://klasma.github.io/Logging_0821/kartor_geotiff/A 58792-2022 georefererad karta.tif", "A 58792-2022")</f>
        <v/>
      </c>
      <c r="AA53">
        <f>HYPERLINK("https://klasma.github.io/Logging_0821/klagomål/A 58792-2022 FSC-klagomål.docx", "A 58792-2022")</f>
        <v/>
      </c>
      <c r="AB53">
        <f>HYPERLINK("https://klasma.github.io/Logging_0821/klagomålsmail/A 58792-2022 FSC-klagomål mail.docx", "A 58792-2022")</f>
        <v/>
      </c>
      <c r="AC53">
        <f>HYPERLINK("https://klasma.github.io/Logging_0821/tillsyn/A 58792-2022 tillsynsbegäran.docx", "A 58792-2022")</f>
        <v/>
      </c>
      <c r="AD53">
        <f>HYPERLINK("https://klasma.github.io/Logging_0821/tillsynsmail/A 58792-2022 tillsynsbegäran mail.docx", "A 58792-2022")</f>
        <v/>
      </c>
    </row>
    <row r="54" ht="15" customHeight="1">
      <c r="A54" t="inlineStr">
        <is>
          <t>A 19536-2026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46134</v>
      </c>
      <c r="E54" s="1" t="n">
        <v>46228</v>
      </c>
      <c r="F54" t="inlineStr">
        <is>
          <t>KALMAR LÄN</t>
        </is>
      </c>
      <c r="G54" t="inlineStr">
        <is>
          <t>HÖGSBY</t>
        </is>
      </c>
      <c r="I54" t="n">
        <v>4.7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HYPERLINK("https://klasma.github.io/Logging_0821/artfynd/A 19536-2026 artfynd.xlsx", "A 19536-2026")</f>
        <v/>
      </c>
      <c r="X54">
        <f>HYPERLINK("https://klasma.github.io/Logging_0821/kartor/A 19536-2026 karta.png", "A 19536-2026")</f>
        <v/>
      </c>
      <c r="Y54">
        <f>HYPERLINK("https://klasma.github.io/Logging_0821/kartor_geotiff/A 19536-2026 georefererad karta.tif", "A 19536-2026")</f>
        <v/>
      </c>
      <c r="AA54">
        <f>HYPERLINK("https://klasma.github.io/Logging_0821/klagomål/A 19536-2026 FSC-klagomål.docx", "A 19536-2026")</f>
        <v/>
      </c>
      <c r="AB54">
        <f>HYPERLINK("https://klasma.github.io/Logging_0821/klagomålsmail/A 19536-2026 FSC-klagomål mail.docx", "A 19536-2026")</f>
        <v/>
      </c>
      <c r="AC54">
        <f>HYPERLINK("https://klasma.github.io/Logging_0821/tillsyn/A 19536-2026 tillsynsbegäran.docx", "A 19536-2026")</f>
        <v/>
      </c>
      <c r="AD54">
        <f>HYPERLINK("https://klasma.github.io/Logging_0821/tillsynsmail/A 19536-2026 tillsynsbegäran mail.docx", "A 19536-2026")</f>
        <v/>
      </c>
      <c r="AE54">
        <f>HYPERLINK("https://klasma.github.io/Logging_0821/fåglar/A 19536-2026 prioriterade fågelarter.docx", "A 19536-2026")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46228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52177-2022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46228</v>
      </c>
      <c r="F56" t="inlineStr">
        <is>
          <t>KALMAR LÄN</t>
        </is>
      </c>
      <c r="G56" t="inlineStr">
        <is>
          <t>HÖGSBY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Nordfladdermus</t>
        </is>
      </c>
      <c r="W56">
        <f>HYPERLINK("https://klasma.github.io/Logging_0821/artfynd/A 52177-2022 artfynd.xlsx", "A 52177-2022")</f>
        <v/>
      </c>
      <c r="X56">
        <f>HYPERLINK("https://klasma.github.io/Logging_0821/kartor/A 52177-2022 karta.png", "A 52177-2022")</f>
        <v/>
      </c>
      <c r="Y56">
        <f>HYPERLINK("https://klasma.github.io/Logging_0821/kartor_geotiff/A 52177-2022 georefererad karta.tif", "A 52177-2022")</f>
        <v/>
      </c>
      <c r="AA56">
        <f>HYPERLINK("https://klasma.github.io/Logging_0821/klagomål/A 52177-2022 FSC-klagomål.docx", "A 52177-2022")</f>
        <v/>
      </c>
      <c r="AB56">
        <f>HYPERLINK("https://klasma.github.io/Logging_0821/klagomålsmail/A 52177-2022 FSC-klagomål mail.docx", "A 52177-2022")</f>
        <v/>
      </c>
      <c r="AC56">
        <f>HYPERLINK("https://klasma.github.io/Logging_0821/tillsyn/A 52177-2022 tillsynsbegäran.docx", "A 52177-2022")</f>
        <v/>
      </c>
      <c r="AD56">
        <f>HYPERLINK("https://klasma.github.io/Logging_0821/tillsynsmail/A 52177-2022 tillsynsbegäran mail.docx", "A 52177-2022")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46228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19519-2025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45770</v>
      </c>
      <c r="E58" s="1" t="n">
        <v>46228</v>
      </c>
      <c r="F58" t="inlineStr">
        <is>
          <t>KALMAR LÄN</t>
        </is>
      </c>
      <c r="G58" t="inlineStr">
        <is>
          <t>HÖGSBY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HYPERLINK("https://klasma.github.io/Logging_0821/artfynd/A 19519-2025 artfynd.xlsx", "A 19519-2025")</f>
        <v/>
      </c>
      <c r="X58">
        <f>HYPERLINK("https://klasma.github.io/Logging_0821/kartor/A 19519-2025 karta.png", "A 19519-2025")</f>
        <v/>
      </c>
      <c r="Y58">
        <f>HYPERLINK("https://klasma.github.io/Logging_0821/kartor_geotiff/A 19519-2025 georefererad karta.tif", "A 19519-2025")</f>
        <v/>
      </c>
      <c r="AA58">
        <f>HYPERLINK("https://klasma.github.io/Logging_0821/klagomål/A 19519-2025 FSC-klagomål.docx", "A 19519-2025")</f>
        <v/>
      </c>
      <c r="AB58">
        <f>HYPERLINK("https://klasma.github.io/Logging_0821/klagomålsmail/A 19519-2025 FSC-klagomål mail.docx", "A 19519-2025")</f>
        <v/>
      </c>
      <c r="AC58">
        <f>HYPERLINK("https://klasma.github.io/Logging_0821/tillsyn/A 19519-2025 tillsynsbegäran.docx", "A 19519-2025")</f>
        <v/>
      </c>
      <c r="AD58">
        <f>HYPERLINK("https://klasma.github.io/Logging_0821/tillsynsmail/A 19519-2025 tillsynsbegäran mail.docx", "A 19519-2025")</f>
        <v/>
      </c>
    </row>
    <row r="59" ht="15" customHeight="1">
      <c r="A59" t="inlineStr">
        <is>
          <t>S 352-2023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44958</v>
      </c>
      <c r="E59" s="1" t="n">
        <v>46228</v>
      </c>
      <c r="F59" t="inlineStr">
        <is>
          <t>KALMAR LÄN</t>
        </is>
      </c>
      <c r="G59" t="inlineStr">
        <is>
          <t>HÖGSBY</t>
        </is>
      </c>
      <c r="I59" t="n">
        <v>20.9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HYPERLINK("https://klasma.github.io/Logging_0821/artfynd/S 352-2023 artfynd.xlsx", "S 352-2023")</f>
        <v/>
      </c>
      <c r="X59">
        <f>HYPERLINK("https://klasma.github.io/Logging_0821/kartor/S 352-2023 karta.png", "S 352-2023")</f>
        <v/>
      </c>
      <c r="Y59">
        <f>HYPERLINK("https://klasma.github.io/Logging_0821/kartor_geotiff/S 352-2023 georefererad karta.tif", "S 352-2023")</f>
        <v/>
      </c>
      <c r="Z59">
        <f>HYPERLINK("https://klasma.github.io/Logging_0821/knärot/S 352-2023 karta knärot.png", "S 352-2023")</f>
        <v/>
      </c>
      <c r="AA59">
        <f>HYPERLINK("https://klasma.github.io/Logging_0821/klagomål/S 352-2023 FSC-klagomål.docx", "S 352-2023")</f>
        <v/>
      </c>
      <c r="AB59">
        <f>HYPERLINK("https://klasma.github.io/Logging_0821/klagomålsmail/S 352-2023 FSC-klagomål mail.docx", "S 352-2023")</f>
        <v/>
      </c>
      <c r="AC59">
        <f>HYPERLINK("https://klasma.github.io/Logging_0821/tillsyn/S 352-2023 tillsynsbegäran.docx", "S 352-2023")</f>
        <v/>
      </c>
      <c r="AD59">
        <f>HYPERLINK("https://klasma.github.io/Logging_0821/tillsynsmail/S 352-2023 tillsynsbegäran mail.docx", "S 352-2023")</f>
        <v/>
      </c>
      <c r="AE59">
        <f>HYPERLINK("https://klasma.github.io/Logging_0821/fåglar/S 352-2023 prioriterade fågelarter.docx", "S 352-2023")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46228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46228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46228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46228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46228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46228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46228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46228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46228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46228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46228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46228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46228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46228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46228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46228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46228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46228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46228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46228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46228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46228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46228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46228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46228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46228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46228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46228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46228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46228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46228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46228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46228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46228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46228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46228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46228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46228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46228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46228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46228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46228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44886</v>
      </c>
      <c r="E102" s="1" t="n">
        <v>46228</v>
      </c>
      <c r="F102" t="inlineStr">
        <is>
          <t>KALMAR LÄN</t>
        </is>
      </c>
      <c r="G102" t="inlineStr">
        <is>
          <t>HÖGSBY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56706-2023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45244</v>
      </c>
      <c r="E103" s="1" t="n">
        <v>46228</v>
      </c>
      <c r="F103" t="inlineStr">
        <is>
          <t>KALMAR LÄN</t>
        </is>
      </c>
      <c r="G103" t="inlineStr">
        <is>
          <t>HÖGSBY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44895</v>
      </c>
      <c r="E104" s="1" t="n">
        <v>46228</v>
      </c>
      <c r="F104" t="inlineStr">
        <is>
          <t>KALMAR LÄN</t>
        </is>
      </c>
      <c r="G104" t="inlineStr">
        <is>
          <t>HÖGSBY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46228</v>
      </c>
      <c r="F105" t="inlineStr">
        <is>
          <t>KALMAR LÄN</t>
        </is>
      </c>
      <c r="G105" t="inlineStr">
        <is>
          <t>HÖGSBY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45111</v>
      </c>
      <c r="E106" s="1" t="n">
        <v>46228</v>
      </c>
      <c r="F106" t="inlineStr">
        <is>
          <t>KALMAR LÄN</t>
        </is>
      </c>
      <c r="G106" t="inlineStr">
        <is>
          <t>HÖGSBY</t>
        </is>
      </c>
      <c r="I106" t="n">
        <v>12.1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38797-2024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45547</v>
      </c>
      <c r="E107" s="1" t="n">
        <v>46228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74478-2021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44559</v>
      </c>
      <c r="E108" s="1" t="n">
        <v>46228</v>
      </c>
      <c r="F108" t="inlineStr">
        <is>
          <t>KALMAR LÄN</t>
        </is>
      </c>
      <c r="G108" t="inlineStr">
        <is>
          <t>HÖGSBY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54483-2022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46228</v>
      </c>
      <c r="F109" t="inlineStr">
        <is>
          <t>KALMAR LÄN</t>
        </is>
      </c>
      <c r="G109" t="inlineStr">
        <is>
          <t>HÖGSBY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46228</v>
      </c>
      <c r="F110" t="inlineStr">
        <is>
          <t>KALMAR LÄN</t>
        </is>
      </c>
      <c r="G110" t="inlineStr">
        <is>
          <t>HÖGSBY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18099-2023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46228</v>
      </c>
      <c r="F111" t="inlineStr">
        <is>
          <t>KALMAR LÄN</t>
        </is>
      </c>
      <c r="G111" t="inlineStr">
        <is>
          <t>HÖGSBY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46228</v>
      </c>
      <c r="F112" t="inlineStr">
        <is>
          <t>KALMAR LÄN</t>
        </is>
      </c>
      <c r="G112" t="inlineStr">
        <is>
          <t>HÖGSBY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15034-2023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45015</v>
      </c>
      <c r="E113" s="1" t="n">
        <v>46228</v>
      </c>
      <c r="F113" t="inlineStr">
        <is>
          <t>KALMAR LÄN</t>
        </is>
      </c>
      <c r="G113" t="inlineStr">
        <is>
          <t>HÖGSBY</t>
        </is>
      </c>
      <c r="H113" t="inlineStr">
        <is>
          <t>Sveaskog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59281-2022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44904</v>
      </c>
      <c r="E114" s="1" t="n">
        <v>46228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46228</v>
      </c>
      <c r="F115" t="inlineStr">
        <is>
          <t>KALMAR LÄN</t>
        </is>
      </c>
      <c r="G115" t="inlineStr">
        <is>
          <t>HÖGSBY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45306</v>
      </c>
      <c r="E116" s="1" t="n">
        <v>46228</v>
      </c>
      <c r="F116" t="inlineStr">
        <is>
          <t>KALMAR LÄN</t>
        </is>
      </c>
      <c r="G116" t="inlineStr">
        <is>
          <t>HÖGSBY</t>
        </is>
      </c>
      <c r="H116" t="inlineStr">
        <is>
          <t>Övriga Aktiebolag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37811-2024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45544</v>
      </c>
      <c r="E117" s="1" t="n">
        <v>46228</v>
      </c>
      <c r="F117" t="inlineStr">
        <is>
          <t>KALMAR LÄN</t>
        </is>
      </c>
      <c r="G117" t="inlineStr">
        <is>
          <t>HÖGSBY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12210-2025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45729</v>
      </c>
      <c r="E118" s="1" t="n">
        <v>46228</v>
      </c>
      <c r="F118" t="inlineStr">
        <is>
          <t>KALMAR LÄN</t>
        </is>
      </c>
      <c r="G118" t="inlineStr">
        <is>
          <t>HÖGSBY</t>
        </is>
      </c>
      <c r="I118" t="n">
        <v>11.5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38520-2023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45162</v>
      </c>
      <c r="E119" s="1" t="n">
        <v>46228</v>
      </c>
      <c r="F119" t="inlineStr">
        <is>
          <t>KALMAR LÄN</t>
        </is>
      </c>
      <c r="G119" t="inlineStr">
        <is>
          <t>HÖGSBY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46228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44950</v>
      </c>
      <c r="E121" s="1" t="n">
        <v>46228</v>
      </c>
      <c r="F121" t="inlineStr">
        <is>
          <t>KALMAR LÄN</t>
        </is>
      </c>
      <c r="G121" t="inlineStr">
        <is>
          <t>HÖGSBY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10413-2023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44987</v>
      </c>
      <c r="E122" s="1" t="n">
        <v>46228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57000-2024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45626</v>
      </c>
      <c r="E123" s="1" t="n">
        <v>46228</v>
      </c>
      <c r="F123" t="inlineStr">
        <is>
          <t>KALMAR LÄN</t>
        </is>
      </c>
      <c r="G123" t="inlineStr">
        <is>
          <t>HÖGSBY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44861</v>
      </c>
      <c r="E124" s="1" t="n">
        <v>46228</v>
      </c>
      <c r="F124" t="inlineStr">
        <is>
          <t>KALMAR LÄN</t>
        </is>
      </c>
      <c r="G124" t="inlineStr">
        <is>
          <t>HÖGSBY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46228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46228</v>
      </c>
      <c r="F126" t="inlineStr">
        <is>
          <t>KALMAR LÄN</t>
        </is>
      </c>
      <c r="G126" t="inlineStr">
        <is>
          <t>HÖGSBY</t>
        </is>
      </c>
      <c r="H126" t="inlineStr">
        <is>
          <t>Sveaskog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40155-2023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45168</v>
      </c>
      <c r="E127" s="1" t="n">
        <v>46228</v>
      </c>
      <c r="F127" t="inlineStr">
        <is>
          <t>KALMAR LÄN</t>
        </is>
      </c>
      <c r="G127" t="inlineStr">
        <is>
          <t>HÖGSBY</t>
        </is>
      </c>
      <c r="H127" t="inlineStr">
        <is>
          <t>Kommuner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38596-2024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45546</v>
      </c>
      <c r="E128" s="1" t="n">
        <v>46228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51619-2023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46228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44623</v>
      </c>
      <c r="E130" s="1" t="n">
        <v>46228</v>
      </c>
      <c r="F130" t="inlineStr">
        <is>
          <t>KALMAR LÄN</t>
        </is>
      </c>
      <c r="G130" t="inlineStr">
        <is>
          <t>HÖGSBY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38608-2024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46228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45329</v>
      </c>
      <c r="E132" s="1" t="n">
        <v>46228</v>
      </c>
      <c r="F132" t="inlineStr">
        <is>
          <t>KALMAR LÄN</t>
        </is>
      </c>
      <c r="G132" t="inlineStr">
        <is>
          <t>HÖGSBY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46228</v>
      </c>
      <c r="F133" t="inlineStr">
        <is>
          <t>KALMAR LÄN</t>
        </is>
      </c>
      <c r="G133" t="inlineStr">
        <is>
          <t>HÖGSBY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17185-2022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44677</v>
      </c>
      <c r="E134" s="1" t="n">
        <v>46228</v>
      </c>
      <c r="F134" t="inlineStr">
        <is>
          <t>KALMAR LÄN</t>
        </is>
      </c>
      <c r="G134" t="inlineStr">
        <is>
          <t>HÖGSBY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44903</v>
      </c>
      <c r="E135" s="1" t="n">
        <v>46228</v>
      </c>
      <c r="F135" t="inlineStr">
        <is>
          <t>KALMAR LÄN</t>
        </is>
      </c>
      <c r="G135" t="inlineStr">
        <is>
          <t>HÖGSBY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45749</v>
      </c>
      <c r="E136" s="1" t="n">
        <v>46228</v>
      </c>
      <c r="F136" t="inlineStr">
        <is>
          <t>KALMAR LÄN</t>
        </is>
      </c>
      <c r="G136" t="inlineStr">
        <is>
          <t>HÖGSBY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46228</v>
      </c>
      <c r="F137" t="inlineStr">
        <is>
          <t>KALMAR LÄN</t>
        </is>
      </c>
      <c r="G137" t="inlineStr">
        <is>
          <t>HÖGSBY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45090</v>
      </c>
      <c r="E138" s="1" t="n">
        <v>46228</v>
      </c>
      <c r="F138" t="inlineStr">
        <is>
          <t>KALMAR LÄN</t>
        </is>
      </c>
      <c r="G138" t="inlineStr">
        <is>
          <t>HÖGSBY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25876-2023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45090</v>
      </c>
      <c r="E139" s="1" t="n">
        <v>46228</v>
      </c>
      <c r="F139" t="inlineStr">
        <is>
          <t>KALMAR LÄN</t>
        </is>
      </c>
      <c r="G139" t="inlineStr">
        <is>
          <t>HÖGSBY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35723-2024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45532</v>
      </c>
      <c r="E140" s="1" t="n">
        <v>46228</v>
      </c>
      <c r="F140" t="inlineStr">
        <is>
          <t>KALMAR LÄN</t>
        </is>
      </c>
      <c r="G140" t="inlineStr">
        <is>
          <t>HÖGSBY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46228</v>
      </c>
      <c r="F141" t="inlineStr">
        <is>
          <t>KALMAR LÄN</t>
        </is>
      </c>
      <c r="G141" t="inlineStr">
        <is>
          <t>HÖGSBY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45189</v>
      </c>
      <c r="E142" s="1" t="n">
        <v>46228</v>
      </c>
      <c r="F142" t="inlineStr">
        <is>
          <t>KALMAR LÄN</t>
        </is>
      </c>
      <c r="G142" t="inlineStr">
        <is>
          <t>HÖGSBY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36909-2023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46228</v>
      </c>
      <c r="F143" t="inlineStr">
        <is>
          <t>KALMAR LÄN</t>
        </is>
      </c>
      <c r="G143" t="inlineStr">
        <is>
          <t>HÖGSBY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45279</v>
      </c>
      <c r="E144" s="1" t="n">
        <v>46228</v>
      </c>
      <c r="F144" t="inlineStr">
        <is>
          <t>KALMAR LÄN</t>
        </is>
      </c>
      <c r="G144" t="inlineStr">
        <is>
          <t>HÖGSBY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12757-2023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46228</v>
      </c>
      <c r="F145" t="inlineStr">
        <is>
          <t>KALMAR LÄN</t>
        </is>
      </c>
      <c r="G145" t="inlineStr">
        <is>
          <t>HÖGSBY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46228</v>
      </c>
      <c r="F146" t="inlineStr">
        <is>
          <t>KALMAR LÄN</t>
        </is>
      </c>
      <c r="G146" t="inlineStr">
        <is>
          <t>HÖGSBY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8108-2025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45707</v>
      </c>
      <c r="E147" s="1" t="n">
        <v>46228</v>
      </c>
      <c r="F147" t="inlineStr">
        <is>
          <t>KALMAR LÄN</t>
        </is>
      </c>
      <c r="G147" t="inlineStr">
        <is>
          <t>HÖGSBY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32049-2023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45119</v>
      </c>
      <c r="E148" s="1" t="n">
        <v>46228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46228</v>
      </c>
      <c r="F149" t="inlineStr">
        <is>
          <t>KALMAR LÄN</t>
        </is>
      </c>
      <c r="G149" t="inlineStr">
        <is>
          <t>HÖGSBY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38068-2025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45882</v>
      </c>
      <c r="E150" s="1" t="n">
        <v>46228</v>
      </c>
      <c r="F150" t="inlineStr">
        <is>
          <t>KALMAR LÄN</t>
        </is>
      </c>
      <c r="G150" t="inlineStr">
        <is>
          <t>HÖGSBY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38824-2024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45547</v>
      </c>
      <c r="E151" s="1" t="n">
        <v>46228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46228</v>
      </c>
      <c r="F152" t="inlineStr">
        <is>
          <t>KALMAR LÄN</t>
        </is>
      </c>
      <c r="G152" t="inlineStr">
        <is>
          <t>HÖGSBY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46228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43544-2025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46228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45754</v>
      </c>
      <c r="E155" s="1" t="n">
        <v>46228</v>
      </c>
      <c r="F155" t="inlineStr">
        <is>
          <t>KALMAR LÄN</t>
        </is>
      </c>
      <c r="G155" t="inlineStr">
        <is>
          <t>HÖGSBY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32632-2025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45838</v>
      </c>
      <c r="E156" s="1" t="n">
        <v>46228</v>
      </c>
      <c r="F156" t="inlineStr">
        <is>
          <t>KALMAR LÄN</t>
        </is>
      </c>
      <c r="G156" t="inlineStr">
        <is>
          <t>HÖGSBY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28648-2023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45103</v>
      </c>
      <c r="E157" s="1" t="n">
        <v>46228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5.6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46228</v>
      </c>
      <c r="F158" t="inlineStr">
        <is>
          <t>KALMAR LÄN</t>
        </is>
      </c>
      <c r="G158" t="inlineStr">
        <is>
          <t>HÖGSBY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39235-2021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44413</v>
      </c>
      <c r="E159" s="1" t="n">
        <v>46228</v>
      </c>
      <c r="F159" t="inlineStr">
        <is>
          <t>KALMAR LÄN</t>
        </is>
      </c>
      <c r="G159" t="inlineStr">
        <is>
          <t>HÖGSBY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22688-2025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46228</v>
      </c>
      <c r="F160" t="inlineStr">
        <is>
          <t>KALMAR LÄN</t>
        </is>
      </c>
      <c r="G160" t="inlineStr">
        <is>
          <t>HÖGSBY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45758</v>
      </c>
      <c r="E161" s="1" t="n">
        <v>46228</v>
      </c>
      <c r="F161" t="inlineStr">
        <is>
          <t>KALMAR LÄN</t>
        </is>
      </c>
      <c r="G161" t="inlineStr">
        <is>
          <t>HÖGSBY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25223-2022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44729</v>
      </c>
      <c r="E162" s="1" t="n">
        <v>46228</v>
      </c>
      <c r="F162" t="inlineStr">
        <is>
          <t>KALMAR LÄN</t>
        </is>
      </c>
      <c r="G162" t="inlineStr">
        <is>
          <t>HÖGSBY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11694-2025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45727</v>
      </c>
      <c r="E163" s="1" t="n">
        <v>46228</v>
      </c>
      <c r="F163" t="inlineStr">
        <is>
          <t>KALMAR LÄN</t>
        </is>
      </c>
      <c r="G163" t="inlineStr">
        <is>
          <t>HÖGSBY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45793</v>
      </c>
      <c r="E164" s="1" t="n">
        <v>46228</v>
      </c>
      <c r="F164" t="inlineStr">
        <is>
          <t>KALMAR LÄN</t>
        </is>
      </c>
      <c r="G164" t="inlineStr">
        <is>
          <t>HÖGSBY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73709-2021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44552</v>
      </c>
      <c r="E165" s="1" t="n">
        <v>46228</v>
      </c>
      <c r="F165" t="inlineStr">
        <is>
          <t>KALMAR LÄN</t>
        </is>
      </c>
      <c r="G165" t="inlineStr">
        <is>
          <t>HÖGSBY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39237-2021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44413</v>
      </c>
      <c r="E166" s="1" t="n">
        <v>46228</v>
      </c>
      <c r="F166" t="inlineStr">
        <is>
          <t>KALMAR LÄN</t>
        </is>
      </c>
      <c r="G166" t="inlineStr">
        <is>
          <t>HÖGSBY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45727</v>
      </c>
      <c r="E167" s="1" t="n">
        <v>46228</v>
      </c>
      <c r="F167" t="inlineStr">
        <is>
          <t>KALMAR LÄN</t>
        </is>
      </c>
      <c r="G167" t="inlineStr">
        <is>
          <t>HÖGSBY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58679-2022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46228</v>
      </c>
      <c r="F168" t="inlineStr">
        <is>
          <t>KALMAR LÄN</t>
        </is>
      </c>
      <c r="G168" t="inlineStr">
        <is>
          <t>HÖGSBY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46048</v>
      </c>
      <c r="E169" s="1" t="n">
        <v>46228</v>
      </c>
      <c r="F169" t="inlineStr">
        <is>
          <t>KALMAR LÄN</t>
        </is>
      </c>
      <c r="G169" t="inlineStr">
        <is>
          <t>HÖGSBY</t>
        </is>
      </c>
      <c r="I169" t="n">
        <v>7.7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8116-2025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46228</v>
      </c>
      <c r="F170" t="inlineStr">
        <is>
          <t>KALMAR LÄN</t>
        </is>
      </c>
      <c r="G170" t="inlineStr">
        <is>
          <t>HÖGSBY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45320</v>
      </c>
      <c r="E171" s="1" t="n">
        <v>46228</v>
      </c>
      <c r="F171" t="inlineStr">
        <is>
          <t>KALMAR LÄN</t>
        </is>
      </c>
      <c r="G171" t="inlineStr">
        <is>
          <t>HÖGSBY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51724-2025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46228</v>
      </c>
      <c r="F172" t="inlineStr">
        <is>
          <t>KALMAR LÄN</t>
        </is>
      </c>
      <c r="G172" t="inlineStr">
        <is>
          <t>HÖGSBY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37497-2022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44809</v>
      </c>
      <c r="E173" s="1" t="n">
        <v>46228</v>
      </c>
      <c r="F173" t="inlineStr">
        <is>
          <t>KALMAR LÄN</t>
        </is>
      </c>
      <c r="G173" t="inlineStr">
        <is>
          <t>HÖGSBY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46228</v>
      </c>
      <c r="F174" t="inlineStr">
        <is>
          <t>KALMAR LÄN</t>
        </is>
      </c>
      <c r="G174" t="inlineStr">
        <is>
          <t>HÖGSBY</t>
        </is>
      </c>
      <c r="H174" t="inlineStr">
        <is>
          <t>Kommuner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46228</v>
      </c>
      <c r="F175" t="inlineStr">
        <is>
          <t>KALMAR LÄN</t>
        </is>
      </c>
      <c r="G175" t="inlineStr">
        <is>
          <t>HÖGSBY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29646-2025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45825</v>
      </c>
      <c r="E176" s="1" t="n">
        <v>46228</v>
      </c>
      <c r="F176" t="inlineStr">
        <is>
          <t>KALMAR LÄN</t>
        </is>
      </c>
      <c r="G176" t="inlineStr">
        <is>
          <t>HÖGSBY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46228</v>
      </c>
      <c r="F177" t="inlineStr">
        <is>
          <t>KALMAR LÄN</t>
        </is>
      </c>
      <c r="G177" t="inlineStr">
        <is>
          <t>HÖGSBY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50414-2024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46228</v>
      </c>
      <c r="F178" t="inlineStr">
        <is>
          <t>KALMAR LÄN</t>
        </is>
      </c>
      <c r="G178" t="inlineStr">
        <is>
          <t>HÖGSBY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45700</v>
      </c>
      <c r="E179" s="1" t="n">
        <v>46228</v>
      </c>
      <c r="F179" t="inlineStr">
        <is>
          <t>KALMAR LÄN</t>
        </is>
      </c>
      <c r="G179" t="inlineStr">
        <is>
          <t>HÖGSBY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45700</v>
      </c>
      <c r="E180" s="1" t="n">
        <v>46228</v>
      </c>
      <c r="F180" t="inlineStr">
        <is>
          <t>KALMAR LÄN</t>
        </is>
      </c>
      <c r="G180" t="inlineStr">
        <is>
          <t>HÖGSBY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46228</v>
      </c>
      <c r="F181" t="inlineStr">
        <is>
          <t>KALMAR LÄN</t>
        </is>
      </c>
      <c r="G181" t="inlineStr">
        <is>
          <t>HÖGSBY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46228</v>
      </c>
      <c r="F182" t="inlineStr">
        <is>
          <t>KALMAR LÄN</t>
        </is>
      </c>
      <c r="G182" t="inlineStr">
        <is>
          <t>HÖGSBY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45923</v>
      </c>
      <c r="E183" s="1" t="n">
        <v>46228</v>
      </c>
      <c r="F183" t="inlineStr">
        <is>
          <t>KALMAR LÄN</t>
        </is>
      </c>
      <c r="G183" t="inlineStr">
        <is>
          <t>HÖGSBY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46228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45546</v>
      </c>
      <c r="E185" s="1" t="n">
        <v>46228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20398-2025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46228</v>
      </c>
      <c r="F186" t="inlineStr">
        <is>
          <t>KALMAR LÄN</t>
        </is>
      </c>
      <c r="G186" t="inlineStr">
        <is>
          <t>HÖGSBY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45804</v>
      </c>
      <c r="E187" s="1" t="n">
        <v>46228</v>
      </c>
      <c r="F187" t="inlineStr">
        <is>
          <t>KALMAR LÄN</t>
        </is>
      </c>
      <c r="G187" t="inlineStr">
        <is>
          <t>HÖGSBY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3622-2022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44586</v>
      </c>
      <c r="E188" s="1" t="n">
        <v>46228</v>
      </c>
      <c r="F188" t="inlineStr">
        <is>
          <t>KALMAR LÄN</t>
        </is>
      </c>
      <c r="G188" t="inlineStr">
        <is>
          <t>HÖGSBY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10871-2023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44991</v>
      </c>
      <c r="E189" s="1" t="n">
        <v>46228</v>
      </c>
      <c r="F189" t="inlineStr">
        <is>
          <t>KALMAR LÄN</t>
        </is>
      </c>
      <c r="G189" t="inlineStr">
        <is>
          <t>HÖGSBY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46228</v>
      </c>
      <c r="F190" t="inlineStr">
        <is>
          <t>KALMAR LÄN</t>
        </is>
      </c>
      <c r="G190" t="inlineStr">
        <is>
          <t>HÖGSBY</t>
        </is>
      </c>
      <c r="I190" t="n">
        <v>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45173</v>
      </c>
      <c r="E191" s="1" t="n">
        <v>46228</v>
      </c>
      <c r="F191" t="inlineStr">
        <is>
          <t>KALMAR LÄN</t>
        </is>
      </c>
      <c r="G191" t="inlineStr">
        <is>
          <t>HÖGSBY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71635-2021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46228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53108-2023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45228</v>
      </c>
      <c r="E193" s="1" t="n">
        <v>46228</v>
      </c>
      <c r="F193" t="inlineStr">
        <is>
          <t>KALMAR LÄN</t>
        </is>
      </c>
      <c r="G193" t="inlineStr">
        <is>
          <t>HÖGSBY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55902-2024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45622</v>
      </c>
      <c r="E194" s="1" t="n">
        <v>46228</v>
      </c>
      <c r="F194" t="inlineStr">
        <is>
          <t>KALMAR LÄN</t>
        </is>
      </c>
      <c r="G194" t="inlineStr">
        <is>
          <t>HÖGSBY</t>
        </is>
      </c>
      <c r="I194" t="n">
        <v>8.9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50947-2025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45946</v>
      </c>
      <c r="E195" s="1" t="n">
        <v>46228</v>
      </c>
      <c r="F195" t="inlineStr">
        <is>
          <t>KALMAR LÄN</t>
        </is>
      </c>
      <c r="G195" t="inlineStr">
        <is>
          <t>HÖGSBY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45946</v>
      </c>
      <c r="E196" s="1" t="n">
        <v>46228</v>
      </c>
      <c r="F196" t="inlineStr">
        <is>
          <t>KALMAR LÄN</t>
        </is>
      </c>
      <c r="G196" t="inlineStr">
        <is>
          <t>HÖGSBY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46228</v>
      </c>
      <c r="F197" t="inlineStr">
        <is>
          <t>KALMAR LÄN</t>
        </is>
      </c>
      <c r="G197" t="inlineStr">
        <is>
          <t>HÖGSBY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51720-2025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45950</v>
      </c>
      <c r="E198" s="1" t="n">
        <v>46228</v>
      </c>
      <c r="F198" t="inlineStr">
        <is>
          <t>KALMAR LÄN</t>
        </is>
      </c>
      <c r="G198" t="inlineStr">
        <is>
          <t>HÖGSBY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45720</v>
      </c>
      <c r="E199" s="1" t="n">
        <v>46228</v>
      </c>
      <c r="F199" t="inlineStr">
        <is>
          <t>KALMAR LÄN</t>
        </is>
      </c>
      <c r="G199" t="inlineStr">
        <is>
          <t>HÖGSBY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46228</v>
      </c>
      <c r="F200" t="inlineStr">
        <is>
          <t>KALMAR LÄN</t>
        </is>
      </c>
      <c r="G200" t="inlineStr">
        <is>
          <t>HÖGSBY</t>
        </is>
      </c>
      <c r="H200" t="inlineStr">
        <is>
          <t>Kyrkan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45954</v>
      </c>
      <c r="E201" s="1" t="n">
        <v>46228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11343-2023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44993</v>
      </c>
      <c r="E202" s="1" t="n">
        <v>46228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46228</v>
      </c>
      <c r="F203" t="inlineStr">
        <is>
          <t>KALMAR LÄN</t>
        </is>
      </c>
      <c r="G203" t="inlineStr">
        <is>
          <t>HÖGSBY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7325-2025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45702</v>
      </c>
      <c r="E204" s="1" t="n">
        <v>46228</v>
      </c>
      <c r="F204" t="inlineStr">
        <is>
          <t>KALMAR LÄN</t>
        </is>
      </c>
      <c r="G204" t="inlineStr">
        <is>
          <t>HÖGSBY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44725</v>
      </c>
      <c r="E205" s="1" t="n">
        <v>46228</v>
      </c>
      <c r="F205" t="inlineStr">
        <is>
          <t>KALMAR LÄN</t>
        </is>
      </c>
      <c r="G205" t="inlineStr">
        <is>
          <t>HÖGSBY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46228</v>
      </c>
      <c r="F206" t="inlineStr">
        <is>
          <t>KALMAR LÄN</t>
        </is>
      </c>
      <c r="G206" t="inlineStr">
        <is>
          <t>HÖGSBY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46228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10704-2022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44625</v>
      </c>
      <c r="E208" s="1" t="n">
        <v>46228</v>
      </c>
      <c r="F208" t="inlineStr">
        <is>
          <t>KALMAR LÄN</t>
        </is>
      </c>
      <c r="G208" t="inlineStr">
        <is>
          <t>HÖGSBY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10706-2022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44625</v>
      </c>
      <c r="E209" s="1" t="n">
        <v>46228</v>
      </c>
      <c r="F209" t="inlineStr">
        <is>
          <t>KALMAR LÄN</t>
        </is>
      </c>
      <c r="G209" t="inlineStr">
        <is>
          <t>HÖGSBY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45204</v>
      </c>
      <c r="E210" s="1" t="n">
        <v>46228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46228</v>
      </c>
      <c r="F211" t="inlineStr">
        <is>
          <t>KALMAR LÄN</t>
        </is>
      </c>
      <c r="G211" t="inlineStr">
        <is>
          <t>HÖGSBY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46228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36573-2023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46228</v>
      </c>
      <c r="F213" t="inlineStr">
        <is>
          <t>KALMAR LÄN</t>
        </is>
      </c>
      <c r="G213" t="inlineStr">
        <is>
          <t>HÖGSBY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50727-2023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46228</v>
      </c>
      <c r="F214" t="inlineStr">
        <is>
          <t>KALMAR LÄN</t>
        </is>
      </c>
      <c r="G214" t="inlineStr">
        <is>
          <t>HÖGSBY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46228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21801-2026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46150</v>
      </c>
      <c r="E216" s="1" t="n">
        <v>46228</v>
      </c>
      <c r="F216" t="inlineStr">
        <is>
          <t>KALMAR LÄN</t>
        </is>
      </c>
      <c r="G216" t="inlineStr">
        <is>
          <t>HÖGSBY</t>
        </is>
      </c>
      <c r="H216" t="inlineStr">
        <is>
          <t>Kommuner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57168-2025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45979</v>
      </c>
      <c r="E217" s="1" t="n">
        <v>46228</v>
      </c>
      <c r="F217" t="inlineStr">
        <is>
          <t>KALMAR LÄN</t>
        </is>
      </c>
      <c r="G217" t="inlineStr">
        <is>
          <t>HÖGSBY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45393</v>
      </c>
      <c r="E218" s="1" t="n">
        <v>46228</v>
      </c>
      <c r="F218" t="inlineStr">
        <is>
          <t>KALMAR LÄN</t>
        </is>
      </c>
      <c r="G218" t="inlineStr">
        <is>
          <t>HÖGSBY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37320-2022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44809</v>
      </c>
      <c r="E219" s="1" t="n">
        <v>46228</v>
      </c>
      <c r="F219" t="inlineStr">
        <is>
          <t>KALMAR LÄN</t>
        </is>
      </c>
      <c r="G219" t="inlineStr">
        <is>
          <t>HÖGSBY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46228</v>
      </c>
      <c r="F220" t="inlineStr">
        <is>
          <t>KALMAR LÄN</t>
        </is>
      </c>
      <c r="G220" t="inlineStr">
        <is>
          <t>HÖGSBY</t>
        </is>
      </c>
      <c r="H220" t="inlineStr">
        <is>
          <t>Övriga Aktiebolag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58017-2025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45982</v>
      </c>
      <c r="E221" s="1" t="n">
        <v>46228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46228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46228</v>
      </c>
      <c r="F223" t="inlineStr">
        <is>
          <t>KALMAR LÄN</t>
        </is>
      </c>
      <c r="G223" t="inlineStr">
        <is>
          <t>HÖGSBY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45988</v>
      </c>
      <c r="E224" s="1" t="n">
        <v>46228</v>
      </c>
      <c r="F224" t="inlineStr">
        <is>
          <t>KALMAR LÄN</t>
        </is>
      </c>
      <c r="G224" t="inlineStr">
        <is>
          <t>HÖGSBY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45247</v>
      </c>
      <c r="E225" s="1" t="n">
        <v>46228</v>
      </c>
      <c r="F225" t="inlineStr">
        <is>
          <t>KALMAR LÄN</t>
        </is>
      </c>
      <c r="G225" t="inlineStr">
        <is>
          <t>HÖGSBY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44861</v>
      </c>
      <c r="E226" s="1" t="n">
        <v>46228</v>
      </c>
      <c r="F226" t="inlineStr">
        <is>
          <t>KALMAR LÄN</t>
        </is>
      </c>
      <c r="G226" t="inlineStr">
        <is>
          <t>HÖGSBY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22562-2026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46155</v>
      </c>
      <c r="E227" s="1" t="n">
        <v>46228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22564-2026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46155</v>
      </c>
      <c r="E228" s="1" t="n">
        <v>46228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46228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46228</v>
      </c>
      <c r="F230" t="inlineStr">
        <is>
          <t>KALMAR LÄN</t>
        </is>
      </c>
      <c r="G230" t="inlineStr">
        <is>
          <t>HÖGSBY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45994</v>
      </c>
      <c r="E231" s="1" t="n">
        <v>46228</v>
      </c>
      <c r="F231" t="inlineStr">
        <is>
          <t>KALMAR LÄN</t>
        </is>
      </c>
      <c r="G231" t="inlineStr">
        <is>
          <t>HÖGSBY</t>
        </is>
      </c>
      <c r="H231" t="inlineStr">
        <is>
          <t>Sveaskog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46228</v>
      </c>
      <c r="F232" t="inlineStr">
        <is>
          <t>KALMAR LÄN</t>
        </is>
      </c>
      <c r="G232" t="inlineStr">
        <is>
          <t>HÖGSBY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46228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61490-2025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46228</v>
      </c>
      <c r="F234" t="inlineStr">
        <is>
          <t>KALMAR LÄN</t>
        </is>
      </c>
      <c r="G234" t="inlineStr">
        <is>
          <t>HÖGSBY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61481-2025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46228</v>
      </c>
      <c r="F235" t="inlineStr">
        <is>
          <t>KALMAR LÄN</t>
        </is>
      </c>
      <c r="G235" t="inlineStr">
        <is>
          <t>HÖGSBY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7438-2023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46228</v>
      </c>
      <c r="F236" t="inlineStr">
        <is>
          <t>KALMAR LÄN</t>
        </is>
      </c>
      <c r="G236" t="inlineStr">
        <is>
          <t>HÖGSBY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22544-2023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46228</v>
      </c>
      <c r="F237" t="inlineStr">
        <is>
          <t>KALMAR LÄN</t>
        </is>
      </c>
      <c r="G237" t="inlineStr">
        <is>
          <t>HÖGSBY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46001</v>
      </c>
      <c r="E238" s="1" t="n">
        <v>46228</v>
      </c>
      <c r="F238" t="inlineStr">
        <is>
          <t>KALMAR LÄN</t>
        </is>
      </c>
      <c r="G238" t="inlineStr">
        <is>
          <t>HÖGSBY</t>
        </is>
      </c>
      <c r="I238" t="n">
        <v>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45999</v>
      </c>
      <c r="E239" s="1" t="n">
        <v>46228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46228</v>
      </c>
      <c r="F240" t="inlineStr">
        <is>
          <t>KALMAR LÄN</t>
        </is>
      </c>
      <c r="G240" t="inlineStr">
        <is>
          <t>HÖGSBY</t>
        </is>
      </c>
      <c r="H240" t="inlineStr">
        <is>
          <t>Sveaskog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46228</v>
      </c>
      <c r="F241" t="inlineStr">
        <is>
          <t>KALMAR LÄN</t>
        </is>
      </c>
      <c r="G241" t="inlineStr">
        <is>
          <t>HÖGSBY</t>
        </is>
      </c>
      <c r="H241" t="inlineStr">
        <is>
          <t>Sveaskog</t>
        </is>
      </c>
      <c r="I241" t="n">
        <v>18.4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45999</v>
      </c>
      <c r="E242" s="1" t="n">
        <v>46228</v>
      </c>
      <c r="F242" t="inlineStr">
        <is>
          <t>KALMAR LÄN</t>
        </is>
      </c>
      <c r="G242" t="inlineStr">
        <is>
          <t>HÖGSBY</t>
        </is>
      </c>
      <c r="H242" t="inlineStr">
        <is>
          <t>Sveaskog</t>
        </is>
      </c>
      <c r="I242" t="n">
        <v>10.9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46228</v>
      </c>
      <c r="F243" t="inlineStr">
        <is>
          <t>KALMAR LÄN</t>
        </is>
      </c>
      <c r="G243" t="inlineStr">
        <is>
          <t>HÖGSBY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45930</v>
      </c>
      <c r="E244" s="1" t="n">
        <v>46228</v>
      </c>
      <c r="F244" t="inlineStr">
        <is>
          <t>KALMAR LÄN</t>
        </is>
      </c>
      <c r="G244" t="inlineStr">
        <is>
          <t>HÖGSBY</t>
        </is>
      </c>
      <c r="H244" t="inlineStr">
        <is>
          <t>Kyrkan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61029-2025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46228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45320</v>
      </c>
      <c r="E246" s="1" t="n">
        <v>46228</v>
      </c>
      <c r="F246" t="inlineStr">
        <is>
          <t>KALMAR LÄN</t>
        </is>
      </c>
      <c r="G246" t="inlineStr">
        <is>
          <t>HÖGSBY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28573-2026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46197</v>
      </c>
      <c r="E247" s="1" t="n">
        <v>46228</v>
      </c>
      <c r="F247" t="inlineStr">
        <is>
          <t>KALMAR LÄN</t>
        </is>
      </c>
      <c r="G247" t="inlineStr">
        <is>
          <t>HÖGSBY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28574-2026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46197</v>
      </c>
      <c r="E248" s="1" t="n">
        <v>46228</v>
      </c>
      <c r="F248" t="inlineStr">
        <is>
          <t>KALMAR LÄN</t>
        </is>
      </c>
      <c r="G248" t="inlineStr">
        <is>
          <t>HÖGSBY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46228</v>
      </c>
      <c r="F249" t="inlineStr">
        <is>
          <t>KALMAR LÄN</t>
        </is>
      </c>
      <c r="G249" t="inlineStr">
        <is>
          <t>HÖGSBY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46009</v>
      </c>
      <c r="E250" s="1" t="n">
        <v>46228</v>
      </c>
      <c r="F250" t="inlineStr">
        <is>
          <t>KALMAR LÄN</t>
        </is>
      </c>
      <c r="G250" t="inlineStr">
        <is>
          <t>HÖGSBY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28265-2026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46196</v>
      </c>
      <c r="E251" s="1" t="n">
        <v>46228</v>
      </c>
      <c r="F251" t="inlineStr">
        <is>
          <t>KALMAR LÄN</t>
        </is>
      </c>
      <c r="G251" t="inlineStr">
        <is>
          <t>HÖGSBY</t>
        </is>
      </c>
      <c r="H251" t="inlineStr">
        <is>
          <t>Kommuner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62720-2025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46008</v>
      </c>
      <c r="E252" s="1" t="n">
        <v>46228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62722-2025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46008</v>
      </c>
      <c r="E253" s="1" t="n">
        <v>46228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31707-2023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45105</v>
      </c>
      <c r="E254" s="1" t="n">
        <v>46228</v>
      </c>
      <c r="F254" t="inlineStr">
        <is>
          <t>KALMAR LÄN</t>
        </is>
      </c>
      <c r="G254" t="inlineStr">
        <is>
          <t>HÖGSBY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46228</v>
      </c>
      <c r="F255" t="inlineStr">
        <is>
          <t>KALMAR LÄN</t>
        </is>
      </c>
      <c r="G255" t="inlineStr">
        <is>
          <t>HÖGSBY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28815-2026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46198</v>
      </c>
      <c r="E256" s="1" t="n">
        <v>46228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28830-2026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46198</v>
      </c>
      <c r="E257" s="1" t="n">
        <v>46228</v>
      </c>
      <c r="F257" t="inlineStr">
        <is>
          <t>KALMAR LÄN</t>
        </is>
      </c>
      <c r="G257" t="inlineStr">
        <is>
          <t>HÖGSBY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28692-2026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46198</v>
      </c>
      <c r="E258" s="1" t="n">
        <v>46228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28697-2026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46198</v>
      </c>
      <c r="E259" s="1" t="n">
        <v>46228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28702-2026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46198</v>
      </c>
      <c r="E260" s="1" t="n">
        <v>46228</v>
      </c>
      <c r="F260" t="inlineStr">
        <is>
          <t>KALMAR LÄN</t>
        </is>
      </c>
      <c r="G260" t="inlineStr">
        <is>
          <t>HÖGSBY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57006-2024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45626</v>
      </c>
      <c r="E261" s="1" t="n">
        <v>46228</v>
      </c>
      <c r="F261" t="inlineStr">
        <is>
          <t>KALMAR LÄN</t>
        </is>
      </c>
      <c r="G261" t="inlineStr">
        <is>
          <t>HÖGSBY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28899-2026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46199</v>
      </c>
      <c r="E262" s="1" t="n">
        <v>46228</v>
      </c>
      <c r="F262" t="inlineStr">
        <is>
          <t>KALMAR LÄN</t>
        </is>
      </c>
      <c r="G262" t="inlineStr">
        <is>
          <t>HÖGSBY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46228</v>
      </c>
      <c r="F263" t="inlineStr">
        <is>
          <t>KALMAR LÄN</t>
        </is>
      </c>
      <c r="G263" t="inlineStr">
        <is>
          <t>HÖGSBY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60853-2021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44496</v>
      </c>
      <c r="E264" s="1" t="n">
        <v>46228</v>
      </c>
      <c r="F264" t="inlineStr">
        <is>
          <t>KALMAR LÄN</t>
        </is>
      </c>
      <c r="G264" t="inlineStr">
        <is>
          <t>HÖGSBY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63483-2025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46013</v>
      </c>
      <c r="E265" s="1" t="n">
        <v>46228</v>
      </c>
      <c r="F265" t="inlineStr">
        <is>
          <t>KALMAR LÄN</t>
        </is>
      </c>
      <c r="G265" t="inlineStr">
        <is>
          <t>HÖGSBY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53129-2022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44876</v>
      </c>
      <c r="E266" s="1" t="n">
        <v>46228</v>
      </c>
      <c r="F266" t="inlineStr">
        <is>
          <t>KALMAR LÄN</t>
        </is>
      </c>
      <c r="G266" t="inlineStr">
        <is>
          <t>HÖGSBY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28691-2026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46198</v>
      </c>
      <c r="E267" s="1" t="n">
        <v>46228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29038-2026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46199</v>
      </c>
      <c r="E268" s="1" t="n">
        <v>46228</v>
      </c>
      <c r="F268" t="inlineStr">
        <is>
          <t>KALMAR LÄN</t>
        </is>
      </c>
      <c r="G268" t="inlineStr">
        <is>
          <t>HÖGSBY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28713-2026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46198</v>
      </c>
      <c r="E269" s="1" t="n">
        <v>46228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28901-2026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46199</v>
      </c>
      <c r="E270" s="1" t="n">
        <v>46228</v>
      </c>
      <c r="F270" t="inlineStr">
        <is>
          <t>KALMAR LÄN</t>
        </is>
      </c>
      <c r="G270" t="inlineStr">
        <is>
          <t>HÖGSBY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46228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63379-2023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45274</v>
      </c>
      <c r="E272" s="1" t="n">
        <v>46228</v>
      </c>
      <c r="F272" t="inlineStr">
        <is>
          <t>KALMAR LÄN</t>
        </is>
      </c>
      <c r="G272" t="inlineStr">
        <is>
          <t>HÖGSBY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46198</v>
      </c>
      <c r="E273" s="1" t="n">
        <v>46228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54238-2021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44470</v>
      </c>
      <c r="E274" s="1" t="n">
        <v>46228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22757-2026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46157</v>
      </c>
      <c r="E275" s="1" t="n">
        <v>46228</v>
      </c>
      <c r="F275" t="inlineStr">
        <is>
          <t>KALMAR LÄN</t>
        </is>
      </c>
      <c r="G275" t="inlineStr">
        <is>
          <t>HÖGSBY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46228</v>
      </c>
      <c r="F276" t="inlineStr">
        <is>
          <t>KALMAR LÄN</t>
        </is>
      </c>
      <c r="G276" t="inlineStr">
        <is>
          <t>HÖGSBY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23116-2026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46161</v>
      </c>
      <c r="E277" s="1" t="n">
        <v>46228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46037</v>
      </c>
      <c r="E278" s="1" t="n">
        <v>46228</v>
      </c>
      <c r="F278" t="inlineStr">
        <is>
          <t>KALMAR LÄN</t>
        </is>
      </c>
      <c r="G278" t="inlineStr">
        <is>
          <t>HÖGSBY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44865-2023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46228</v>
      </c>
      <c r="F279" t="inlineStr">
        <is>
          <t>KALMAR LÄN</t>
        </is>
      </c>
      <c r="G279" t="inlineStr">
        <is>
          <t>HÖGSBY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46038</v>
      </c>
      <c r="E280" s="1" t="n">
        <v>46228</v>
      </c>
      <c r="F280" t="inlineStr">
        <is>
          <t>KALMAR LÄN</t>
        </is>
      </c>
      <c r="G280" t="inlineStr">
        <is>
          <t>HÖGSBY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45391</v>
      </c>
      <c r="E281" s="1" t="n">
        <v>46228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23209-2026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46228</v>
      </c>
      <c r="F282" t="inlineStr">
        <is>
          <t>KALMAR LÄN</t>
        </is>
      </c>
      <c r="G282" t="inlineStr">
        <is>
          <t>HÖGSBY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30157-2026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46206</v>
      </c>
      <c r="E283" s="1" t="n">
        <v>46228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46167</v>
      </c>
      <c r="E284" s="1" t="n">
        <v>46228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46058</v>
      </c>
      <c r="E285" s="1" t="n">
        <v>46228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30291-2026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46228</v>
      </c>
      <c r="F286" t="inlineStr">
        <is>
          <t>KALMAR LÄN</t>
        </is>
      </c>
      <c r="G286" t="inlineStr">
        <is>
          <t>HÖGSBY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20770-2023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45058</v>
      </c>
      <c r="E287" s="1" t="n">
        <v>46228</v>
      </c>
      <c r="F287" t="inlineStr">
        <is>
          <t>KALMAR LÄN</t>
        </is>
      </c>
      <c r="G287" t="inlineStr">
        <is>
          <t>HÖGSBY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7443-2026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46059</v>
      </c>
      <c r="E288" s="1" t="n">
        <v>46228</v>
      </c>
      <c r="F288" t="inlineStr">
        <is>
          <t>KALMAR LÄN</t>
        </is>
      </c>
      <c r="G288" t="inlineStr">
        <is>
          <t>HÖGSBY</t>
        </is>
      </c>
      <c r="H288" t="inlineStr">
        <is>
          <t>Sveaskog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30166-2026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46228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12.7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10244-2024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45365</v>
      </c>
      <c r="E290" s="1" t="n">
        <v>46228</v>
      </c>
      <c r="F290" t="inlineStr">
        <is>
          <t>KALMAR LÄN</t>
        </is>
      </c>
      <c r="G290" t="inlineStr">
        <is>
          <t>HÖGSBY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8613-2022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44613</v>
      </c>
      <c r="E291" s="1" t="n">
        <v>46228</v>
      </c>
      <c r="F291" t="inlineStr">
        <is>
          <t>KALMAR LÄN</t>
        </is>
      </c>
      <c r="G291" t="inlineStr">
        <is>
          <t>HÖGSBY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26545-2024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45469</v>
      </c>
      <c r="E292" s="1" t="n">
        <v>46228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30180-2026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46206</v>
      </c>
      <c r="E293" s="1" t="n">
        <v>46228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7680-2024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45348</v>
      </c>
      <c r="E294" s="1" t="n">
        <v>46228</v>
      </c>
      <c r="F294" t="inlineStr">
        <is>
          <t>KALMAR LÄN</t>
        </is>
      </c>
      <c r="G294" t="inlineStr">
        <is>
          <t>HÖGSBY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46228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30162-2026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46206</v>
      </c>
      <c r="E296" s="1" t="n">
        <v>46228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45650-2023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46228</v>
      </c>
      <c r="F297" t="inlineStr">
        <is>
          <t>KALMAR LÄN</t>
        </is>
      </c>
      <c r="G297" t="inlineStr">
        <is>
          <t>HÖGSBY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7599-2024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45348</v>
      </c>
      <c r="E298" s="1" t="n">
        <v>46228</v>
      </c>
      <c r="F298" t="inlineStr">
        <is>
          <t>KALMAR LÄN</t>
        </is>
      </c>
      <c r="G298" t="inlineStr">
        <is>
          <t>HÖGSBY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8463-2023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46228</v>
      </c>
      <c r="F299" t="inlineStr">
        <is>
          <t>KALMAR LÄN</t>
        </is>
      </c>
      <c r="G299" t="inlineStr">
        <is>
          <t>HÖGSBY</t>
        </is>
      </c>
      <c r="I299" t="n">
        <v>5.5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30890-2023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46228</v>
      </c>
      <c r="F300" t="inlineStr">
        <is>
          <t>KALMAR LÄN</t>
        </is>
      </c>
      <c r="G300" t="inlineStr">
        <is>
          <t>HÖGSBY</t>
        </is>
      </c>
      <c r="I300" t="n">
        <v>11.6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53327-2022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44879</v>
      </c>
      <c r="E301" s="1" t="n">
        <v>46228</v>
      </c>
      <c r="F301" t="inlineStr">
        <is>
          <t>KALMAR LÄN</t>
        </is>
      </c>
      <c r="G301" t="inlineStr">
        <is>
          <t>HÖGSBY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45360</v>
      </c>
      <c r="E302" s="1" t="n">
        <v>46228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59409-2022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44907</v>
      </c>
      <c r="E303" s="1" t="n">
        <v>46228</v>
      </c>
      <c r="F303" t="inlineStr">
        <is>
          <t>KALMAR LÄN</t>
        </is>
      </c>
      <c r="G303" t="inlineStr">
        <is>
          <t>HÖGSBY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24417-2026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46228</v>
      </c>
      <c r="F304" t="inlineStr">
        <is>
          <t>KALMAR LÄN</t>
        </is>
      </c>
      <c r="G304" t="inlineStr">
        <is>
          <t>HÖGSBY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47797-2024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45588</v>
      </c>
      <c r="E305" s="1" t="n">
        <v>46228</v>
      </c>
      <c r="F305" t="inlineStr">
        <is>
          <t>KALMAR LÄN</t>
        </is>
      </c>
      <c r="G305" t="inlineStr">
        <is>
          <t>HÖGSBY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11029-2026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46079</v>
      </c>
      <c r="E306" s="1" t="n">
        <v>46228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22524-2024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45447</v>
      </c>
      <c r="E307" s="1" t="n">
        <v>46228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45126</v>
      </c>
      <c r="E308" s="1" t="n">
        <v>46228</v>
      </c>
      <c r="F308" t="inlineStr">
        <is>
          <t>KALMAR LÄN</t>
        </is>
      </c>
      <c r="G308" t="inlineStr">
        <is>
          <t>HÖGSBY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31429-2023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46228</v>
      </c>
      <c r="F309" t="inlineStr">
        <is>
          <t>KALMAR LÄN</t>
        </is>
      </c>
      <c r="G309" t="inlineStr">
        <is>
          <t>HÖGSBY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24601-2024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45460</v>
      </c>
      <c r="E310" s="1" t="n">
        <v>46228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14.7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46228</v>
      </c>
      <c r="F311" t="inlineStr">
        <is>
          <t>KALMAR LÄN</t>
        </is>
      </c>
      <c r="G311" t="inlineStr">
        <is>
          <t>HÖGSBY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56332-2024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45624</v>
      </c>
      <c r="E312" s="1" t="n">
        <v>46228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44601</v>
      </c>
      <c r="E313" s="1" t="n">
        <v>46228</v>
      </c>
      <c r="F313" t="inlineStr">
        <is>
          <t>KALMAR LÄN</t>
        </is>
      </c>
      <c r="G313" t="inlineStr">
        <is>
          <t>HÖGSBY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45160</v>
      </c>
      <c r="E314" s="1" t="n">
        <v>46228</v>
      </c>
      <c r="F314" t="inlineStr">
        <is>
          <t>KALMAR LÄN</t>
        </is>
      </c>
      <c r="G314" t="inlineStr">
        <is>
          <t>HÖGSBY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24893-2026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46174</v>
      </c>
      <c r="E315" s="1" t="n">
        <v>46228</v>
      </c>
      <c r="F315" t="inlineStr">
        <is>
          <t>KALMAR LÄN</t>
        </is>
      </c>
      <c r="G315" t="inlineStr">
        <is>
          <t>HÖGSBY</t>
        </is>
      </c>
      <c r="H315" t="inlineStr">
        <is>
          <t>Kommuner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46228</v>
      </c>
      <c r="F316" t="inlineStr">
        <is>
          <t>KALMAR LÄN</t>
        </is>
      </c>
      <c r="G316" t="inlineStr">
        <is>
          <t>HÖGSBY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45175</v>
      </c>
      <c r="E317" s="1" t="n">
        <v>46228</v>
      </c>
      <c r="F317" t="inlineStr">
        <is>
          <t>KALMAR LÄN</t>
        </is>
      </c>
      <c r="G317" t="inlineStr">
        <is>
          <t>HÖGSBY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14894-2025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45743</v>
      </c>
      <c r="E318" s="1" t="n">
        <v>46228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46176</v>
      </c>
      <c r="E319" s="1" t="n">
        <v>46228</v>
      </c>
      <c r="F319" t="inlineStr">
        <is>
          <t>KALMAR LÄN</t>
        </is>
      </c>
      <c r="G319" t="inlineStr">
        <is>
          <t>HÖGSBY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15864-2026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46228</v>
      </c>
      <c r="F320" t="inlineStr">
        <is>
          <t>KALMAR LÄN</t>
        </is>
      </c>
      <c r="G320" t="inlineStr">
        <is>
          <t>HÖGSBY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38802-2024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45547</v>
      </c>
      <c r="E321" s="1" t="n">
        <v>46228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25352-2026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46176</v>
      </c>
      <c r="E322" s="1" t="n">
        <v>46228</v>
      </c>
      <c r="F322" t="inlineStr">
        <is>
          <t>KALMAR LÄN</t>
        </is>
      </c>
      <c r="G322" t="inlineStr">
        <is>
          <t>HÖGSBY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16207-2026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46111</v>
      </c>
      <c r="E323" s="1" t="n">
        <v>46228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16342-2026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46228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50458-2022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44866</v>
      </c>
      <c r="E325" s="1" t="n">
        <v>46228</v>
      </c>
      <c r="F325" t="inlineStr">
        <is>
          <t>KALMAR LÄN</t>
        </is>
      </c>
      <c r="G325" t="inlineStr">
        <is>
          <t>HÖGSBY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17090-2026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46228</v>
      </c>
      <c r="F326" t="inlineStr">
        <is>
          <t>KALMAR LÄN</t>
        </is>
      </c>
      <c r="G326" t="inlineStr">
        <is>
          <t>HÖGSBY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46228</v>
      </c>
      <c r="F327" t="inlineStr">
        <is>
          <t>KALMAR LÄN</t>
        </is>
      </c>
      <c r="G327" t="inlineStr">
        <is>
          <t>HÖGSBY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45700</v>
      </c>
      <c r="E328" s="1" t="n">
        <v>46228</v>
      </c>
      <c r="F328" t="inlineStr">
        <is>
          <t>KALMAR LÄN</t>
        </is>
      </c>
      <c r="G328" t="inlineStr">
        <is>
          <t>HÖGSBY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60555-2021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44496</v>
      </c>
      <c r="E329" s="1" t="n">
        <v>46228</v>
      </c>
      <c r="F329" t="inlineStr">
        <is>
          <t>KALMAR LÄN</t>
        </is>
      </c>
      <c r="G329" t="inlineStr">
        <is>
          <t>HÖGSBY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17953-2026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46122</v>
      </c>
      <c r="E330" s="1" t="n">
        <v>46228</v>
      </c>
      <c r="F330" t="inlineStr">
        <is>
          <t>KALMAR LÄN</t>
        </is>
      </c>
      <c r="G330" t="inlineStr">
        <is>
          <t>HÖGSBY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46122</v>
      </c>
      <c r="E331" s="1" t="n">
        <v>46228</v>
      </c>
      <c r="F331" t="inlineStr">
        <is>
          <t>KALMAR LÄN</t>
        </is>
      </c>
      <c r="G331" t="inlineStr">
        <is>
          <t>HÖGSBY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26151-2026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46228</v>
      </c>
      <c r="F332" t="inlineStr">
        <is>
          <t>KALMAR LÄN</t>
        </is>
      </c>
      <c r="G332" t="inlineStr">
        <is>
          <t>HÖGSBY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30294-2022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44760</v>
      </c>
      <c r="E333" s="1" t="n">
        <v>46228</v>
      </c>
      <c r="F333" t="inlineStr">
        <is>
          <t>KALMAR LÄN</t>
        </is>
      </c>
      <c r="G333" t="inlineStr">
        <is>
          <t>HÖGSBY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53328-2022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44879</v>
      </c>
      <c r="E334" s="1" t="n">
        <v>46228</v>
      </c>
      <c r="F334" t="inlineStr">
        <is>
          <t>KALMAR LÄN</t>
        </is>
      </c>
      <c r="G334" t="inlineStr">
        <is>
          <t>HÖGSBY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26109-2026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46181</v>
      </c>
      <c r="E335" s="1" t="n">
        <v>46228</v>
      </c>
      <c r="F335" t="inlineStr">
        <is>
          <t>KALMAR LÄN</t>
        </is>
      </c>
      <c r="G335" t="inlineStr">
        <is>
          <t>HÖGSBY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19484-2026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46134</v>
      </c>
      <c r="E336" s="1" t="n">
        <v>46228</v>
      </c>
      <c r="F336" t="inlineStr">
        <is>
          <t>KALMAR LÄN</t>
        </is>
      </c>
      <c r="G336" t="inlineStr">
        <is>
          <t>HÖGSBY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26752-2026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46228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26757-2026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46228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46228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46228</v>
      </c>
      <c r="F340" t="inlineStr">
        <is>
          <t>KALMAR LÄN</t>
        </is>
      </c>
      <c r="G340" t="inlineStr">
        <is>
          <t>HÖGSBY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46228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8.699999999999999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26760-2026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46184</v>
      </c>
      <c r="E342" s="1" t="n">
        <v>46228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14193-2024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46228</v>
      </c>
      <c r="F343" t="inlineStr">
        <is>
          <t>KALMAR LÄN</t>
        </is>
      </c>
      <c r="G343" t="inlineStr">
        <is>
          <t>HÖGSBY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26967-2026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46185</v>
      </c>
      <c r="E344" s="1" t="n">
        <v>46228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4.5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27365-2026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46228</v>
      </c>
      <c r="F345" t="inlineStr">
        <is>
          <t>KALMAR LÄN</t>
        </is>
      </c>
      <c r="G345" t="inlineStr">
        <is>
          <t>HÖGSBY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46184</v>
      </c>
      <c r="E346" s="1" t="n">
        <v>46228</v>
      </c>
      <c r="F346" t="inlineStr">
        <is>
          <t>KALMAR LÄN</t>
        </is>
      </c>
      <c r="G346" t="inlineStr">
        <is>
          <t>HÖGSBY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62562-2022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44924</v>
      </c>
      <c r="E347" s="1" t="n">
        <v>46228</v>
      </c>
      <c r="F347" t="inlineStr">
        <is>
          <t>KALMAR LÄN</t>
        </is>
      </c>
      <c r="G347" t="inlineStr">
        <is>
          <t>HÖGSBY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59430-2023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45254</v>
      </c>
      <c r="E348" s="1" t="n">
        <v>46228</v>
      </c>
      <c r="F348" t="inlineStr">
        <is>
          <t>KALMAR LÄN</t>
        </is>
      </c>
      <c r="G348" t="inlineStr">
        <is>
          <t>HÖGSBY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45552</v>
      </c>
      <c r="E349" s="1" t="n">
        <v>46228</v>
      </c>
      <c r="F349" t="inlineStr">
        <is>
          <t>KALMAR LÄN</t>
        </is>
      </c>
      <c r="G349" t="inlineStr">
        <is>
          <t>HÖGSBY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12396-2023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44999</v>
      </c>
      <c r="E350" s="1" t="n">
        <v>46228</v>
      </c>
      <c r="F350" t="inlineStr">
        <is>
          <t>KALMAR LÄN</t>
        </is>
      </c>
      <c r="G350" t="inlineStr">
        <is>
          <t>HÖGSBY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9454-2023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44981</v>
      </c>
      <c r="E351" s="1" t="n">
        <v>46228</v>
      </c>
      <c r="F351" t="inlineStr">
        <is>
          <t>KALMAR LÄN</t>
        </is>
      </c>
      <c r="G351" t="inlineStr">
        <is>
          <t>HÖGSBY</t>
        </is>
      </c>
      <c r="H351" t="inlineStr">
        <is>
          <t>Övriga Aktiebolag</t>
        </is>
      </c>
      <c r="I351" t="n">
        <v>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50428-2024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45600</v>
      </c>
      <c r="E352" s="1" t="n">
        <v>46228</v>
      </c>
      <c r="F352" t="inlineStr">
        <is>
          <t>KALMAR LÄN</t>
        </is>
      </c>
      <c r="G352" t="inlineStr">
        <is>
          <t>HÖGSBY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45546</v>
      </c>
      <c r="E353" s="1" t="n">
        <v>46228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58050-2023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45247</v>
      </c>
      <c r="E354" s="1" t="n">
        <v>46228</v>
      </c>
      <c r="F354" t="inlineStr">
        <is>
          <t>KALMAR LÄN</t>
        </is>
      </c>
      <c r="G354" t="inlineStr">
        <is>
          <t>HÖGSBY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65130-2023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45288</v>
      </c>
      <c r="E355" s="1" t="n">
        <v>46228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6597-2024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45341</v>
      </c>
      <c r="E356" s="1" t="n">
        <v>46228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49486-2022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44861</v>
      </c>
      <c r="E357" s="1" t="n">
        <v>46228</v>
      </c>
      <c r="F357" t="inlineStr">
        <is>
          <t>KALMAR LÄN</t>
        </is>
      </c>
      <c r="G357" t="inlineStr">
        <is>
          <t>HÖGSBY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45093</v>
      </c>
      <c r="E358" s="1" t="n">
        <v>46228</v>
      </c>
      <c r="F358" t="inlineStr">
        <is>
          <t>KALMAR LÄN</t>
        </is>
      </c>
      <c r="G358" t="inlineStr">
        <is>
          <t>HÖGSBY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45093</v>
      </c>
      <c r="E359" s="1" t="n">
        <v>46228</v>
      </c>
      <c r="F359" t="inlineStr">
        <is>
          <t>KALMAR LÄN</t>
        </is>
      </c>
      <c r="G359" t="inlineStr">
        <is>
          <t>HÖGSBY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43213-2023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46228</v>
      </c>
      <c r="F360" t="inlineStr">
        <is>
          <t>KALMAR LÄN</t>
        </is>
      </c>
      <c r="G360" t="inlineStr">
        <is>
          <t>HÖGSBY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55697-2023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46228</v>
      </c>
      <c r="F361" t="inlineStr">
        <is>
          <t>KALMAR LÄN</t>
        </is>
      </c>
      <c r="G361" t="inlineStr">
        <is>
          <t>HÖGSBY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44907</v>
      </c>
      <c r="E362" s="1" t="n">
        <v>46228</v>
      </c>
      <c r="F362" t="inlineStr">
        <is>
          <t>KALMAR LÄN</t>
        </is>
      </c>
      <c r="G362" t="inlineStr">
        <is>
          <t>HÖGSBY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52116-2024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45608</v>
      </c>
      <c r="E363" s="1" t="n">
        <v>46228</v>
      </c>
      <c r="F363" t="inlineStr">
        <is>
          <t>KALMAR LÄN</t>
        </is>
      </c>
      <c r="G363" t="inlineStr">
        <is>
          <t>HÖGSBY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51624-2023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46228</v>
      </c>
      <c r="F364" t="inlineStr">
        <is>
          <t>KALMAR LÄN</t>
        </is>
      </c>
      <c r="G364" t="inlineStr">
        <is>
          <t>HÖGSBY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56339-2024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45624</v>
      </c>
      <c r="E365" s="1" t="n">
        <v>46228</v>
      </c>
      <c r="F365" t="inlineStr">
        <is>
          <t>KALMAR LÄN</t>
        </is>
      </c>
      <c r="G365" t="inlineStr">
        <is>
          <t>HÖGSBY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37954-2024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45544</v>
      </c>
      <c r="E366" s="1" t="n">
        <v>46228</v>
      </c>
      <c r="F366" t="inlineStr">
        <is>
          <t>KALMAR LÄN</t>
        </is>
      </c>
      <c r="G366" t="inlineStr">
        <is>
          <t>HÖGSBY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44953</v>
      </c>
      <c r="E367" s="1" t="n">
        <v>46228</v>
      </c>
      <c r="F367" t="inlineStr">
        <is>
          <t>KALMAR LÄN</t>
        </is>
      </c>
      <c r="G367" t="inlineStr">
        <is>
          <t>HÖGSBY</t>
        </is>
      </c>
      <c r="H367" t="inlineStr">
        <is>
          <t>Övriga Aktiebolag</t>
        </is>
      </c>
      <c r="I367" t="n">
        <v>15.2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47502-2023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45203</v>
      </c>
      <c r="E368" s="1" t="n">
        <v>46228</v>
      </c>
      <c r="F368" t="inlineStr">
        <is>
          <t>KALMAR LÄN</t>
        </is>
      </c>
      <c r="G368" t="inlineStr">
        <is>
          <t>HÖGSBY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45203</v>
      </c>
      <c r="E369" s="1" t="n">
        <v>46228</v>
      </c>
      <c r="F369" t="inlineStr">
        <is>
          <t>KALMAR LÄN</t>
        </is>
      </c>
      <c r="G369" t="inlineStr">
        <is>
          <t>HÖGSBY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2079-2023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44939</v>
      </c>
      <c r="E370" s="1" t="n">
        <v>46228</v>
      </c>
      <c r="F370" t="inlineStr">
        <is>
          <t>KALMAR LÄN</t>
        </is>
      </c>
      <c r="G370" t="inlineStr">
        <is>
          <t>HÖGSBY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53501-2024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45614</v>
      </c>
      <c r="E371" s="1" t="n">
        <v>46228</v>
      </c>
      <c r="F371" t="inlineStr">
        <is>
          <t>KALMAR LÄN</t>
        </is>
      </c>
      <c r="G371" t="inlineStr">
        <is>
          <t>HÖGSBY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45581</v>
      </c>
      <c r="E372" s="1" t="n">
        <v>46228</v>
      </c>
      <c r="F372" t="inlineStr">
        <is>
          <t>KALMAR LÄN</t>
        </is>
      </c>
      <c r="G372" t="inlineStr">
        <is>
          <t>HÖGSBY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45692</v>
      </c>
      <c r="E373" s="1" t="n">
        <v>46228</v>
      </c>
      <c r="F373" t="inlineStr">
        <is>
          <t>KALMAR LÄN</t>
        </is>
      </c>
      <c r="G373" t="inlineStr">
        <is>
          <t>HÖGSBY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44866</v>
      </c>
      <c r="E374" s="1" t="n">
        <v>46228</v>
      </c>
      <c r="F374" t="inlineStr">
        <is>
          <t>KALMAR LÄN</t>
        </is>
      </c>
      <c r="G374" t="inlineStr">
        <is>
          <t>HÖGSBY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59581-2024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45638</v>
      </c>
      <c r="E375" s="1" t="n">
        <v>46228</v>
      </c>
      <c r="F375" t="inlineStr">
        <is>
          <t>KALMAR LÄN</t>
        </is>
      </c>
      <c r="G375" t="inlineStr">
        <is>
          <t>HÖGSBY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1768-2024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45307</v>
      </c>
      <c r="E376" s="1" t="n">
        <v>46228</v>
      </c>
      <c r="F376" t="inlineStr">
        <is>
          <t>KALMAR LÄN</t>
        </is>
      </c>
      <c r="G376" t="inlineStr">
        <is>
          <t>HÖGSBY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34078-2024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45523</v>
      </c>
      <c r="E377" s="1" t="n">
        <v>46228</v>
      </c>
      <c r="F377" t="inlineStr">
        <is>
          <t>KALMAR LÄN</t>
        </is>
      </c>
      <c r="G377" t="inlineStr">
        <is>
          <t>HÖGSBY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21569-2025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45782</v>
      </c>
      <c r="E378" s="1" t="n">
        <v>46228</v>
      </c>
      <c r="F378" t="inlineStr">
        <is>
          <t>KALMAR LÄN</t>
        </is>
      </c>
      <c r="G378" t="inlineStr">
        <is>
          <t>HÖGSBY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40464-2023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45170</v>
      </c>
      <c r="E379" s="1" t="n">
        <v>46228</v>
      </c>
      <c r="F379" t="inlineStr">
        <is>
          <t>KALMAR LÄN</t>
        </is>
      </c>
      <c r="G379" t="inlineStr">
        <is>
          <t>HÖGSBY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40137-2024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45554</v>
      </c>
      <c r="E380" s="1" t="n">
        <v>46228</v>
      </c>
      <c r="F380" t="inlineStr">
        <is>
          <t>KALMAR LÄN</t>
        </is>
      </c>
      <c r="G380" t="inlineStr">
        <is>
          <t>HÖGSBY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  <c r="Z380">
        <f>HYPERLINK("https://klasma.github.io/Logging_0821/knärot/A 40137-2024 karta knärot.png", "A 40137-2024")</f>
        <v/>
      </c>
      <c r="AA380">
        <f>HYPERLINK("https://klasma.github.io/Logging_0821/klagomål/A 40137-2024 FSC-klagomål.docx", "A 40137-2024")</f>
        <v/>
      </c>
      <c r="AB380">
        <f>HYPERLINK("https://klasma.github.io/Logging_0821/klagomålsmail/A 40137-2024 FSC-klagomål mail.docx", "A 40137-2024")</f>
        <v/>
      </c>
      <c r="AC380">
        <f>HYPERLINK("https://klasma.github.io/Logging_0821/tillsyn/A 40137-2024 tillsynsbegäran.docx", "A 40137-2024")</f>
        <v/>
      </c>
      <c r="AD380">
        <f>HYPERLINK("https://klasma.github.io/Logging_0821/tillsynsmail/A 40137-2024 tillsynsbegäran mail.docx", "A 40137-2024")</f>
        <v/>
      </c>
    </row>
    <row r="381" ht="15" customHeight="1">
      <c r="A381" t="inlineStr">
        <is>
          <t>A 24378-2025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45797</v>
      </c>
      <c r="E381" s="1" t="n">
        <v>46228</v>
      </c>
      <c r="F381" t="inlineStr">
        <is>
          <t>KALMAR LÄN</t>
        </is>
      </c>
      <c r="G381" t="inlineStr">
        <is>
          <t>HÖGSBY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24013-2025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45796</v>
      </c>
      <c r="E382" s="1" t="n">
        <v>46228</v>
      </c>
      <c r="F382" t="inlineStr">
        <is>
          <t>KALMAR LÄN</t>
        </is>
      </c>
      <c r="G382" t="inlineStr">
        <is>
          <t>HÖGSBY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34577-2025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45847</v>
      </c>
      <c r="E383" s="1" t="n">
        <v>46228</v>
      </c>
      <c r="F383" t="inlineStr">
        <is>
          <t>KALMAR LÄN</t>
        </is>
      </c>
      <c r="G383" t="inlineStr">
        <is>
          <t>HÖGSBY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46228</v>
      </c>
      <c r="F384" t="inlineStr">
        <is>
          <t>KALMAR LÄN</t>
        </is>
      </c>
      <c r="G384" t="inlineStr">
        <is>
          <t>HÖGSBY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40135-2024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46228</v>
      </c>
      <c r="F385" t="inlineStr">
        <is>
          <t>KALMAR LÄN</t>
        </is>
      </c>
      <c r="G385" t="inlineStr">
        <is>
          <t>HÖGSBY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513-2023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46228</v>
      </c>
      <c r="F386" t="inlineStr">
        <is>
          <t>KALMAR LÄN</t>
        </is>
      </c>
      <c r="G386" t="inlineStr">
        <is>
          <t>HÖGSBY</t>
        </is>
      </c>
      <c r="I386" t="n">
        <v>12.4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4463-2022</t>
        </is>
      </c>
      <c r="B387" t="inlineStr">
        <is>
          <t>samrådsanmälan</t>
        </is>
      </c>
      <c r="C387" t="inlineStr">
        <is>
          <t>Åtgärd i nyckelbiotop</t>
        </is>
      </c>
      <c r="D387" s="1" t="n">
        <v>44788</v>
      </c>
      <c r="E387" s="1" t="n">
        <v>46228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3208-2024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45524</v>
      </c>
      <c r="E388" s="1" t="n">
        <v>46228</v>
      </c>
      <c r="F388" t="inlineStr">
        <is>
          <t>KALMAR LÄN</t>
        </is>
      </c>
      <c r="G388" t="inlineStr">
        <is>
          <t>HÖGSBY</t>
        </is>
      </c>
      <c r="I388" t="n">
        <v>23.3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7006-2022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44903</v>
      </c>
      <c r="E389" s="1" t="n">
        <v>46228</v>
      </c>
      <c r="F389" t="inlineStr">
        <is>
          <t>KALMAR LÄN</t>
        </is>
      </c>
      <c r="G389" t="inlineStr">
        <is>
          <t>HÖGSBY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46228</v>
      </c>
      <c r="F390" t="inlineStr">
        <is>
          <t>KALMAR LÄN</t>
        </is>
      </c>
      <c r="G390" t="inlineStr">
        <is>
          <t>HÖGSBY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512-2023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44966</v>
      </c>
      <c r="E391" s="1" t="n">
        <v>46228</v>
      </c>
      <c r="F391" t="inlineStr">
        <is>
          <t>KALMAR LÄN</t>
        </is>
      </c>
      <c r="G391" t="inlineStr">
        <is>
          <t>HÖGSBY</t>
        </is>
      </c>
      <c r="I391" t="n">
        <v>8.5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46228</v>
      </c>
      <c r="F392" t="inlineStr">
        <is>
          <t>KALMAR LÄN</t>
        </is>
      </c>
      <c r="G392" t="inlineStr">
        <is>
          <t>HÖGSBY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2563-2023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45140</v>
      </c>
      <c r="E393" s="1" t="n">
        <v>46228</v>
      </c>
      <c r="F393" t="inlineStr">
        <is>
          <t>KALMAR LÄN</t>
        </is>
      </c>
      <c r="G393" t="inlineStr">
        <is>
          <t>HÖGSBY</t>
        </is>
      </c>
      <c r="I393" t="n">
        <v>28.7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566-2022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44592</v>
      </c>
      <c r="E394" s="1" t="n">
        <v>46228</v>
      </c>
      <c r="F394" t="inlineStr">
        <is>
          <t>KALMAR LÄN</t>
        </is>
      </c>
      <c r="G394" t="inlineStr">
        <is>
          <t>HÖGSBY</t>
        </is>
      </c>
      <c r="I394" t="n">
        <v>15.1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5035-2024</t>
        </is>
      </c>
      <c r="B395" t="inlineStr">
        <is>
          <t>samrådsanmälan</t>
        </is>
      </c>
      <c r="C395" t="inlineStr">
        <is>
          <t>Stubbskörd</t>
        </is>
      </c>
      <c r="D395" s="1" t="n">
        <v>45636</v>
      </c>
      <c r="E395" s="1" t="n">
        <v>46228</v>
      </c>
      <c r="F395" t="inlineStr">
        <is>
          <t>KALMAR LÄN</t>
        </is>
      </c>
      <c r="G395" t="inlineStr">
        <is>
          <t>HÖGSBY</t>
        </is>
      </c>
      <c r="I395" t="n">
        <v>14.2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561-2022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44592</v>
      </c>
      <c r="E396" s="1" t="n">
        <v>46228</v>
      </c>
      <c r="F396" t="inlineStr">
        <is>
          <t>KALMAR LÄN</t>
        </is>
      </c>
      <c r="G396" t="inlineStr">
        <is>
          <t>HÖGSBY</t>
        </is>
      </c>
      <c r="I396" t="n">
        <v>30.3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46228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46228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46228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46228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46228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46228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46228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46228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46228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46228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46228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46228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2026-07-25T01:53:05Z</dcterms:created>
  <dcterms:modified xmlns:dcterms="http://purl.org/dc/terms/" xmlns:xsi="http://www.w3.org/2001/XMLSchema-instance" xsi:type="dcterms:W3CDTF">2026-07-25T01:53:05Z</dcterms:modified>
</cp:coreProperties>
</file>