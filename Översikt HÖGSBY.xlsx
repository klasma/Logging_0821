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46274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46274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46274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46274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46274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46274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46274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46274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46274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46274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46274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46274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46274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46274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46274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46274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58017-2025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45982</v>
      </c>
      <c r="E18" s="1" t="n">
        <v>46274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8.4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Backvickermal
Björksplintborre
Blåmossa
Kornknutmossa</t>
        </is>
      </c>
      <c r="W18">
        <f>HYPERLINK("https://klasma.github.io/Logging_0821/artfynd/A 58017-2025 artfynd.xlsx", "A 58017-2025")</f>
        <v/>
      </c>
      <c r="X18">
        <f>HYPERLINK("https://klasma.github.io/Logging_0821/kartor/A 58017-2025 karta.png", "A 58017-2025")</f>
        <v/>
      </c>
      <c r="Y18">
        <f>HYPERLINK("https://klasma.github.io/Logging_0821/kartor_geotiff/A 58017-2025 georefererad karta.tif", "A 58017-2025")</f>
        <v/>
      </c>
      <c r="AA18">
        <f>HYPERLINK("https://klasma.github.io/Logging_0821/klagomål/A 58017-2025 FSC-klagomål.docx", "A 58017-2025")</f>
        <v/>
      </c>
      <c r="AB18">
        <f>HYPERLINK("https://klasma.github.io/Logging_0821/klagomålsmail/A 58017-2025 FSC-klagomål mail.docx", "A 58017-2025")</f>
        <v/>
      </c>
      <c r="AC18">
        <f>HYPERLINK("https://klasma.github.io/Logging_0821/tillsyn/A 58017-2025 tillsynsbegäran.docx", "A 58017-2025")</f>
        <v/>
      </c>
      <c r="AD18">
        <f>HYPERLINK("https://klasma.github.io/Logging_0821/tillsynsmail/A 58017-2025 tillsynsbegäran mail.docx", "A 58017-2025")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46274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17959-2026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46274</v>
      </c>
      <c r="F20" t="inlineStr">
        <is>
          <t>KALMAR LÄN</t>
        </is>
      </c>
      <c r="G20" t="inlineStr">
        <is>
          <t>HÖGSBY</t>
        </is>
      </c>
      <c r="I20" t="n">
        <v>1.2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Mindre hackspett
Fällmossa
Källpraktmossa
Skogsknipprot</t>
        </is>
      </c>
      <c r="W20">
        <f>HYPERLINK("https://klasma.github.io/Logging_0821/artfynd/A 17959-2026 artfynd.xlsx", "A 17959-2026")</f>
        <v/>
      </c>
      <c r="X20">
        <f>HYPERLINK("https://klasma.github.io/Logging_0821/kartor/A 17959-2026 karta.png", "A 17959-2026")</f>
        <v/>
      </c>
      <c r="Y20">
        <f>HYPERLINK("https://klasma.github.io/Logging_0821/kartor_geotiff/A 17959-2026 georefererad karta.tif", "A 17959-2026")</f>
        <v/>
      </c>
      <c r="AA20">
        <f>HYPERLINK("https://klasma.github.io/Logging_0821/klagomål/A 17959-2026 FSC-klagomål.docx", "A 17959-2026")</f>
        <v/>
      </c>
      <c r="AB20">
        <f>HYPERLINK("https://klasma.github.io/Logging_0821/klagomålsmail/A 17959-2026 FSC-klagomål mail.docx", "A 17959-2026")</f>
        <v/>
      </c>
      <c r="AC20">
        <f>HYPERLINK("https://klasma.github.io/Logging_0821/tillsyn/A 17959-2026 tillsynsbegäran.docx", "A 17959-2026")</f>
        <v/>
      </c>
      <c r="AD20">
        <f>HYPERLINK("https://klasma.github.io/Logging_0821/tillsynsmail/A 17959-2026 tillsynsbegäran mail.docx", "A 17959-2026")</f>
        <v/>
      </c>
      <c r="AE20">
        <f>HYPERLINK("https://klasma.github.io/Logging_0821/fåglar/A 17959-2026 prioriterade fågelarter.docx", "A 17959-2026")</f>
        <v/>
      </c>
    </row>
    <row r="21" ht="15" customHeight="1">
      <c r="A21" t="inlineStr">
        <is>
          <t>A 57171-2022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46274</v>
      </c>
      <c r="F21" t="inlineStr">
        <is>
          <t>KALMAR LÄN</t>
        </is>
      </c>
      <c r="G21" t="inlineStr">
        <is>
          <t>HÖGSBY</t>
        </is>
      </c>
      <c r="I21" t="n">
        <v>4.3</v>
      </c>
      <c r="J21" t="n">
        <v>3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Gulsparv
Mindre träfjäril
Talltita
Gröngöling</t>
        </is>
      </c>
      <c r="W21">
        <f>HYPERLINK("https://klasma.github.io/Logging_0821/artfynd/A 57171-2022 artfynd.xlsx", "A 57171-2022")</f>
        <v/>
      </c>
      <c r="X21">
        <f>HYPERLINK("https://klasma.github.io/Logging_0821/kartor/A 57171-2022 karta.png", "A 57171-2022")</f>
        <v/>
      </c>
      <c r="Y21">
        <f>HYPERLINK("https://klasma.github.io/Logging_0821/kartor_geotiff/A 57171-2022 georefererad karta.tif", "A 57171-2022")</f>
        <v/>
      </c>
      <c r="AA21">
        <f>HYPERLINK("https://klasma.github.io/Logging_0821/klagomål/A 57171-2022 FSC-klagomål.docx", "A 57171-2022")</f>
        <v/>
      </c>
      <c r="AB21">
        <f>HYPERLINK("https://klasma.github.io/Logging_0821/klagomålsmail/A 57171-2022 FSC-klagomål mail.docx", "A 57171-2022")</f>
        <v/>
      </c>
      <c r="AC21">
        <f>HYPERLINK("https://klasma.github.io/Logging_0821/tillsyn/A 57171-2022 tillsynsbegäran.docx", "A 57171-2022")</f>
        <v/>
      </c>
      <c r="AD21">
        <f>HYPERLINK("https://klasma.github.io/Logging_0821/tillsynsmail/A 57171-2022 tillsynsbegäran mail.docx", "A 57171-2022")</f>
        <v/>
      </c>
      <c r="AE21">
        <f>HYPERLINK("https://klasma.github.io/Logging_0821/fåglar/A 57171-2022 prioriterade fågelarter.docx", "A 57171-2022")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46274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46274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46274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46274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46274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46274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46274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30203-2023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45110</v>
      </c>
      <c r="E29" s="1" t="n">
        <v>46274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3.4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1</v>
      </c>
      <c r="V29" s="2" t="inlineStr">
        <is>
          <t>Mistel
Gullviva</t>
        </is>
      </c>
      <c r="W29">
        <f>HYPERLINK("https://klasma.github.io/Logging_0821/artfynd/A 30203-2023 artfynd.xlsx", "A 30203-2023")</f>
        <v/>
      </c>
      <c r="X29">
        <f>HYPERLINK("https://klasma.github.io/Logging_0821/kartor/A 30203-2023 karta.png", "A 30203-2023")</f>
        <v/>
      </c>
      <c r="Y29">
        <f>HYPERLINK("https://klasma.github.io/Logging_0821/kartor_geotiff/A 30203-2023 georefererad karta.tif", "A 30203-2023")</f>
        <v/>
      </c>
      <c r="AA29">
        <f>HYPERLINK("https://klasma.github.io/Logging_0821/klagomål/A 30203-2023 FSC-klagomål.docx", "A 30203-2023")</f>
        <v/>
      </c>
      <c r="AB29">
        <f>HYPERLINK("https://klasma.github.io/Logging_0821/klagomålsmail/A 30203-2023 FSC-klagomål mail.docx", "A 30203-2023")</f>
        <v/>
      </c>
      <c r="AC29">
        <f>HYPERLINK("https://klasma.github.io/Logging_0821/tillsyn/A 30203-2023 tillsynsbegäran.docx", "A 30203-2023")</f>
        <v/>
      </c>
      <c r="AD29">
        <f>HYPERLINK("https://klasma.github.io/Logging_0821/tillsynsmail/A 30203-2023 tillsynsbegäran mail.docx", "A 30203-2023")</f>
        <v/>
      </c>
    </row>
    <row r="30" ht="15" customHeight="1">
      <c r="A30" t="inlineStr">
        <is>
          <t>A 26759-2026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46184</v>
      </c>
      <c r="E30" s="1" t="n">
        <v>46274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5.5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Järnsparv
Kungsfågel</t>
        </is>
      </c>
      <c r="W30">
        <f>HYPERLINK("https://klasma.github.io/Logging_0821/artfynd/A 26759-2026 artfynd.xlsx", "A 26759-2026")</f>
        <v/>
      </c>
      <c r="X30">
        <f>HYPERLINK("https://klasma.github.io/Logging_0821/kartor/A 26759-2026 karta.png", "A 26759-2026")</f>
        <v/>
      </c>
      <c r="Y30">
        <f>HYPERLINK("https://klasma.github.io/Logging_0821/kartor_geotiff/A 26759-2026 georefererad karta.tif", "A 26759-2026")</f>
        <v/>
      </c>
      <c r="AA30">
        <f>HYPERLINK("https://klasma.github.io/Logging_0821/klagomål/A 26759-2026 FSC-klagomål.docx", "A 26759-2026")</f>
        <v/>
      </c>
      <c r="AB30">
        <f>HYPERLINK("https://klasma.github.io/Logging_0821/klagomålsmail/A 26759-2026 FSC-klagomål mail.docx", "A 26759-2026")</f>
        <v/>
      </c>
      <c r="AC30">
        <f>HYPERLINK("https://klasma.github.io/Logging_0821/tillsyn/A 26759-2026 tillsynsbegäran.docx", "A 26759-2026")</f>
        <v/>
      </c>
      <c r="AD30">
        <f>HYPERLINK("https://klasma.github.io/Logging_0821/tillsynsmail/A 26759-2026 tillsynsbegäran mail.docx", "A 26759-2026")</f>
        <v/>
      </c>
      <c r="AE30">
        <f>HYPERLINK("https://klasma.github.io/Logging_0821/fåglar/A 26759-2026 prioriterade fågelarter.docx", "A 26759-2026")</f>
        <v/>
      </c>
    </row>
    <row r="31" ht="15" customHeight="1">
      <c r="A31" t="inlineStr">
        <is>
          <t>A 26775-2026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46184</v>
      </c>
      <c r="E31" s="1" t="n">
        <v>46274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2.4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Vårärt
Blåsippa</t>
        </is>
      </c>
      <c r="W31">
        <f>HYPERLINK("https://klasma.github.io/Logging_0821/artfynd/A 26775-2026 artfynd.xlsx", "A 26775-2026")</f>
        <v/>
      </c>
      <c r="X31">
        <f>HYPERLINK("https://klasma.github.io/Logging_0821/kartor/A 26775-2026 karta.png", "A 26775-2026")</f>
        <v/>
      </c>
      <c r="Y31">
        <f>HYPERLINK("https://klasma.github.io/Logging_0821/kartor_geotiff/A 26775-2026 georefererad karta.tif", "A 26775-2026")</f>
        <v/>
      </c>
      <c r="AA31">
        <f>HYPERLINK("https://klasma.github.io/Logging_0821/klagomål/A 26775-2026 FSC-klagomål.docx", "A 26775-2026")</f>
        <v/>
      </c>
      <c r="AB31">
        <f>HYPERLINK("https://klasma.github.io/Logging_0821/klagomålsmail/A 26775-2026 FSC-klagomål mail.docx", "A 26775-2026")</f>
        <v/>
      </c>
      <c r="AC31">
        <f>HYPERLINK("https://klasma.github.io/Logging_0821/tillsyn/A 26775-2026 tillsynsbegäran.docx", "A 26775-2026")</f>
        <v/>
      </c>
      <c r="AD31">
        <f>HYPERLINK("https://klasma.github.io/Logging_0821/tillsynsmail/A 26775-2026 tillsynsbegäran mail.docx", "A 26775-2026")</f>
        <v/>
      </c>
    </row>
    <row r="32" ht="15" customHeight="1">
      <c r="A32" t="inlineStr">
        <is>
          <t>A 32911-2026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46244</v>
      </c>
      <c r="E32" s="1" t="n">
        <v>46274</v>
      </c>
      <c r="F32" t="inlineStr">
        <is>
          <t>KALMAR LÄN</t>
        </is>
      </c>
      <c r="G32" t="inlineStr">
        <is>
          <t>HÖGSBY</t>
        </is>
      </c>
      <c r="I32" t="n">
        <v>6.1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Hornuggla
Hasselsnok</t>
        </is>
      </c>
      <c r="W32">
        <f>HYPERLINK("https://klasma.github.io/Logging_0821/artfynd/A 32911-2026 artfynd.xlsx", "A 32911-2026")</f>
        <v/>
      </c>
      <c r="X32">
        <f>HYPERLINK("https://klasma.github.io/Logging_0821/kartor/A 32911-2026 karta.png", "A 32911-2026")</f>
        <v/>
      </c>
      <c r="Y32">
        <f>HYPERLINK("https://klasma.github.io/Logging_0821/kartor_geotiff/A 32911-2026 georefererad karta.tif", "A 32911-2026")</f>
        <v/>
      </c>
      <c r="AA32">
        <f>HYPERLINK("https://klasma.github.io/Logging_0821/klagomål/A 32911-2026 FSC-klagomål.docx", "A 32911-2026")</f>
        <v/>
      </c>
      <c r="AB32">
        <f>HYPERLINK("https://klasma.github.io/Logging_0821/klagomålsmail/A 32911-2026 FSC-klagomål mail.docx", "A 32911-2026")</f>
        <v/>
      </c>
      <c r="AC32">
        <f>HYPERLINK("https://klasma.github.io/Logging_0821/tillsyn/A 32911-2026 tillsynsbegäran.docx", "A 32911-2026")</f>
        <v/>
      </c>
      <c r="AD32">
        <f>HYPERLINK("https://klasma.github.io/Logging_0821/tillsynsmail/A 32911-2026 tillsynsbegäran mail.docx", "A 32911-2026")</f>
        <v/>
      </c>
      <c r="AE32">
        <f>HYPERLINK("https://klasma.github.io/Logging_0821/fåglar/A 32911-2026 prioriterade fågelarter.docx", "A 32911-2026")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46274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62431-2023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46274</v>
      </c>
      <c r="F34" t="inlineStr">
        <is>
          <t>KALMAR LÄN</t>
        </is>
      </c>
      <c r="G34" t="inlineStr">
        <is>
          <t>HÖGSBY</t>
        </is>
      </c>
      <c r="I34" t="n">
        <v>4.3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Tallticka
Tjäder</t>
        </is>
      </c>
      <c r="W34">
        <f>HYPERLINK("https://klasma.github.io/Logging_0821/artfynd/A 62431-2023 artfynd.xlsx", "A 62431-2023")</f>
        <v/>
      </c>
      <c r="X34">
        <f>HYPERLINK("https://klasma.github.io/Logging_0821/kartor/A 62431-2023 karta.png", "A 62431-2023")</f>
        <v/>
      </c>
      <c r="Y34">
        <f>HYPERLINK("https://klasma.github.io/Logging_0821/kartor_geotiff/A 62431-2023 georefererad karta.tif", "A 62431-2023")</f>
        <v/>
      </c>
      <c r="AA34">
        <f>HYPERLINK("https://klasma.github.io/Logging_0821/klagomål/A 62431-2023 FSC-klagomål.docx", "A 62431-2023")</f>
        <v/>
      </c>
      <c r="AB34">
        <f>HYPERLINK("https://klasma.github.io/Logging_0821/klagomålsmail/A 62431-2023 FSC-klagomål mail.docx", "A 62431-2023")</f>
        <v/>
      </c>
      <c r="AC34">
        <f>HYPERLINK("https://klasma.github.io/Logging_0821/tillsyn/A 62431-2023 tillsynsbegäran.docx", "A 62431-2023")</f>
        <v/>
      </c>
      <c r="AD34">
        <f>HYPERLINK("https://klasma.github.io/Logging_0821/tillsynsmail/A 62431-2023 tillsynsbegäran mail.docx", "A 62431-2023")</f>
        <v/>
      </c>
      <c r="AE34">
        <f>HYPERLINK("https://klasma.github.io/Logging_0821/fåglar/A 62431-2023 prioriterade fågelarter.docx", "A 62431-2023")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46274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46274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46274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46274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46274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46274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19536-2026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46274</v>
      </c>
      <c r="F41" t="inlineStr">
        <is>
          <t>KALMAR LÄN</t>
        </is>
      </c>
      <c r="G41" t="inlineStr">
        <is>
          <t>HÖGSBY</t>
        </is>
      </c>
      <c r="I41" t="n">
        <v>4.7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HYPERLINK("https://klasma.github.io/Logging_0821/artfynd/A 19536-2026 artfynd.xlsx", "A 19536-2026")</f>
        <v/>
      </c>
      <c r="X41">
        <f>HYPERLINK("https://klasma.github.io/Logging_0821/kartor/A 19536-2026 karta.png", "A 19536-2026")</f>
        <v/>
      </c>
      <c r="Y41">
        <f>HYPERLINK("https://klasma.github.io/Logging_0821/kartor_geotiff/A 19536-2026 georefererad karta.tif", "A 19536-2026")</f>
        <v/>
      </c>
      <c r="AA41">
        <f>HYPERLINK("https://klasma.github.io/Logging_0821/klagomål/A 19536-2026 FSC-klagomål.docx", "A 19536-2026")</f>
        <v/>
      </c>
      <c r="AB41">
        <f>HYPERLINK("https://klasma.github.io/Logging_0821/klagomålsmail/A 19536-2026 FSC-klagomål mail.docx", "A 19536-2026")</f>
        <v/>
      </c>
      <c r="AC41">
        <f>HYPERLINK("https://klasma.github.io/Logging_0821/tillsyn/A 19536-2026 tillsynsbegäran.docx", "A 19536-2026")</f>
        <v/>
      </c>
      <c r="AD41">
        <f>HYPERLINK("https://klasma.github.io/Logging_0821/tillsynsmail/A 19536-2026 tillsynsbegäran mail.docx", "A 19536-2026")</f>
        <v/>
      </c>
      <c r="AE41">
        <f>HYPERLINK("https://klasma.github.io/Logging_0821/fåglar/A 19536-2026 prioriterade fågelarter.docx", "A 19536-2026")</f>
        <v/>
      </c>
    </row>
    <row r="42" ht="15" customHeight="1">
      <c r="A42" t="inlineStr">
        <is>
          <t>A 38267-2025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45883</v>
      </c>
      <c r="E42" s="1" t="n">
        <v>46274</v>
      </c>
      <c r="F42" t="inlineStr">
        <is>
          <t>KALMAR LÄN</t>
        </is>
      </c>
      <c r="G42" t="inlineStr">
        <is>
          <t>HÖGSBY</t>
        </is>
      </c>
      <c r="I42" t="n">
        <v>1.6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Flikig tallfibbla</t>
        </is>
      </c>
      <c r="W42">
        <f>HYPERLINK("https://klasma.github.io/Logging_0821/artfynd/A 38267-2025 artfynd.xlsx", "A 38267-2025")</f>
        <v/>
      </c>
      <c r="X42">
        <f>HYPERLINK("https://klasma.github.io/Logging_0821/kartor/A 38267-2025 karta.png", "A 38267-2025")</f>
        <v/>
      </c>
      <c r="Y42">
        <f>HYPERLINK("https://klasma.github.io/Logging_0821/kartor_geotiff/A 38267-2025 georefererad karta.tif", "A 38267-2025")</f>
        <v/>
      </c>
      <c r="AA42">
        <f>HYPERLINK("https://klasma.github.io/Logging_0821/klagomål/A 38267-2025 FSC-klagomål.docx", "A 38267-2025")</f>
        <v/>
      </c>
      <c r="AB42">
        <f>HYPERLINK("https://klasma.github.io/Logging_0821/klagomålsmail/A 38267-2025 FSC-klagomål mail.docx", "A 38267-2025")</f>
        <v/>
      </c>
      <c r="AC42">
        <f>HYPERLINK("https://klasma.github.io/Logging_0821/tillsyn/A 38267-2025 tillsynsbegäran.docx", "A 38267-2025")</f>
        <v/>
      </c>
      <c r="AD42">
        <f>HYPERLINK("https://klasma.github.io/Logging_0821/tillsynsmail/A 38267-2025 tillsynsbegäran mail.docx", "A 38267-2025")</f>
        <v/>
      </c>
    </row>
    <row r="43" ht="15" customHeight="1">
      <c r="A43" t="inlineStr">
        <is>
          <t>A 35075-2023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45145</v>
      </c>
      <c r="E43" s="1" t="n">
        <v>46274</v>
      </c>
      <c r="F43" t="inlineStr">
        <is>
          <t>KALMAR LÄN</t>
        </is>
      </c>
      <c r="G43" t="inlineStr">
        <is>
          <t>HÖGSBY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HYPERLINK("https://klasma.github.io/Logging_0821/artfynd/A 35075-2023 artfynd.xlsx", "A 35075-2023")</f>
        <v/>
      </c>
      <c r="X43">
        <f>HYPERLINK("https://klasma.github.io/Logging_0821/kartor/A 35075-2023 karta.png", "A 35075-2023")</f>
        <v/>
      </c>
      <c r="Y43">
        <f>HYPERLINK("https://klasma.github.io/Logging_0821/kartor_geotiff/A 35075-2023 georefererad karta.tif", "A 35075-2023")</f>
        <v/>
      </c>
      <c r="AA43">
        <f>HYPERLINK("https://klasma.github.io/Logging_0821/klagomål/A 35075-2023 FSC-klagomål.docx", "A 35075-2023")</f>
        <v/>
      </c>
      <c r="AB43">
        <f>HYPERLINK("https://klasma.github.io/Logging_0821/klagomålsmail/A 35075-2023 FSC-klagomål mail.docx", "A 35075-2023")</f>
        <v/>
      </c>
      <c r="AC43">
        <f>HYPERLINK("https://klasma.github.io/Logging_0821/tillsyn/A 35075-2023 tillsynsbegäran.docx", "A 35075-2023")</f>
        <v/>
      </c>
      <c r="AD43">
        <f>HYPERLINK("https://klasma.github.io/Logging_0821/tillsynsmail/A 35075-2023 tillsynsbegäran mail.docx", "A 35075-2023")</f>
        <v/>
      </c>
    </row>
    <row r="44" ht="15" customHeight="1">
      <c r="A44" t="inlineStr">
        <is>
          <t>A 23859-2026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46274</v>
      </c>
      <c r="F44" t="inlineStr">
        <is>
          <t>KALMAR LÄN</t>
        </is>
      </c>
      <c r="G44" t="inlineStr">
        <is>
          <t>HÖGSBY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Rödlånke</t>
        </is>
      </c>
      <c r="W44">
        <f>HYPERLINK("https://klasma.github.io/Logging_0821/artfynd/A 23859-2026 artfynd.xlsx", "A 23859-2026")</f>
        <v/>
      </c>
      <c r="X44">
        <f>HYPERLINK("https://klasma.github.io/Logging_0821/kartor/A 23859-2026 karta.png", "A 23859-2026")</f>
        <v/>
      </c>
      <c r="Y44">
        <f>HYPERLINK("https://klasma.github.io/Logging_0821/kartor_geotiff/A 23859-2026 georefererad karta.tif", "A 23859-2026")</f>
        <v/>
      </c>
      <c r="AA44">
        <f>HYPERLINK("https://klasma.github.io/Logging_0821/klagomål/A 23859-2026 FSC-klagomål.docx", "A 23859-2026")</f>
        <v/>
      </c>
      <c r="AB44">
        <f>HYPERLINK("https://klasma.github.io/Logging_0821/klagomålsmail/A 23859-2026 FSC-klagomål mail.docx", "A 23859-2026")</f>
        <v/>
      </c>
      <c r="AC44">
        <f>HYPERLINK("https://klasma.github.io/Logging_0821/tillsyn/A 23859-2026 tillsynsbegäran.docx", "A 23859-2026")</f>
        <v/>
      </c>
      <c r="AD44">
        <f>HYPERLINK("https://klasma.github.io/Logging_0821/tillsynsmail/A 23859-2026 tillsynsbegäran mail.docx", "A 23859-2026")</f>
        <v/>
      </c>
    </row>
    <row r="45" ht="15" customHeight="1">
      <c r="A45" t="inlineStr">
        <is>
          <t>A 26145-2026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46274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0</v>
      </c>
      <c r="V45" s="2" t="inlineStr">
        <is>
          <t>Gullviva</t>
        </is>
      </c>
      <c r="W45">
        <f>HYPERLINK("https://klasma.github.io/Logging_0821/artfynd/A 26145-2026 artfynd.xlsx", "A 26145-2026")</f>
        <v/>
      </c>
      <c r="X45">
        <f>HYPERLINK("https://klasma.github.io/Logging_0821/kartor/A 26145-2026 karta.png", "A 26145-2026")</f>
        <v/>
      </c>
      <c r="Y45">
        <f>HYPERLINK("https://klasma.github.io/Logging_0821/kartor_geotiff/A 26145-2026 georefererad karta.tif", "A 26145-2026")</f>
        <v/>
      </c>
      <c r="AA45">
        <f>HYPERLINK("https://klasma.github.io/Logging_0821/klagomål/A 26145-2026 FSC-klagomål.docx", "A 26145-2026")</f>
        <v/>
      </c>
      <c r="AB45">
        <f>HYPERLINK("https://klasma.github.io/Logging_0821/klagomålsmail/A 26145-2026 FSC-klagomål mail.docx", "A 26145-2026")</f>
        <v/>
      </c>
      <c r="AC45">
        <f>HYPERLINK("https://klasma.github.io/Logging_0821/tillsyn/A 26145-2026 tillsynsbegäran.docx", "A 26145-2026")</f>
        <v/>
      </c>
      <c r="AD45">
        <f>HYPERLINK("https://klasma.github.io/Logging_0821/tillsynsmail/A 26145-2026 tillsynsbegäran mail.docx", "A 26145-2026")</f>
        <v/>
      </c>
    </row>
    <row r="46" ht="15" customHeight="1">
      <c r="A46" t="inlineStr">
        <is>
          <t>A 27366-2026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46274</v>
      </c>
      <c r="F46" t="inlineStr">
        <is>
          <t>KALMAR LÄN</t>
        </is>
      </c>
      <c r="G46" t="inlineStr">
        <is>
          <t>HÖGSBY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27366-2026 artfynd.xlsx", "A 27366-2026")</f>
        <v/>
      </c>
      <c r="X46">
        <f>HYPERLINK("https://klasma.github.io/Logging_0821/kartor/A 27366-2026 karta.png", "A 27366-2026")</f>
        <v/>
      </c>
      <c r="Y46">
        <f>HYPERLINK("https://klasma.github.io/Logging_0821/kartor_geotiff/A 27366-2026 georefererad karta.tif", "A 27366-2026")</f>
        <v/>
      </c>
      <c r="AA46">
        <f>HYPERLINK("https://klasma.github.io/Logging_0821/klagomål/A 27366-2026 FSC-klagomål.docx", "A 27366-2026")</f>
        <v/>
      </c>
      <c r="AB46">
        <f>HYPERLINK("https://klasma.github.io/Logging_0821/klagomålsmail/A 27366-2026 FSC-klagomål mail.docx", "A 27366-2026")</f>
        <v/>
      </c>
      <c r="AC46">
        <f>HYPERLINK("https://klasma.github.io/Logging_0821/tillsyn/A 27366-2026 tillsynsbegäran.docx", "A 27366-2026")</f>
        <v/>
      </c>
      <c r="AD46">
        <f>HYPERLINK("https://klasma.github.io/Logging_0821/tillsynsmail/A 27366-2026 tillsynsbegäran mail.docx", "A 27366-2026")</f>
        <v/>
      </c>
    </row>
    <row r="47" ht="15" customHeight="1">
      <c r="A47" t="inlineStr">
        <is>
          <t>A 28894-2026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46274</v>
      </c>
      <c r="F47" t="inlineStr">
        <is>
          <t>KALMAR LÄN</t>
        </is>
      </c>
      <c r="G47" t="inlineStr">
        <is>
          <t>HÖGSBY</t>
        </is>
      </c>
      <c r="I47" t="n">
        <v>6.3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HYPERLINK("https://klasma.github.io/Logging_0821/artfynd/A 28894-2026 artfynd.xlsx", "A 28894-2026")</f>
        <v/>
      </c>
      <c r="X47">
        <f>HYPERLINK("https://klasma.github.io/Logging_0821/kartor/A 28894-2026 karta.png", "A 28894-2026")</f>
        <v/>
      </c>
      <c r="Y47">
        <f>HYPERLINK("https://klasma.github.io/Logging_0821/kartor_geotiff/A 28894-2026 georefererad karta.tif", "A 28894-2026")</f>
        <v/>
      </c>
      <c r="AA47">
        <f>HYPERLINK("https://klasma.github.io/Logging_0821/klagomål/A 28894-2026 FSC-klagomål.docx", "A 28894-2026")</f>
        <v/>
      </c>
      <c r="AB47">
        <f>HYPERLINK("https://klasma.github.io/Logging_0821/klagomålsmail/A 28894-2026 FSC-klagomål mail.docx", "A 28894-2026")</f>
        <v/>
      </c>
      <c r="AC47">
        <f>HYPERLINK("https://klasma.github.io/Logging_0821/tillsyn/A 28894-2026 tillsynsbegäran.docx", "A 28894-2026")</f>
        <v/>
      </c>
      <c r="AD47">
        <f>HYPERLINK("https://klasma.github.io/Logging_0821/tillsynsmail/A 28894-2026 tillsynsbegäran mail.docx", "A 28894-2026")</f>
        <v/>
      </c>
      <c r="AE47">
        <f>HYPERLINK("https://klasma.github.io/Logging_0821/fåglar/A 28894-2026 prioriterade fågelarter.docx", "A 28894-2026")</f>
        <v/>
      </c>
    </row>
    <row r="48" ht="15" customHeight="1">
      <c r="A48" t="inlineStr">
        <is>
          <t>A 33784-2026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46274</v>
      </c>
      <c r="F48" t="inlineStr">
        <is>
          <t>KALMAR LÄN</t>
        </is>
      </c>
      <c r="G48" t="inlineStr">
        <is>
          <t>HÖGSBY</t>
        </is>
      </c>
      <c r="H48" t="inlineStr">
        <is>
          <t>Sveaskog</t>
        </is>
      </c>
      <c r="I48" t="n">
        <v>8.699999999999999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33784-2026 artfynd.xlsx", "A 33784-2026")</f>
        <v/>
      </c>
      <c r="X48">
        <f>HYPERLINK("https://klasma.github.io/Logging_0821/kartor/A 33784-2026 karta.png", "A 33784-2026")</f>
        <v/>
      </c>
      <c r="Y48">
        <f>HYPERLINK("https://klasma.github.io/Logging_0821/kartor_geotiff/A 33784-2026 georefererad karta.tif", "A 33784-2026")</f>
        <v/>
      </c>
      <c r="AA48">
        <f>HYPERLINK("https://klasma.github.io/Logging_0821/klagomål/A 33784-2026 FSC-klagomål.docx", "A 33784-2026")</f>
        <v/>
      </c>
      <c r="AB48">
        <f>HYPERLINK("https://klasma.github.io/Logging_0821/klagomålsmail/A 33784-2026 FSC-klagomål mail.docx", "A 33784-2026")</f>
        <v/>
      </c>
      <c r="AC48">
        <f>HYPERLINK("https://klasma.github.io/Logging_0821/tillsyn/A 33784-2026 tillsynsbegäran.docx", "A 33784-2026")</f>
        <v/>
      </c>
      <c r="AD48">
        <f>HYPERLINK("https://klasma.github.io/Logging_0821/tillsynsmail/A 33784-2026 tillsynsbegäran mail.docx", "A 33784-2026")</f>
        <v/>
      </c>
      <c r="AE48">
        <f>HYPERLINK("https://klasma.github.io/Logging_0821/fåglar/A 33784-2026 prioriterade fågelarter.docx", "A 33784-2026")</f>
        <v/>
      </c>
    </row>
    <row r="49" ht="15" customHeight="1">
      <c r="A49" t="inlineStr">
        <is>
          <t>A 30186-2026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46206</v>
      </c>
      <c r="E49" s="1" t="n">
        <v>46274</v>
      </c>
      <c r="F49" t="inlineStr">
        <is>
          <t>KALMAR LÄN</t>
        </is>
      </c>
      <c r="G49" t="inlineStr">
        <is>
          <t>HÖGSBY</t>
        </is>
      </c>
      <c r="H49" t="inlineStr">
        <is>
          <t>Sveaskog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Gullklöver</t>
        </is>
      </c>
      <c r="W49">
        <f>HYPERLINK("https://klasma.github.io/Logging_0821/artfynd/A 30186-2026 artfynd.xlsx", "A 30186-2026")</f>
        <v/>
      </c>
      <c r="X49">
        <f>HYPERLINK("https://klasma.github.io/Logging_0821/kartor/A 30186-2026 karta.png", "A 30186-2026")</f>
        <v/>
      </c>
      <c r="Y49">
        <f>HYPERLINK("https://klasma.github.io/Logging_0821/kartor_geotiff/A 30186-2026 georefererad karta.tif", "A 30186-2026")</f>
        <v/>
      </c>
      <c r="AA49">
        <f>HYPERLINK("https://klasma.github.io/Logging_0821/klagomål/A 30186-2026 FSC-klagomål.docx", "A 30186-2026")</f>
        <v/>
      </c>
      <c r="AB49">
        <f>HYPERLINK("https://klasma.github.io/Logging_0821/klagomålsmail/A 30186-2026 FSC-klagomål mail.docx", "A 30186-2026")</f>
        <v/>
      </c>
      <c r="AC49">
        <f>HYPERLINK("https://klasma.github.io/Logging_0821/tillsyn/A 30186-2026 tillsynsbegäran.docx", "A 30186-2026")</f>
        <v/>
      </c>
      <c r="AD49">
        <f>HYPERLINK("https://klasma.github.io/Logging_0821/tillsynsmail/A 30186-2026 tillsynsbegäran mail.docx", "A 30186-2026")</f>
        <v/>
      </c>
    </row>
    <row r="50" ht="15" customHeight="1">
      <c r="A50" t="inlineStr">
        <is>
          <t>A 30800-2026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46212</v>
      </c>
      <c r="E50" s="1" t="n">
        <v>46274</v>
      </c>
      <c r="F50" t="inlineStr">
        <is>
          <t>KALMAR LÄN</t>
        </is>
      </c>
      <c r="G50" t="inlineStr">
        <is>
          <t>HÖGSBY</t>
        </is>
      </c>
      <c r="H50" t="inlineStr">
        <is>
          <t>Sveaskog</t>
        </is>
      </c>
      <c r="I50" t="n">
        <v>3.8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Grönpyrola</t>
        </is>
      </c>
      <c r="W50">
        <f>HYPERLINK("https://klasma.github.io/Logging_0821/artfynd/A 30800-2026 artfynd.xlsx", "A 30800-2026")</f>
        <v/>
      </c>
      <c r="X50">
        <f>HYPERLINK("https://klasma.github.io/Logging_0821/kartor/A 30800-2026 karta.png", "A 30800-2026")</f>
        <v/>
      </c>
      <c r="Y50">
        <f>HYPERLINK("https://klasma.github.io/Logging_0821/kartor_geotiff/A 30800-2026 georefererad karta.tif", "A 30800-2026")</f>
        <v/>
      </c>
      <c r="AA50">
        <f>HYPERLINK("https://klasma.github.io/Logging_0821/klagomål/A 30800-2026 FSC-klagomål.docx", "A 30800-2026")</f>
        <v/>
      </c>
      <c r="AB50">
        <f>HYPERLINK("https://klasma.github.io/Logging_0821/klagomålsmail/A 30800-2026 FSC-klagomål mail.docx", "A 30800-2026")</f>
        <v/>
      </c>
      <c r="AC50">
        <f>HYPERLINK("https://klasma.github.io/Logging_0821/tillsyn/A 30800-2026 tillsynsbegäran.docx", "A 30800-2026")</f>
        <v/>
      </c>
      <c r="AD50">
        <f>HYPERLINK("https://klasma.github.io/Logging_0821/tillsynsmail/A 30800-2026 tillsynsbegäran mail.docx", "A 30800-2026")</f>
        <v/>
      </c>
    </row>
    <row r="51" ht="15" customHeight="1">
      <c r="A51" t="inlineStr">
        <is>
          <t>A 17994-2026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46124</v>
      </c>
      <c r="E51" s="1" t="n">
        <v>46274</v>
      </c>
      <c r="F51" t="inlineStr">
        <is>
          <t>KALMAR LÄN</t>
        </is>
      </c>
      <c r="G51" t="inlineStr">
        <is>
          <t>HÖGSBY</t>
        </is>
      </c>
      <c r="I51" t="n">
        <v>1.7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Mindre bastardsvärmare</t>
        </is>
      </c>
      <c r="W51">
        <f>HYPERLINK("https://klasma.github.io/Logging_0821/artfynd/A 17994-2026 artfynd.xlsx", "A 17994-2026")</f>
        <v/>
      </c>
      <c r="X51">
        <f>HYPERLINK("https://klasma.github.io/Logging_0821/kartor/A 17994-2026 karta.png", "A 17994-2026")</f>
        <v/>
      </c>
      <c r="Y51">
        <f>HYPERLINK("https://klasma.github.io/Logging_0821/kartor_geotiff/A 17994-2026 georefererad karta.tif", "A 17994-2026")</f>
        <v/>
      </c>
      <c r="AA51">
        <f>HYPERLINK("https://klasma.github.io/Logging_0821/klagomål/A 17994-2026 FSC-klagomål.docx", "A 17994-2026")</f>
        <v/>
      </c>
      <c r="AB51">
        <f>HYPERLINK("https://klasma.github.io/Logging_0821/klagomålsmail/A 17994-2026 FSC-klagomål mail.docx", "A 17994-2026")</f>
        <v/>
      </c>
      <c r="AC51">
        <f>HYPERLINK("https://klasma.github.io/Logging_0821/tillsyn/A 17994-2026 tillsynsbegäran.docx", "A 17994-2026")</f>
        <v/>
      </c>
      <c r="AD51">
        <f>HYPERLINK("https://klasma.github.io/Logging_0821/tillsynsmail/A 17994-2026 tillsynsbegäran mail.docx", "A 17994-2026")</f>
        <v/>
      </c>
    </row>
    <row r="52" ht="15" customHeight="1">
      <c r="A52" t="inlineStr">
        <is>
          <t>A 24911-2023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46274</v>
      </c>
      <c r="F52" t="inlineStr">
        <is>
          <t>KALMAR LÄN</t>
        </is>
      </c>
      <c r="G52" t="inlineStr">
        <is>
          <t>HÖGSBY</t>
        </is>
      </c>
      <c r="I52" t="n">
        <v>2.9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Sotlav</t>
        </is>
      </c>
      <c r="W52">
        <f>HYPERLINK("https://klasma.github.io/Logging_0821/artfynd/A 24911-2023 artfynd.xlsx", "A 24911-2023")</f>
        <v/>
      </c>
      <c r="X52">
        <f>HYPERLINK("https://klasma.github.io/Logging_0821/kartor/A 24911-2023 karta.png", "A 24911-2023")</f>
        <v/>
      </c>
      <c r="Y52">
        <f>HYPERLINK("https://klasma.github.io/Logging_0821/kartor_geotiff/A 24911-2023 georefererad karta.tif", "A 24911-2023")</f>
        <v/>
      </c>
      <c r="AA52">
        <f>HYPERLINK("https://klasma.github.io/Logging_0821/klagomål/A 24911-2023 FSC-klagomål.docx", "A 24911-2023")</f>
        <v/>
      </c>
      <c r="AB52">
        <f>HYPERLINK("https://klasma.github.io/Logging_0821/klagomålsmail/A 24911-2023 FSC-klagomål mail.docx", "A 24911-2023")</f>
        <v/>
      </c>
      <c r="AC52">
        <f>HYPERLINK("https://klasma.github.io/Logging_0821/tillsyn/A 24911-2023 tillsynsbegäran.docx", "A 24911-2023")</f>
        <v/>
      </c>
      <c r="AD52">
        <f>HYPERLINK("https://klasma.github.io/Logging_0821/tillsynsmail/A 24911-2023 tillsynsbegäran mail.docx", "A 24911-2023")</f>
        <v/>
      </c>
    </row>
    <row r="53" ht="15" customHeight="1">
      <c r="A53" t="inlineStr">
        <is>
          <t>A 19463-2026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46129</v>
      </c>
      <c r="E53" s="1" t="n">
        <v>46274</v>
      </c>
      <c r="F53" t="inlineStr">
        <is>
          <t>KALMAR LÄN</t>
        </is>
      </c>
      <c r="G53" t="inlineStr">
        <is>
          <t>HÖGSBY</t>
        </is>
      </c>
      <c r="I53" t="n">
        <v>4.1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HYPERLINK("https://klasma.github.io/Logging_0821/artfynd/A 19463-2026 artfynd.xlsx", "A 19463-2026")</f>
        <v/>
      </c>
      <c r="X53">
        <f>HYPERLINK("https://klasma.github.io/Logging_0821/kartor/A 19463-2026 karta.png", "A 19463-2026")</f>
        <v/>
      </c>
      <c r="Y53">
        <f>HYPERLINK("https://klasma.github.io/Logging_0821/kartor_geotiff/A 19463-2026 georefererad karta.tif", "A 19463-2026")</f>
        <v/>
      </c>
      <c r="AA53">
        <f>HYPERLINK("https://klasma.github.io/Logging_0821/klagomål/A 19463-2026 FSC-klagomål.docx", "A 19463-2026")</f>
        <v/>
      </c>
      <c r="AB53">
        <f>HYPERLINK("https://klasma.github.io/Logging_0821/klagomålsmail/A 19463-2026 FSC-klagomål mail.docx", "A 19463-2026")</f>
        <v/>
      </c>
      <c r="AC53">
        <f>HYPERLINK("https://klasma.github.io/Logging_0821/tillsyn/A 19463-2026 tillsynsbegäran.docx", "A 19463-2026")</f>
        <v/>
      </c>
      <c r="AD53">
        <f>HYPERLINK("https://klasma.github.io/Logging_0821/tillsynsmail/A 19463-2026 tillsynsbegäran mail.docx", "A 19463-2026")</f>
        <v/>
      </c>
    </row>
    <row r="54" ht="15" customHeight="1">
      <c r="A54" t="inlineStr">
        <is>
          <t>A 59700-2023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45256</v>
      </c>
      <c r="E54" s="1" t="n">
        <v>46274</v>
      </c>
      <c r="F54" t="inlineStr">
        <is>
          <t>KALMAR LÄN</t>
        </is>
      </c>
      <c r="G54" t="inlineStr">
        <is>
          <t>HÖGSBY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59700-2023 artfynd.xlsx", "A 59700-2023")</f>
        <v/>
      </c>
      <c r="X54">
        <f>HYPERLINK("https://klasma.github.io/Logging_0821/kartor/A 59700-2023 karta.png", "A 59700-2023")</f>
        <v/>
      </c>
      <c r="Y54">
        <f>HYPERLINK("https://klasma.github.io/Logging_0821/kartor_geotiff/A 59700-2023 georefererad karta.tif", "A 59700-2023")</f>
        <v/>
      </c>
      <c r="AA54">
        <f>HYPERLINK("https://klasma.github.io/Logging_0821/klagomål/A 59700-2023 FSC-klagomål.docx", "A 59700-2023")</f>
        <v/>
      </c>
      <c r="AB54">
        <f>HYPERLINK("https://klasma.github.io/Logging_0821/klagomålsmail/A 59700-2023 FSC-klagomål mail.docx", "A 59700-2023")</f>
        <v/>
      </c>
      <c r="AC54">
        <f>HYPERLINK("https://klasma.github.io/Logging_0821/tillsyn/A 59700-2023 tillsynsbegäran.docx", "A 59700-2023")</f>
        <v/>
      </c>
      <c r="AD54">
        <f>HYPERLINK("https://klasma.github.io/Logging_0821/tillsynsmail/A 59700-2023 tillsynsbegäran mail.docx", "A 59700-2023")</f>
        <v/>
      </c>
      <c r="AE54">
        <f>HYPERLINK("https://klasma.github.io/Logging_0821/fåglar/A 59700-2023 prioriterade fågelarter.docx", "A 59700-2023")</f>
        <v/>
      </c>
    </row>
    <row r="55" ht="15" customHeight="1">
      <c r="A55" t="inlineStr">
        <is>
          <t>A 35072-2023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46274</v>
      </c>
      <c r="F55" t="inlineStr">
        <is>
          <t>KALMAR LÄN</t>
        </is>
      </c>
      <c r="G55" t="inlineStr">
        <is>
          <t>HÖGSBY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HYPERLINK("https://klasma.github.io/Logging_0821/artfynd/A 35072-2023 artfynd.xlsx", "A 35072-2023")</f>
        <v/>
      </c>
      <c r="X55">
        <f>HYPERLINK("https://klasma.github.io/Logging_0821/kartor/A 35072-2023 karta.png", "A 35072-2023")</f>
        <v/>
      </c>
      <c r="Y55">
        <f>HYPERLINK("https://klasma.github.io/Logging_0821/kartor_geotiff/A 35072-2023 georefererad karta.tif", "A 35072-2023")</f>
        <v/>
      </c>
      <c r="AA55">
        <f>HYPERLINK("https://klasma.github.io/Logging_0821/klagomål/A 35072-2023 FSC-klagomål.docx", "A 35072-2023")</f>
        <v/>
      </c>
      <c r="AB55">
        <f>HYPERLINK("https://klasma.github.io/Logging_0821/klagomålsmail/A 35072-2023 FSC-klagomål mail.docx", "A 35072-2023")</f>
        <v/>
      </c>
      <c r="AC55">
        <f>HYPERLINK("https://klasma.github.io/Logging_0821/tillsyn/A 35072-2023 tillsynsbegäran.docx", "A 35072-2023")</f>
        <v/>
      </c>
      <c r="AD55">
        <f>HYPERLINK("https://klasma.github.io/Logging_0821/tillsynsmail/A 35072-2023 tillsynsbegäran mail.docx", "A 35072-2023")</f>
        <v/>
      </c>
    </row>
    <row r="56" ht="15" customHeight="1">
      <c r="A56" t="inlineStr">
        <is>
          <t>A 58792-2022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44903</v>
      </c>
      <c r="E56" s="1" t="n">
        <v>46274</v>
      </c>
      <c r="F56" t="inlineStr">
        <is>
          <t>KALMAR LÄN</t>
        </is>
      </c>
      <c r="G56" t="inlineStr">
        <is>
          <t>HÖGSBY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Nattviol</t>
        </is>
      </c>
      <c r="W56">
        <f>HYPERLINK("https://klasma.github.io/Logging_0821/artfynd/A 58792-2022 artfynd.xlsx", "A 58792-2022")</f>
        <v/>
      </c>
      <c r="X56">
        <f>HYPERLINK("https://klasma.github.io/Logging_0821/kartor/A 58792-2022 karta.png", "A 58792-2022")</f>
        <v/>
      </c>
      <c r="Y56">
        <f>HYPERLINK("https://klasma.github.io/Logging_0821/kartor_geotiff/A 58792-2022 georefererad karta.tif", "A 58792-2022")</f>
        <v/>
      </c>
      <c r="AA56">
        <f>HYPERLINK("https://klasma.github.io/Logging_0821/klagomål/A 58792-2022 FSC-klagomål.docx", "A 58792-2022")</f>
        <v/>
      </c>
      <c r="AB56">
        <f>HYPERLINK("https://klasma.github.io/Logging_0821/klagomålsmail/A 58792-2022 FSC-klagomål mail.docx", "A 58792-2022")</f>
        <v/>
      </c>
      <c r="AC56">
        <f>HYPERLINK("https://klasma.github.io/Logging_0821/tillsyn/A 58792-2022 tillsynsbegäran.docx", "A 58792-2022")</f>
        <v/>
      </c>
      <c r="AD56">
        <f>HYPERLINK("https://klasma.github.io/Logging_0821/tillsynsmail/A 58792-2022 tillsynsbegäran mail.docx", "A 58792-2022")</f>
        <v/>
      </c>
    </row>
    <row r="57" ht="15" customHeight="1">
      <c r="A57" t="inlineStr">
        <is>
          <t>A 52177-2022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46274</v>
      </c>
      <c r="F57" t="inlineStr">
        <is>
          <t>KALMAR LÄN</t>
        </is>
      </c>
      <c r="G57" t="inlineStr">
        <is>
          <t>HÖGSBY</t>
        </is>
      </c>
      <c r="I57" t="n">
        <v>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Nordfladdermus</t>
        </is>
      </c>
      <c r="W57">
        <f>HYPERLINK("https://klasma.github.io/Logging_0821/artfynd/A 52177-2022 artfynd.xlsx", "A 52177-2022")</f>
        <v/>
      </c>
      <c r="X57">
        <f>HYPERLINK("https://klasma.github.io/Logging_0821/kartor/A 52177-2022 karta.png", "A 52177-2022")</f>
        <v/>
      </c>
      <c r="Y57">
        <f>HYPERLINK("https://klasma.github.io/Logging_0821/kartor_geotiff/A 52177-2022 georefererad karta.tif", "A 52177-2022")</f>
        <v/>
      </c>
      <c r="AA57">
        <f>HYPERLINK("https://klasma.github.io/Logging_0821/klagomål/A 52177-2022 FSC-klagomål.docx", "A 52177-2022")</f>
        <v/>
      </c>
      <c r="AB57">
        <f>HYPERLINK("https://klasma.github.io/Logging_0821/klagomålsmail/A 52177-2022 FSC-klagomål mail.docx", "A 52177-2022")</f>
        <v/>
      </c>
      <c r="AC57">
        <f>HYPERLINK("https://klasma.github.io/Logging_0821/tillsyn/A 52177-2022 tillsynsbegäran.docx", "A 52177-2022")</f>
        <v/>
      </c>
      <c r="AD57">
        <f>HYPERLINK("https://klasma.github.io/Logging_0821/tillsynsmail/A 52177-2022 tillsynsbegäran mail.docx", "A 52177-2022")</f>
        <v/>
      </c>
    </row>
    <row r="58" ht="15" customHeight="1">
      <c r="A58" t="inlineStr">
        <is>
          <t>A 59407-2022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44907</v>
      </c>
      <c r="E58" s="1" t="n">
        <v>46274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1</v>
      </c>
      <c r="V58" s="2" t="inlineStr">
        <is>
          <t>Blåsippa</t>
        </is>
      </c>
      <c r="W58">
        <f>HYPERLINK("https://klasma.github.io/Logging_0821/artfynd/A 59407-2022 artfynd.xlsx", "A 59407-2022")</f>
        <v/>
      </c>
      <c r="X58">
        <f>HYPERLINK("https://klasma.github.io/Logging_0821/kartor/A 59407-2022 karta.png", "A 59407-2022")</f>
        <v/>
      </c>
      <c r="Y58">
        <f>HYPERLINK("https://klasma.github.io/Logging_0821/kartor_geotiff/A 59407-2022 georefererad karta.tif", "A 59407-2022")</f>
        <v/>
      </c>
      <c r="AA58">
        <f>HYPERLINK("https://klasma.github.io/Logging_0821/klagomål/A 59407-2022 FSC-klagomål.docx", "A 59407-2022")</f>
        <v/>
      </c>
      <c r="AB58">
        <f>HYPERLINK("https://klasma.github.io/Logging_0821/klagomålsmail/A 59407-2022 FSC-klagomål mail.docx", "A 59407-2022")</f>
        <v/>
      </c>
      <c r="AC58">
        <f>HYPERLINK("https://klasma.github.io/Logging_0821/tillsyn/A 59407-2022 tillsynsbegäran.docx", "A 59407-2022")</f>
        <v/>
      </c>
      <c r="AD58">
        <f>HYPERLINK("https://klasma.github.io/Logging_0821/tillsynsmail/A 59407-2022 tillsynsbegäran mail.docx", "A 59407-2022")</f>
        <v/>
      </c>
    </row>
    <row r="59" ht="15" customHeight="1">
      <c r="A59" t="inlineStr">
        <is>
          <t>A 19519-2025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46274</v>
      </c>
      <c r="F59" t="inlineStr">
        <is>
          <t>KALMAR LÄN</t>
        </is>
      </c>
      <c r="G59" t="inlineStr">
        <is>
          <t>HÖGSBY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Dropptaggsvamp</t>
        </is>
      </c>
      <c r="W59">
        <f>HYPERLINK("https://klasma.github.io/Logging_0821/artfynd/A 19519-2025 artfynd.xlsx", "A 19519-2025")</f>
        <v/>
      </c>
      <c r="X59">
        <f>HYPERLINK("https://klasma.github.io/Logging_0821/kartor/A 19519-2025 karta.png", "A 19519-2025")</f>
        <v/>
      </c>
      <c r="Y59">
        <f>HYPERLINK("https://klasma.github.io/Logging_0821/kartor_geotiff/A 19519-2025 georefererad karta.tif", "A 19519-2025")</f>
        <v/>
      </c>
      <c r="AA59">
        <f>HYPERLINK("https://klasma.github.io/Logging_0821/klagomål/A 19519-2025 FSC-klagomål.docx", "A 19519-2025")</f>
        <v/>
      </c>
      <c r="AB59">
        <f>HYPERLINK("https://klasma.github.io/Logging_0821/klagomålsmail/A 19519-2025 FSC-klagomål mail.docx", "A 19519-2025")</f>
        <v/>
      </c>
      <c r="AC59">
        <f>HYPERLINK("https://klasma.github.io/Logging_0821/tillsyn/A 19519-2025 tillsynsbegäran.docx", "A 19519-2025")</f>
        <v/>
      </c>
      <c r="AD59">
        <f>HYPERLINK("https://klasma.github.io/Logging_0821/tillsynsmail/A 19519-2025 tillsynsbegäran mail.docx", "A 19519-2025")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46274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46274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46274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46274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46274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46274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46274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46274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46274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46274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46274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46274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46274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46274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46274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46274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46274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46274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46274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46274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46274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46274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46274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46274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46274</v>
      </c>
      <c r="F84" t="inlineStr">
        <is>
          <t>KALMAR LÄN</t>
        </is>
      </c>
      <c r="G84" t="inlineStr">
        <is>
          <t>HÖGSBY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46274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46274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46274</v>
      </c>
      <c r="F87" t="inlineStr">
        <is>
          <t>KALMAR LÄN</t>
        </is>
      </c>
      <c r="G87" t="inlineStr">
        <is>
          <t>HÖGSBY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46274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46274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46274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46274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46274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46274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46274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46274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46274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46274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46274</v>
      </c>
      <c r="F98" t="inlineStr">
        <is>
          <t>KALMAR LÄN</t>
        </is>
      </c>
      <c r="G98" t="inlineStr">
        <is>
          <t>HÖGSBY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46274</v>
      </c>
      <c r="F99" t="inlineStr">
        <is>
          <t>KALMAR LÄN</t>
        </is>
      </c>
      <c r="G99" t="inlineStr">
        <is>
          <t>HÖGSBY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46274</v>
      </c>
      <c r="F100" t="inlineStr">
        <is>
          <t>KALMAR LÄN</t>
        </is>
      </c>
      <c r="G100" t="inlineStr">
        <is>
          <t>HÖGSBY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46274</v>
      </c>
      <c r="F101" t="inlineStr">
        <is>
          <t>KALMAR LÄN</t>
        </is>
      </c>
      <c r="G101" t="inlineStr">
        <is>
          <t>HÖGSBY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46274</v>
      </c>
      <c r="F102" t="inlineStr">
        <is>
          <t>KALMAR LÄN</t>
        </is>
      </c>
      <c r="G102" t="inlineStr">
        <is>
          <t>HÖGSBY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46274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46274</v>
      </c>
      <c r="F104" t="inlineStr">
        <is>
          <t>KALMAR LÄN</t>
        </is>
      </c>
      <c r="G104" t="inlineStr">
        <is>
          <t>HÖGSBY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38797-2024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45547</v>
      </c>
      <c r="E105" s="1" t="n">
        <v>46274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46274</v>
      </c>
      <c r="F106" t="inlineStr">
        <is>
          <t>KALMAR LÄN</t>
        </is>
      </c>
      <c r="G106" t="inlineStr">
        <is>
          <t>HÖGSBY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74478-2021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44559</v>
      </c>
      <c r="E107" s="1" t="n">
        <v>46274</v>
      </c>
      <c r="F107" t="inlineStr">
        <is>
          <t>KALMAR LÄN</t>
        </is>
      </c>
      <c r="G107" t="inlineStr">
        <is>
          <t>HÖGSBY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46274</v>
      </c>
      <c r="F108" t="inlineStr">
        <is>
          <t>KALMAR LÄN</t>
        </is>
      </c>
      <c r="G108" t="inlineStr">
        <is>
          <t>HÖGSBY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46274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45306</v>
      </c>
      <c r="E110" s="1" t="n">
        <v>46274</v>
      </c>
      <c r="F110" t="inlineStr">
        <is>
          <t>KALMAR LÄN</t>
        </is>
      </c>
      <c r="G110" t="inlineStr">
        <is>
          <t>HÖGSBY</t>
        </is>
      </c>
      <c r="H110" t="inlineStr">
        <is>
          <t>Övriga Aktiebolag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45015</v>
      </c>
      <c r="E111" s="1" t="n">
        <v>46274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59281-2022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44904</v>
      </c>
      <c r="E112" s="1" t="n">
        <v>46274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46274</v>
      </c>
      <c r="F113" t="inlineStr">
        <is>
          <t>KALMAR LÄN</t>
        </is>
      </c>
      <c r="G113" t="inlineStr">
        <is>
          <t>HÖGSBY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46274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37811-2024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45544</v>
      </c>
      <c r="E115" s="1" t="n">
        <v>46274</v>
      </c>
      <c r="F115" t="inlineStr">
        <is>
          <t>KALMAR LÄN</t>
        </is>
      </c>
      <c r="G115" t="inlineStr">
        <is>
          <t>HÖGSBY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46274</v>
      </c>
      <c r="F116" t="inlineStr">
        <is>
          <t>KALMAR LÄN</t>
        </is>
      </c>
      <c r="G116" t="inlineStr">
        <is>
          <t>HÖGSBY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45729</v>
      </c>
      <c r="E117" s="1" t="n">
        <v>46274</v>
      </c>
      <c r="F117" t="inlineStr">
        <is>
          <t>KALMAR LÄN</t>
        </is>
      </c>
      <c r="G117" t="inlineStr">
        <is>
          <t>HÖGSBY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46274</v>
      </c>
      <c r="F118" t="inlineStr">
        <is>
          <t>KALMAR LÄN</t>
        </is>
      </c>
      <c r="G118" t="inlineStr">
        <is>
          <t>HÖGSBY</t>
        </is>
      </c>
      <c r="H118" t="inlineStr">
        <is>
          <t>Övriga Aktiebolag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44987</v>
      </c>
      <c r="E119" s="1" t="n">
        <v>46274</v>
      </c>
      <c r="F119" t="inlineStr">
        <is>
          <t>KALMAR LÄN</t>
        </is>
      </c>
      <c r="G119" t="inlineStr">
        <is>
          <t>HÖGSBY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49338-2022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44861</v>
      </c>
      <c r="E120" s="1" t="n">
        <v>46274</v>
      </c>
      <c r="F120" t="inlineStr">
        <is>
          <t>KALMAR LÄN</t>
        </is>
      </c>
      <c r="G120" t="inlineStr">
        <is>
          <t>HÖGSBY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57000-2024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45626</v>
      </c>
      <c r="E121" s="1" t="n">
        <v>46274</v>
      </c>
      <c r="F121" t="inlineStr">
        <is>
          <t>KALMAR LÄN</t>
        </is>
      </c>
      <c r="G121" t="inlineStr">
        <is>
          <t>HÖGSBY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44950</v>
      </c>
      <c r="E122" s="1" t="n">
        <v>46274</v>
      </c>
      <c r="F122" t="inlineStr">
        <is>
          <t>KALMAR LÄN</t>
        </is>
      </c>
      <c r="G122" t="inlineStr">
        <is>
          <t>HÖGSBY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44991</v>
      </c>
      <c r="E123" s="1" t="n">
        <v>46274</v>
      </c>
      <c r="F123" t="inlineStr">
        <is>
          <t>KALMAR LÄN</t>
        </is>
      </c>
      <c r="G123" t="inlineStr">
        <is>
          <t>HÖGSBY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46274</v>
      </c>
      <c r="F124" t="inlineStr">
        <is>
          <t>KALMAR LÄN</t>
        </is>
      </c>
      <c r="G124" t="inlineStr">
        <is>
          <t>HÖGSBY</t>
        </is>
      </c>
      <c r="H124" t="inlineStr">
        <is>
          <t>Kommuner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46274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46274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44623</v>
      </c>
      <c r="E127" s="1" t="n">
        <v>46274</v>
      </c>
      <c r="F127" t="inlineStr">
        <is>
          <t>KALMAR LÄN</t>
        </is>
      </c>
      <c r="G127" t="inlineStr">
        <is>
          <t>HÖGSBY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38608-2024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46274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9.199999999999999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45329</v>
      </c>
      <c r="E129" s="1" t="n">
        <v>46274</v>
      </c>
      <c r="F129" t="inlineStr">
        <is>
          <t>KALMAR LÄN</t>
        </is>
      </c>
      <c r="G129" t="inlineStr">
        <is>
          <t>HÖGSBY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17185-2022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44677</v>
      </c>
      <c r="E130" s="1" t="n">
        <v>46274</v>
      </c>
      <c r="F130" t="inlineStr">
        <is>
          <t>KALMAR LÄN</t>
        </is>
      </c>
      <c r="G130" t="inlineStr">
        <is>
          <t>HÖGSBY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45239</v>
      </c>
      <c r="E131" s="1" t="n">
        <v>46274</v>
      </c>
      <c r="F131" t="inlineStr">
        <is>
          <t>KALMAR LÄN</t>
        </is>
      </c>
      <c r="G131" t="inlineStr">
        <is>
          <t>HÖGSBY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58753-2022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46274</v>
      </c>
      <c r="F132" t="inlineStr">
        <is>
          <t>KALMAR LÄN</t>
        </is>
      </c>
      <c r="G132" t="inlineStr">
        <is>
          <t>HÖGSBY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45749</v>
      </c>
      <c r="E133" s="1" t="n">
        <v>46274</v>
      </c>
      <c r="F133" t="inlineStr">
        <is>
          <t>KALMAR LÄN</t>
        </is>
      </c>
      <c r="G133" t="inlineStr">
        <is>
          <t>HÖGSBY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45189</v>
      </c>
      <c r="E134" s="1" t="n">
        <v>46274</v>
      </c>
      <c r="F134" t="inlineStr">
        <is>
          <t>KALMAR LÄN</t>
        </is>
      </c>
      <c r="G134" t="inlineStr">
        <is>
          <t>HÖGSBY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45090</v>
      </c>
      <c r="E135" s="1" t="n">
        <v>46274</v>
      </c>
      <c r="F135" t="inlineStr">
        <is>
          <t>KALMAR LÄN</t>
        </is>
      </c>
      <c r="G135" t="inlineStr">
        <is>
          <t>HÖGSBY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25876-2023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46274</v>
      </c>
      <c r="F136" t="inlineStr">
        <is>
          <t>KALMAR LÄN</t>
        </is>
      </c>
      <c r="G136" t="inlineStr">
        <is>
          <t>HÖGSBY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35723-2024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45532</v>
      </c>
      <c r="E137" s="1" t="n">
        <v>46274</v>
      </c>
      <c r="F137" t="inlineStr">
        <is>
          <t>KALMAR LÄN</t>
        </is>
      </c>
      <c r="G137" t="inlineStr">
        <is>
          <t>HÖGSBY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44984</v>
      </c>
      <c r="E138" s="1" t="n">
        <v>46274</v>
      </c>
      <c r="F138" t="inlineStr">
        <is>
          <t>KALMAR LÄN</t>
        </is>
      </c>
      <c r="G138" t="inlineStr">
        <is>
          <t>HÖGSBY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46274</v>
      </c>
      <c r="F139" t="inlineStr">
        <is>
          <t>KALMAR LÄN</t>
        </is>
      </c>
      <c r="G139" t="inlineStr">
        <is>
          <t>HÖGSBY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45688</v>
      </c>
      <c r="E140" s="1" t="n">
        <v>46274</v>
      </c>
      <c r="F140" t="inlineStr">
        <is>
          <t>KALMAR LÄN</t>
        </is>
      </c>
      <c r="G140" t="inlineStr">
        <is>
          <t>HÖGSBY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45707</v>
      </c>
      <c r="E141" s="1" t="n">
        <v>46274</v>
      </c>
      <c r="F141" t="inlineStr">
        <is>
          <t>KALMAR LÄN</t>
        </is>
      </c>
      <c r="G141" t="inlineStr">
        <is>
          <t>HÖGSBY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45154</v>
      </c>
      <c r="E142" s="1" t="n">
        <v>46274</v>
      </c>
      <c r="F142" t="inlineStr">
        <is>
          <t>KALMAR LÄN</t>
        </is>
      </c>
      <c r="G142" t="inlineStr">
        <is>
          <t>HÖGSBY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46274</v>
      </c>
      <c r="F143" t="inlineStr">
        <is>
          <t>KALMAR LÄN</t>
        </is>
      </c>
      <c r="G143" t="inlineStr">
        <is>
          <t>HÖGSBY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46274</v>
      </c>
      <c r="F144" t="inlineStr">
        <is>
          <t>KALMAR LÄN</t>
        </is>
      </c>
      <c r="G144" t="inlineStr">
        <is>
          <t>HÖGSBY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46134</v>
      </c>
      <c r="E145" s="1" t="n">
        <v>46274</v>
      </c>
      <c r="F145" t="inlineStr">
        <is>
          <t>KALMAR LÄN</t>
        </is>
      </c>
      <c r="G145" t="inlineStr">
        <is>
          <t>HÖGSBY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43544-2025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46274</v>
      </c>
      <c r="F146" t="inlineStr">
        <is>
          <t>KALMAR LÄN</t>
        </is>
      </c>
      <c r="G146" t="inlineStr">
        <is>
          <t>HÖGSBY</t>
        </is>
      </c>
      <c r="H146" t="inlineStr">
        <is>
          <t>Kommuner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16766-2025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45754</v>
      </c>
      <c r="E147" s="1" t="n">
        <v>46274</v>
      </c>
      <c r="F147" t="inlineStr">
        <is>
          <t>KALMAR LÄN</t>
        </is>
      </c>
      <c r="G147" t="inlineStr">
        <is>
          <t>HÖGSBY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32049-2023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45119</v>
      </c>
      <c r="E148" s="1" t="n">
        <v>46274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63508-2025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46274</v>
      </c>
      <c r="F149" t="inlineStr">
        <is>
          <t>KALMAR LÄN</t>
        </is>
      </c>
      <c r="G149" t="inlineStr">
        <is>
          <t>HÖGSBY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45348</v>
      </c>
      <c r="E150" s="1" t="n">
        <v>46274</v>
      </c>
      <c r="F150" t="inlineStr">
        <is>
          <t>KALMAR LÄN</t>
        </is>
      </c>
      <c r="G150" t="inlineStr">
        <is>
          <t>HÖGSBY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45758</v>
      </c>
      <c r="E151" s="1" t="n">
        <v>46274</v>
      </c>
      <c r="F151" t="inlineStr">
        <is>
          <t>KALMAR LÄN</t>
        </is>
      </c>
      <c r="G151" t="inlineStr">
        <is>
          <t>HÖGSBY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45727</v>
      </c>
      <c r="E152" s="1" t="n">
        <v>46274</v>
      </c>
      <c r="F152" t="inlineStr">
        <is>
          <t>KALMAR LÄN</t>
        </is>
      </c>
      <c r="G152" t="inlineStr">
        <is>
          <t>HÖGSBY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45838</v>
      </c>
      <c r="E153" s="1" t="n">
        <v>46274</v>
      </c>
      <c r="F153" t="inlineStr">
        <is>
          <t>KALMAR LÄN</t>
        </is>
      </c>
      <c r="G153" t="inlineStr">
        <is>
          <t>HÖGSBY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38824-2024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45547</v>
      </c>
      <c r="E154" s="1" t="n">
        <v>46274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45176</v>
      </c>
      <c r="E155" s="1" t="n">
        <v>46274</v>
      </c>
      <c r="F155" t="inlineStr">
        <is>
          <t>KALMAR LÄN</t>
        </is>
      </c>
      <c r="G155" t="inlineStr">
        <is>
          <t>HÖGSBY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45793</v>
      </c>
      <c r="E156" s="1" t="n">
        <v>46274</v>
      </c>
      <c r="F156" t="inlineStr">
        <is>
          <t>KALMAR LÄN</t>
        </is>
      </c>
      <c r="G156" t="inlineStr">
        <is>
          <t>HÖGSBY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28648-2023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45103</v>
      </c>
      <c r="E157" s="1" t="n">
        <v>46274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38068-2025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45882</v>
      </c>
      <c r="E158" s="1" t="n">
        <v>46274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45727</v>
      </c>
      <c r="E159" s="1" t="n">
        <v>46274</v>
      </c>
      <c r="F159" t="inlineStr">
        <is>
          <t>KALMAR LÄN</t>
        </is>
      </c>
      <c r="G159" t="inlineStr">
        <is>
          <t>HÖGSBY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46274</v>
      </c>
      <c r="F160" t="inlineStr">
        <is>
          <t>KALMAR LÄN</t>
        </is>
      </c>
      <c r="G160" t="inlineStr">
        <is>
          <t>HÖGSBY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45707</v>
      </c>
      <c r="E161" s="1" t="n">
        <v>46274</v>
      </c>
      <c r="F161" t="inlineStr">
        <is>
          <t>KALMAR LÄN</t>
        </is>
      </c>
      <c r="G161" t="inlineStr">
        <is>
          <t>HÖGSBY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46274</v>
      </c>
      <c r="F162" t="inlineStr">
        <is>
          <t>KALMAR LÄN</t>
        </is>
      </c>
      <c r="G162" t="inlineStr">
        <is>
          <t>HÖGSBY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44809</v>
      </c>
      <c r="E163" s="1" t="n">
        <v>46274</v>
      </c>
      <c r="F163" t="inlineStr">
        <is>
          <t>KALMAR LÄN</t>
        </is>
      </c>
      <c r="G163" t="inlineStr">
        <is>
          <t>HÖGSBY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46274</v>
      </c>
      <c r="F164" t="inlineStr">
        <is>
          <t>KALMAR LÄN</t>
        </is>
      </c>
      <c r="G164" t="inlineStr">
        <is>
          <t>HÖGSBY</t>
        </is>
      </c>
      <c r="H164" t="inlineStr">
        <is>
          <t>Kommuner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73709-2021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44552</v>
      </c>
      <c r="E165" s="1" t="n">
        <v>46274</v>
      </c>
      <c r="F165" t="inlineStr">
        <is>
          <t>KALMAR LÄN</t>
        </is>
      </c>
      <c r="G165" t="inlineStr">
        <is>
          <t>HÖGSBY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41619-2025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45901</v>
      </c>
      <c r="E166" s="1" t="n">
        <v>46274</v>
      </c>
      <c r="F166" t="inlineStr">
        <is>
          <t>KALMAR LÄN</t>
        </is>
      </c>
      <c r="G166" t="inlineStr">
        <is>
          <t>HÖGSBY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29646-2025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46274</v>
      </c>
      <c r="F167" t="inlineStr">
        <is>
          <t>KALMAR LÄN</t>
        </is>
      </c>
      <c r="G167" t="inlineStr">
        <is>
          <t>HÖGSBY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46274</v>
      </c>
      <c r="F168" t="inlineStr">
        <is>
          <t>KALMAR LÄN</t>
        </is>
      </c>
      <c r="G168" t="inlineStr">
        <is>
          <t>HÖGSBY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63508-2025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46013</v>
      </c>
      <c r="E169" s="1" t="n">
        <v>46274</v>
      </c>
      <c r="F169" t="inlineStr">
        <is>
          <t>KALMAR LÄN</t>
        </is>
      </c>
      <c r="G169" t="inlineStr">
        <is>
          <t>HÖGSBY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45789</v>
      </c>
      <c r="E170" s="1" t="n">
        <v>46274</v>
      </c>
      <c r="F170" t="inlineStr">
        <is>
          <t>KALMAR LÄN</t>
        </is>
      </c>
      <c r="G170" t="inlineStr">
        <is>
          <t>HÖGSBY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45804</v>
      </c>
      <c r="E171" s="1" t="n">
        <v>46274</v>
      </c>
      <c r="F171" t="inlineStr">
        <is>
          <t>KALMAR LÄN</t>
        </is>
      </c>
      <c r="G171" t="inlineStr">
        <is>
          <t>HÖGSBY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46274</v>
      </c>
      <c r="F172" t="inlineStr">
        <is>
          <t>KALMAR LÄN</t>
        </is>
      </c>
      <c r="G172" t="inlineStr">
        <is>
          <t>HÖGSBY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45320</v>
      </c>
      <c r="E173" s="1" t="n">
        <v>46274</v>
      </c>
      <c r="F173" t="inlineStr">
        <is>
          <t>KALMAR LÄN</t>
        </is>
      </c>
      <c r="G173" t="inlineStr">
        <is>
          <t>HÖGSBY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44729</v>
      </c>
      <c r="E174" s="1" t="n">
        <v>46274</v>
      </c>
      <c r="F174" t="inlineStr">
        <is>
          <t>KALMAR LÄN</t>
        </is>
      </c>
      <c r="G174" t="inlineStr">
        <is>
          <t>HÖGSBY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45259</v>
      </c>
      <c r="E175" s="1" t="n">
        <v>46274</v>
      </c>
      <c r="F175" t="inlineStr">
        <is>
          <t>KALMAR LÄN</t>
        </is>
      </c>
      <c r="G175" t="inlineStr">
        <is>
          <t>HÖGSBY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45553</v>
      </c>
      <c r="E176" s="1" t="n">
        <v>46274</v>
      </c>
      <c r="F176" t="inlineStr">
        <is>
          <t>KALMAR LÄN</t>
        </is>
      </c>
      <c r="G176" t="inlineStr">
        <is>
          <t>HÖGSBY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20398-2025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46274</v>
      </c>
      <c r="F177" t="inlineStr">
        <is>
          <t>KALMAR LÄN</t>
        </is>
      </c>
      <c r="G177" t="inlineStr">
        <is>
          <t>HÖGSBY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46274</v>
      </c>
      <c r="F178" t="inlineStr">
        <is>
          <t>KALMAR LÄN</t>
        </is>
      </c>
      <c r="G178" t="inlineStr">
        <is>
          <t>HÖGSBY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46274</v>
      </c>
      <c r="F179" t="inlineStr">
        <is>
          <t>KALMAR LÄN</t>
        </is>
      </c>
      <c r="G179" t="inlineStr">
        <is>
          <t>HÖGSBY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56705-2023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45244</v>
      </c>
      <c r="E180" s="1" t="n">
        <v>46274</v>
      </c>
      <c r="F180" t="inlineStr">
        <is>
          <t>KALMAR LÄN</t>
        </is>
      </c>
      <c r="G180" t="inlineStr">
        <is>
          <t>HÖGSBY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46274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45546</v>
      </c>
      <c r="E182" s="1" t="n">
        <v>46274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44586</v>
      </c>
      <c r="E183" s="1" t="n">
        <v>46274</v>
      </c>
      <c r="F183" t="inlineStr">
        <is>
          <t>KALMAR LÄN</t>
        </is>
      </c>
      <c r="G183" t="inlineStr">
        <is>
          <t>HÖGSBY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21801-2026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46150</v>
      </c>
      <c r="E184" s="1" t="n">
        <v>46274</v>
      </c>
      <c r="F184" t="inlineStr">
        <is>
          <t>KALMAR LÄN</t>
        </is>
      </c>
      <c r="G184" t="inlineStr">
        <is>
          <t>HÖGSBY</t>
        </is>
      </c>
      <c r="H184" t="inlineStr">
        <is>
          <t>Kommuner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10871-2023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44991</v>
      </c>
      <c r="E185" s="1" t="n">
        <v>46274</v>
      </c>
      <c r="F185" t="inlineStr">
        <is>
          <t>KALMAR LÄN</t>
        </is>
      </c>
      <c r="G185" t="inlineStr">
        <is>
          <t>HÖGSBY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22562-2026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46155</v>
      </c>
      <c r="E186" s="1" t="n">
        <v>46274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22564-2026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46155</v>
      </c>
      <c r="E187" s="1" t="n">
        <v>46274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46274</v>
      </c>
      <c r="F188" t="inlineStr">
        <is>
          <t>KALMAR LÄN</t>
        </is>
      </c>
      <c r="G188" t="inlineStr">
        <is>
          <t>HÖGSBY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46274</v>
      </c>
      <c r="F189" t="inlineStr">
        <is>
          <t>KALMAR LÄN</t>
        </is>
      </c>
      <c r="G189" t="inlineStr">
        <is>
          <t>HÖGSBY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45946</v>
      </c>
      <c r="E190" s="1" t="n">
        <v>46274</v>
      </c>
      <c r="F190" t="inlineStr">
        <is>
          <t>KALMAR LÄN</t>
        </is>
      </c>
      <c r="G190" t="inlineStr">
        <is>
          <t>HÖGSBY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46274</v>
      </c>
      <c r="F191" t="inlineStr">
        <is>
          <t>KALMAR LÄN</t>
        </is>
      </c>
      <c r="G191" t="inlineStr">
        <is>
          <t>HÖGSBY</t>
        </is>
      </c>
      <c r="H191" t="inlineStr">
        <is>
          <t>Kyrkan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45950</v>
      </c>
      <c r="E192" s="1" t="n">
        <v>46274</v>
      </c>
      <c r="F192" t="inlineStr">
        <is>
          <t>KALMAR LÄN</t>
        </is>
      </c>
      <c r="G192" t="inlineStr">
        <is>
          <t>HÖGSBY</t>
        </is>
      </c>
      <c r="I192" t="n">
        <v>12.8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45173</v>
      </c>
      <c r="E193" s="1" t="n">
        <v>46274</v>
      </c>
      <c r="F193" t="inlineStr">
        <is>
          <t>KALMAR LÄN</t>
        </is>
      </c>
      <c r="G193" t="inlineStr">
        <is>
          <t>HÖGSBY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45953</v>
      </c>
      <c r="E194" s="1" t="n">
        <v>46274</v>
      </c>
      <c r="F194" t="inlineStr">
        <is>
          <t>KALMAR LÄN</t>
        </is>
      </c>
      <c r="G194" t="inlineStr">
        <is>
          <t>HÖGSBY</t>
        </is>
      </c>
      <c r="H194" t="inlineStr">
        <is>
          <t>Kyrkan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71635-2021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44543</v>
      </c>
      <c r="E195" s="1" t="n">
        <v>46274</v>
      </c>
      <c r="F195" t="inlineStr">
        <is>
          <t>KALMAR LÄN</t>
        </is>
      </c>
      <c r="G195" t="inlineStr">
        <is>
          <t>HÖGSBY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46274</v>
      </c>
      <c r="F196" t="inlineStr">
        <is>
          <t>KALMAR LÄN</t>
        </is>
      </c>
      <c r="G196" t="inlineStr">
        <is>
          <t>HÖGSBY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22755-2026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46157</v>
      </c>
      <c r="E197" s="1" t="n">
        <v>46274</v>
      </c>
      <c r="F197" t="inlineStr">
        <is>
          <t>KALMAR LÄN</t>
        </is>
      </c>
      <c r="G197" t="inlineStr">
        <is>
          <t>HÖGSBY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22757-2026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46157</v>
      </c>
      <c r="E198" s="1" t="n">
        <v>46274</v>
      </c>
      <c r="F198" t="inlineStr">
        <is>
          <t>KALMAR LÄN</t>
        </is>
      </c>
      <c r="G198" t="inlineStr">
        <is>
          <t>HÖGSBY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45954</v>
      </c>
      <c r="E199" s="1" t="n">
        <v>46274</v>
      </c>
      <c r="F199" t="inlineStr">
        <is>
          <t>KALMAR LÄN</t>
        </is>
      </c>
      <c r="G199" t="inlineStr">
        <is>
          <t>HÖGSBY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45228</v>
      </c>
      <c r="E200" s="1" t="n">
        <v>46274</v>
      </c>
      <c r="F200" t="inlineStr">
        <is>
          <t>KALMAR LÄN</t>
        </is>
      </c>
      <c r="G200" t="inlineStr">
        <is>
          <t>HÖGSBY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46161</v>
      </c>
      <c r="E201" s="1" t="n">
        <v>46274</v>
      </c>
      <c r="F201" t="inlineStr">
        <is>
          <t>KALMAR LÄN</t>
        </is>
      </c>
      <c r="G201" t="inlineStr">
        <is>
          <t>HÖGSBY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55902-2024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45622</v>
      </c>
      <c r="E202" s="1" t="n">
        <v>46274</v>
      </c>
      <c r="F202" t="inlineStr">
        <is>
          <t>KALMAR LÄN</t>
        </is>
      </c>
      <c r="G202" t="inlineStr">
        <is>
          <t>HÖGSBY</t>
        </is>
      </c>
      <c r="I202" t="n">
        <v>8.9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23209-2026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46162</v>
      </c>
      <c r="E203" s="1" t="n">
        <v>46274</v>
      </c>
      <c r="F203" t="inlineStr">
        <is>
          <t>KALMAR LÄN</t>
        </is>
      </c>
      <c r="G203" t="inlineStr">
        <is>
          <t>HÖGSBY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23937-2026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46167</v>
      </c>
      <c r="E204" s="1" t="n">
        <v>46274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46274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45720</v>
      </c>
      <c r="E206" s="1" t="n">
        <v>46274</v>
      </c>
      <c r="F206" t="inlineStr">
        <is>
          <t>KALMAR LÄN</t>
        </is>
      </c>
      <c r="G206" t="inlineStr">
        <is>
          <t>HÖGSBY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24417-2026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46169</v>
      </c>
      <c r="E207" s="1" t="n">
        <v>46274</v>
      </c>
      <c r="F207" t="inlineStr">
        <is>
          <t>KALMAR LÄN</t>
        </is>
      </c>
      <c r="G207" t="inlineStr">
        <is>
          <t>HÖGSBY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44993</v>
      </c>
      <c r="E208" s="1" t="n">
        <v>46274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24601-2024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45460</v>
      </c>
      <c r="E209" s="1" t="n">
        <v>46274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14.7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46274</v>
      </c>
      <c r="F210" t="inlineStr">
        <is>
          <t>KALMAR LÄN</t>
        </is>
      </c>
      <c r="G210" t="inlineStr">
        <is>
          <t>HÖGSBY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7325-2025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45702</v>
      </c>
      <c r="E211" s="1" t="n">
        <v>46274</v>
      </c>
      <c r="F211" t="inlineStr">
        <is>
          <t>KALMAR LÄN</t>
        </is>
      </c>
      <c r="G211" t="inlineStr">
        <is>
          <t>HÖGSBY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46174</v>
      </c>
      <c r="E212" s="1" t="n">
        <v>46274</v>
      </c>
      <c r="F212" t="inlineStr">
        <is>
          <t>KALMAR LÄN</t>
        </is>
      </c>
      <c r="G212" t="inlineStr">
        <is>
          <t>HÖGSBY</t>
        </is>
      </c>
      <c r="H212" t="inlineStr">
        <is>
          <t>Kommuner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46274</v>
      </c>
      <c r="F213" t="inlineStr">
        <is>
          <t>KALMAR LÄN</t>
        </is>
      </c>
      <c r="G213" t="inlineStr">
        <is>
          <t>HÖGSBY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24292-2022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44725</v>
      </c>
      <c r="E214" s="1" t="n">
        <v>46274</v>
      </c>
      <c r="F214" t="inlineStr">
        <is>
          <t>KALMAR LÄN</t>
        </is>
      </c>
      <c r="G214" t="inlineStr">
        <is>
          <t>HÖGSBY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25352-2026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46176</v>
      </c>
      <c r="E215" s="1" t="n">
        <v>46274</v>
      </c>
      <c r="F215" t="inlineStr">
        <is>
          <t>KALMAR LÄN</t>
        </is>
      </c>
      <c r="G215" t="inlineStr">
        <is>
          <t>HÖGSBY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59109-2025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46274</v>
      </c>
      <c r="F216" t="inlineStr">
        <is>
          <t>KALMAR LÄN</t>
        </is>
      </c>
      <c r="G216" t="inlineStr">
        <is>
          <t>HÖGSBY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46274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46274</v>
      </c>
      <c r="F218" t="inlineStr">
        <is>
          <t>KALMAR LÄN</t>
        </is>
      </c>
      <c r="G218" t="inlineStr">
        <is>
          <t>HÖGSBY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10706-2022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44625</v>
      </c>
      <c r="E219" s="1" t="n">
        <v>46274</v>
      </c>
      <c r="F219" t="inlineStr">
        <is>
          <t>KALMAR LÄN</t>
        </is>
      </c>
      <c r="G219" t="inlineStr">
        <is>
          <t>HÖGSBY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46181</v>
      </c>
      <c r="E220" s="1" t="n">
        <v>46274</v>
      </c>
      <c r="F220" t="inlineStr">
        <is>
          <t>KALMAR LÄN</t>
        </is>
      </c>
      <c r="G220" t="inlineStr">
        <is>
          <t>HÖGSBY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45204</v>
      </c>
      <c r="E221" s="1" t="n">
        <v>46274</v>
      </c>
      <c r="F221" t="inlineStr">
        <is>
          <t>KALMAR LÄN</t>
        </is>
      </c>
      <c r="G221" t="inlineStr">
        <is>
          <t>HÖGSBY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46274</v>
      </c>
      <c r="F222" t="inlineStr">
        <is>
          <t>KALMAR LÄN</t>
        </is>
      </c>
      <c r="G222" t="inlineStr">
        <is>
          <t>HÖGSBY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46274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46001</v>
      </c>
      <c r="E224" s="1" t="n">
        <v>46274</v>
      </c>
      <c r="F224" t="inlineStr">
        <is>
          <t>KALMAR LÄN</t>
        </is>
      </c>
      <c r="G224" t="inlineStr">
        <is>
          <t>HÖGSBY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46184</v>
      </c>
      <c r="E225" s="1" t="n">
        <v>46274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26764-2026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46274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46274</v>
      </c>
      <c r="F227" t="inlineStr">
        <is>
          <t>KALMAR LÄN</t>
        </is>
      </c>
      <c r="G227" t="inlineStr">
        <is>
          <t>HÖGSBY</t>
        </is>
      </c>
      <c r="I227" t="n">
        <v>9.4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46274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46274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46274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18.4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61028-2025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46274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10.9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46274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46274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46274</v>
      </c>
      <c r="F234" t="inlineStr">
        <is>
          <t>KALMAR LÄN</t>
        </is>
      </c>
      <c r="G234" t="inlineStr">
        <is>
          <t>HÖGSBY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27367-2026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46274</v>
      </c>
      <c r="F235" t="inlineStr">
        <is>
          <t>KALMAR LÄN</t>
        </is>
      </c>
      <c r="G235" t="inlineStr">
        <is>
          <t>HÖGSBY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26967-2026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46185</v>
      </c>
      <c r="E236" s="1" t="n">
        <v>46274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26963-2026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46185</v>
      </c>
      <c r="E237" s="1" t="n">
        <v>46274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8.699999999999999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46274</v>
      </c>
      <c r="F238" t="inlineStr">
        <is>
          <t>KALMAR LÄN</t>
        </is>
      </c>
      <c r="G238" t="inlineStr">
        <is>
          <t>HÖGSBY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46274</v>
      </c>
      <c r="F239" t="inlineStr">
        <is>
          <t>KALMAR LÄN</t>
        </is>
      </c>
      <c r="G239" t="inlineStr">
        <is>
          <t>HÖGSBY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62720-2025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46008</v>
      </c>
      <c r="E240" s="1" t="n">
        <v>46274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62722-2025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46008</v>
      </c>
      <c r="E241" s="1" t="n">
        <v>46274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27689-2026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46188</v>
      </c>
      <c r="E242" s="1" t="n">
        <v>46274</v>
      </c>
      <c r="F242" t="inlineStr">
        <is>
          <t>KALMAR LÄN</t>
        </is>
      </c>
      <c r="G242" t="inlineStr">
        <is>
          <t>HÖGSBY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46274</v>
      </c>
      <c r="F243" t="inlineStr">
        <is>
          <t>KALMAR LÄN</t>
        </is>
      </c>
      <c r="G243" t="inlineStr">
        <is>
          <t>HÖGSBY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45153</v>
      </c>
      <c r="E244" s="1" t="n">
        <v>46274</v>
      </c>
      <c r="F244" t="inlineStr">
        <is>
          <t>KALMAR LÄN</t>
        </is>
      </c>
      <c r="G244" t="inlineStr">
        <is>
          <t>HÖGSBY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27812-2026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46274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54735-2025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46274</v>
      </c>
      <c r="F246" t="inlineStr">
        <is>
          <t>KALMAR LÄN</t>
        </is>
      </c>
      <c r="G246" t="inlineStr">
        <is>
          <t>HÖGSBY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50727-2023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45217</v>
      </c>
      <c r="E247" s="1" t="n">
        <v>46274</v>
      </c>
      <c r="F247" t="inlineStr">
        <is>
          <t>KALMAR LÄN</t>
        </is>
      </c>
      <c r="G247" t="inlineStr">
        <is>
          <t>HÖGSBY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32228-2026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46237</v>
      </c>
      <c r="E248" s="1" t="n">
        <v>46274</v>
      </c>
      <c r="F248" t="inlineStr">
        <is>
          <t>KALMAR LÄN</t>
        </is>
      </c>
      <c r="G248" t="inlineStr">
        <is>
          <t>HÖGSBY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14273-2024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45393</v>
      </c>
      <c r="E249" s="1" t="n">
        <v>46274</v>
      </c>
      <c r="F249" t="inlineStr">
        <is>
          <t>KALMAR LÄN</t>
        </is>
      </c>
      <c r="G249" t="inlineStr">
        <is>
          <t>HÖGSBY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44809</v>
      </c>
      <c r="E250" s="1" t="n">
        <v>46274</v>
      </c>
      <c r="F250" t="inlineStr">
        <is>
          <t>KALMAR LÄN</t>
        </is>
      </c>
      <c r="G250" t="inlineStr">
        <is>
          <t>HÖGSBY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46274</v>
      </c>
      <c r="F251" t="inlineStr">
        <is>
          <t>KALMAR LÄN</t>
        </is>
      </c>
      <c r="G251" t="inlineStr">
        <is>
          <t>HÖGSBY</t>
        </is>
      </c>
      <c r="H251" t="inlineStr">
        <is>
          <t>Kommuner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44981</v>
      </c>
      <c r="E252" s="1" t="n">
        <v>46274</v>
      </c>
      <c r="F252" t="inlineStr">
        <is>
          <t>KALMAR LÄN</t>
        </is>
      </c>
      <c r="G252" t="inlineStr">
        <is>
          <t>HÖGSBY</t>
        </is>
      </c>
      <c r="H252" t="inlineStr">
        <is>
          <t>Övriga Aktiebolag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46274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28702-2026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46198</v>
      </c>
      <c r="E254" s="1" t="n">
        <v>46274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28692-2026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46198</v>
      </c>
      <c r="E255" s="1" t="n">
        <v>46274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17216-2023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45034</v>
      </c>
      <c r="E256" s="1" t="n">
        <v>46274</v>
      </c>
      <c r="F256" t="inlineStr">
        <is>
          <t>KALMAR LÄN</t>
        </is>
      </c>
      <c r="G256" t="inlineStr">
        <is>
          <t>HÖGSBY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28691-2026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46198</v>
      </c>
      <c r="E257" s="1" t="n">
        <v>46274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28697-2026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46198</v>
      </c>
      <c r="E258" s="1" t="n">
        <v>46274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45337</v>
      </c>
      <c r="E259" s="1" t="n">
        <v>46274</v>
      </c>
      <c r="F259" t="inlineStr">
        <is>
          <t>KALMAR LÄN</t>
        </is>
      </c>
      <c r="G259" t="inlineStr">
        <is>
          <t>HÖGSBY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28573-2026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46197</v>
      </c>
      <c r="E260" s="1" t="n">
        <v>46274</v>
      </c>
      <c r="F260" t="inlineStr">
        <is>
          <t>KALMAR LÄN</t>
        </is>
      </c>
      <c r="G260" t="inlineStr">
        <is>
          <t>HÖGSBY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46197</v>
      </c>
      <c r="E261" s="1" t="n">
        <v>46274</v>
      </c>
      <c r="F261" t="inlineStr">
        <is>
          <t>KALMAR LÄN</t>
        </is>
      </c>
      <c r="G261" t="inlineStr">
        <is>
          <t>HÖGSBY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28713-2026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46198</v>
      </c>
      <c r="E262" s="1" t="n">
        <v>46274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28815-2026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46198</v>
      </c>
      <c r="E263" s="1" t="n">
        <v>46274</v>
      </c>
      <c r="F263" t="inlineStr">
        <is>
          <t>KALMAR LÄN</t>
        </is>
      </c>
      <c r="G263" t="inlineStr">
        <is>
          <t>HÖGSBY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28830-2026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46274</v>
      </c>
      <c r="F264" t="inlineStr">
        <is>
          <t>KALMAR LÄN</t>
        </is>
      </c>
      <c r="G264" t="inlineStr">
        <is>
          <t>HÖGSBY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28808-2026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46198</v>
      </c>
      <c r="E265" s="1" t="n">
        <v>46274</v>
      </c>
      <c r="F265" t="inlineStr">
        <is>
          <t>KALMAR LÄN</t>
        </is>
      </c>
      <c r="G265" t="inlineStr">
        <is>
          <t>HÖGSBY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46274</v>
      </c>
      <c r="F266" t="inlineStr">
        <is>
          <t>KALMAR LÄN</t>
        </is>
      </c>
      <c r="G266" t="inlineStr">
        <is>
          <t>HÖGSBY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46274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45247</v>
      </c>
      <c r="E268" s="1" t="n">
        <v>46274</v>
      </c>
      <c r="F268" t="inlineStr">
        <is>
          <t>KALMAR LÄN</t>
        </is>
      </c>
      <c r="G268" t="inlineStr">
        <is>
          <t>HÖGSBY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46199</v>
      </c>
      <c r="E269" s="1" t="n">
        <v>46274</v>
      </c>
      <c r="F269" t="inlineStr">
        <is>
          <t>KALMAR LÄN</t>
        </is>
      </c>
      <c r="G269" t="inlineStr">
        <is>
          <t>HÖGSBY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49485-2022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44861</v>
      </c>
      <c r="E270" s="1" t="n">
        <v>46274</v>
      </c>
      <c r="F270" t="inlineStr">
        <is>
          <t>KALMAR LÄN</t>
        </is>
      </c>
      <c r="G270" t="inlineStr">
        <is>
          <t>HÖGSBY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46199</v>
      </c>
      <c r="E271" s="1" t="n">
        <v>46274</v>
      </c>
      <c r="F271" t="inlineStr">
        <is>
          <t>KALMAR LÄN</t>
        </is>
      </c>
      <c r="G271" t="inlineStr">
        <is>
          <t>HÖGSBY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28901-2026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46199</v>
      </c>
      <c r="E272" s="1" t="n">
        <v>46274</v>
      </c>
      <c r="F272" t="inlineStr">
        <is>
          <t>KALMAR LÄN</t>
        </is>
      </c>
      <c r="G272" t="inlineStr">
        <is>
          <t>HÖGSBY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46274</v>
      </c>
      <c r="F273" t="inlineStr">
        <is>
          <t>KALMAR LÄN</t>
        </is>
      </c>
      <c r="G273" t="inlineStr">
        <is>
          <t>HÖGSBY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46274</v>
      </c>
      <c r="F274" t="inlineStr">
        <is>
          <t>KALMAR LÄN</t>
        </is>
      </c>
      <c r="G274" t="inlineStr">
        <is>
          <t>HÖGSBY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45414</v>
      </c>
      <c r="E275" s="1" t="n">
        <v>46274</v>
      </c>
      <c r="F275" t="inlineStr">
        <is>
          <t>KALMAR LÄN</t>
        </is>
      </c>
      <c r="G275" t="inlineStr">
        <is>
          <t>HÖGSBY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35047-2023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45145</v>
      </c>
      <c r="E276" s="1" t="n">
        <v>46274</v>
      </c>
      <c r="F276" t="inlineStr">
        <is>
          <t>KALMAR LÄN</t>
        </is>
      </c>
      <c r="G276" t="inlineStr">
        <is>
          <t>HÖGSBY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46206</v>
      </c>
      <c r="E277" s="1" t="n">
        <v>46274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35087-2023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45145</v>
      </c>
      <c r="E278" s="1" t="n">
        <v>46274</v>
      </c>
      <c r="F278" t="inlineStr">
        <is>
          <t>KALMAR LÄN</t>
        </is>
      </c>
      <c r="G278" t="inlineStr">
        <is>
          <t>HÖGSBY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30291-2026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46206</v>
      </c>
      <c r="E279" s="1" t="n">
        <v>46274</v>
      </c>
      <c r="F279" t="inlineStr">
        <is>
          <t>KALMAR LÄN</t>
        </is>
      </c>
      <c r="G279" t="inlineStr">
        <is>
          <t>HÖGSBY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46274</v>
      </c>
      <c r="F280" t="inlineStr">
        <is>
          <t>KALMAR LÄN</t>
        </is>
      </c>
      <c r="G280" t="inlineStr">
        <is>
          <t>HÖGSBY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7438-2023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44966</v>
      </c>
      <c r="E281" s="1" t="n">
        <v>46274</v>
      </c>
      <c r="F281" t="inlineStr">
        <is>
          <t>KALMAR LÄN</t>
        </is>
      </c>
      <c r="G281" t="inlineStr">
        <is>
          <t>HÖGSBY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45071</v>
      </c>
      <c r="E282" s="1" t="n">
        <v>46274</v>
      </c>
      <c r="F282" t="inlineStr">
        <is>
          <t>KALMAR LÄN</t>
        </is>
      </c>
      <c r="G282" t="inlineStr">
        <is>
          <t>HÖGSBY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46274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53413-2024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45614</v>
      </c>
      <c r="E284" s="1" t="n">
        <v>46274</v>
      </c>
      <c r="F284" t="inlineStr">
        <is>
          <t>KALMAR LÄN</t>
        </is>
      </c>
      <c r="G284" t="inlineStr">
        <is>
          <t>HÖGSBY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33788-2026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46251</v>
      </c>
      <c r="E285" s="1" t="n">
        <v>46274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46274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46206</v>
      </c>
      <c r="E287" s="1" t="n">
        <v>46274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46274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12.7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7443-2026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46059</v>
      </c>
      <c r="E289" s="1" t="n">
        <v>46274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46274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45320</v>
      </c>
      <c r="E291" s="1" t="n">
        <v>46274</v>
      </c>
      <c r="F291" t="inlineStr">
        <is>
          <t>KALMAR LÄN</t>
        </is>
      </c>
      <c r="G291" t="inlineStr">
        <is>
          <t>HÖGSBY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31707-2023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45105</v>
      </c>
      <c r="E292" s="1" t="n">
        <v>46274</v>
      </c>
      <c r="F292" t="inlineStr">
        <is>
          <t>KALMAR LÄN</t>
        </is>
      </c>
      <c r="G292" t="inlineStr">
        <is>
          <t>HÖGSBY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57006-2024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45626</v>
      </c>
      <c r="E293" s="1" t="n">
        <v>46274</v>
      </c>
      <c r="F293" t="inlineStr">
        <is>
          <t>KALMAR LÄN</t>
        </is>
      </c>
      <c r="G293" t="inlineStr">
        <is>
          <t>HÖGSBY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52117-2024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45608</v>
      </c>
      <c r="E294" s="1" t="n">
        <v>46274</v>
      </c>
      <c r="F294" t="inlineStr">
        <is>
          <t>KALMAR LÄN</t>
        </is>
      </c>
      <c r="G294" t="inlineStr">
        <is>
          <t>HÖGSBY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60853-2021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46274</v>
      </c>
      <c r="F295" t="inlineStr">
        <is>
          <t>KALMAR LÄN</t>
        </is>
      </c>
      <c r="G295" t="inlineStr">
        <is>
          <t>HÖGSBY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11029-2026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46274</v>
      </c>
      <c r="F296" t="inlineStr">
        <is>
          <t>KALMAR LÄN</t>
        </is>
      </c>
      <c r="G296" t="inlineStr">
        <is>
          <t>HÖGSBY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53129-2022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44876</v>
      </c>
      <c r="E297" s="1" t="n">
        <v>46274</v>
      </c>
      <c r="F297" t="inlineStr">
        <is>
          <t>KALMAR LÄN</t>
        </is>
      </c>
      <c r="G297" t="inlineStr">
        <is>
          <t>HÖGSBY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63379-2023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45274</v>
      </c>
      <c r="E298" s="1" t="n">
        <v>46274</v>
      </c>
      <c r="F298" t="inlineStr">
        <is>
          <t>KALMAR LÄN</t>
        </is>
      </c>
      <c r="G298" t="inlineStr">
        <is>
          <t>HÖGSBY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54238-2021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44470</v>
      </c>
      <c r="E299" s="1" t="n">
        <v>46274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46093</v>
      </c>
      <c r="E300" s="1" t="n">
        <v>46274</v>
      </c>
      <c r="F300" t="inlineStr">
        <is>
          <t>KALMAR LÄN</t>
        </is>
      </c>
      <c r="G300" t="inlineStr">
        <is>
          <t>HÖGSBY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46266</v>
      </c>
      <c r="E301" s="1" t="n">
        <v>46274</v>
      </c>
      <c r="F301" t="inlineStr">
        <is>
          <t>KALMAR LÄN</t>
        </is>
      </c>
      <c r="G301" t="inlineStr">
        <is>
          <t>HÖGSBY</t>
        </is>
      </c>
      <c r="I301" t="n">
        <v>9.6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35914-2026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46266</v>
      </c>
      <c r="E302" s="1" t="n">
        <v>46274</v>
      </c>
      <c r="F302" t="inlineStr">
        <is>
          <t>KALMAR LÄN</t>
        </is>
      </c>
      <c r="G302" t="inlineStr">
        <is>
          <t>HÖGSBY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36189-2026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46267</v>
      </c>
      <c r="E303" s="1" t="n">
        <v>46274</v>
      </c>
      <c r="F303" t="inlineStr">
        <is>
          <t>KALMAR LÄN</t>
        </is>
      </c>
      <c r="G303" t="inlineStr">
        <is>
          <t>HÖGSBY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36200-2026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46267</v>
      </c>
      <c r="E304" s="1" t="n">
        <v>46274</v>
      </c>
      <c r="F304" t="inlineStr">
        <is>
          <t>KALMAR LÄN</t>
        </is>
      </c>
      <c r="G304" t="inlineStr">
        <is>
          <t>HÖGSBY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35910-2026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46266</v>
      </c>
      <c r="E305" s="1" t="n">
        <v>46274</v>
      </c>
      <c r="F305" t="inlineStr">
        <is>
          <t>KALMAR LÄN</t>
        </is>
      </c>
      <c r="G305" t="inlineStr">
        <is>
          <t>HÖGSBY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14894-2025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45743</v>
      </c>
      <c r="E306" s="1" t="n">
        <v>46274</v>
      </c>
      <c r="F306" t="inlineStr">
        <is>
          <t>KALMAR LÄN</t>
        </is>
      </c>
      <c r="G306" t="inlineStr">
        <is>
          <t>HÖGSBY</t>
        </is>
      </c>
      <c r="H306" t="inlineStr">
        <is>
          <t>Kommuner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36442-2026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46269</v>
      </c>
      <c r="E307" s="1" t="n">
        <v>46274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36258-2026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46268</v>
      </c>
      <c r="E308" s="1" t="n">
        <v>46274</v>
      </c>
      <c r="F308" t="inlineStr">
        <is>
          <t>KALMAR LÄN</t>
        </is>
      </c>
      <c r="G308" t="inlineStr">
        <is>
          <t>HÖGSBY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45190</v>
      </c>
      <c r="E309" s="1" t="n">
        <v>46274</v>
      </c>
      <c r="F309" t="inlineStr">
        <is>
          <t>KALMAR LÄN</t>
        </is>
      </c>
      <c r="G309" t="inlineStr">
        <is>
          <t>HÖGSBY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36445-2026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46269</v>
      </c>
      <c r="E310" s="1" t="n">
        <v>46274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24.4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15864-2026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46107</v>
      </c>
      <c r="E311" s="1" t="n">
        <v>46274</v>
      </c>
      <c r="F311" t="inlineStr">
        <is>
          <t>KALMAR LÄN</t>
        </is>
      </c>
      <c r="G311" t="inlineStr">
        <is>
          <t>HÖGSBY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46268</v>
      </c>
      <c r="E312" s="1" t="n">
        <v>46274</v>
      </c>
      <c r="F312" t="inlineStr">
        <is>
          <t>KALMAR LÄN</t>
        </is>
      </c>
      <c r="G312" t="inlineStr">
        <is>
          <t>HÖGSBY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46274</v>
      </c>
      <c r="F313" t="inlineStr">
        <is>
          <t>KALMAR LÄN</t>
        </is>
      </c>
      <c r="G313" t="inlineStr">
        <is>
          <t>HÖGSBY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46274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46114</v>
      </c>
      <c r="E315" s="1" t="n">
        <v>46274</v>
      </c>
      <c r="F315" t="inlineStr">
        <is>
          <t>KALMAR LÄN</t>
        </is>
      </c>
      <c r="G315" t="inlineStr">
        <is>
          <t>HÖGSBY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46122</v>
      </c>
      <c r="E316" s="1" t="n">
        <v>46274</v>
      </c>
      <c r="F316" t="inlineStr">
        <is>
          <t>KALMAR LÄN</t>
        </is>
      </c>
      <c r="G316" t="inlineStr">
        <is>
          <t>HÖGSBY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17934-2026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46274</v>
      </c>
      <c r="F317" t="inlineStr">
        <is>
          <t>KALMAR LÄN</t>
        </is>
      </c>
      <c r="G317" t="inlineStr">
        <is>
          <t>HÖGSBY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13808-2024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45391</v>
      </c>
      <c r="E318" s="1" t="n">
        <v>46274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20770-2023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45058</v>
      </c>
      <c r="E319" s="1" t="n">
        <v>46274</v>
      </c>
      <c r="F319" t="inlineStr">
        <is>
          <t>KALMAR LÄN</t>
        </is>
      </c>
      <c r="G319" t="inlineStr">
        <is>
          <t>HÖGSBY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10244-2024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45365</v>
      </c>
      <c r="E320" s="1" t="n">
        <v>46274</v>
      </c>
      <c r="F320" t="inlineStr">
        <is>
          <t>KALMAR LÄN</t>
        </is>
      </c>
      <c r="G320" t="inlineStr">
        <is>
          <t>HÖGSBY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8613-2022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44613</v>
      </c>
      <c r="E321" s="1" t="n">
        <v>46274</v>
      </c>
      <c r="F321" t="inlineStr">
        <is>
          <t>KALMAR LÄN</t>
        </is>
      </c>
      <c r="G321" t="inlineStr">
        <is>
          <t>HÖGSBY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26545-2024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45469</v>
      </c>
      <c r="E322" s="1" t="n">
        <v>46274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45348</v>
      </c>
      <c r="E323" s="1" t="n">
        <v>46274</v>
      </c>
      <c r="F323" t="inlineStr">
        <is>
          <t>KALMAR LÄN</t>
        </is>
      </c>
      <c r="G323" t="inlineStr">
        <is>
          <t>HÖGSBY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45650-2023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45194</v>
      </c>
      <c r="E324" s="1" t="n">
        <v>46274</v>
      </c>
      <c r="F324" t="inlineStr">
        <is>
          <t>KALMAR LÄN</t>
        </is>
      </c>
      <c r="G324" t="inlineStr">
        <is>
          <t>HÖGSBY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7599-2024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45348</v>
      </c>
      <c r="E325" s="1" t="n">
        <v>46274</v>
      </c>
      <c r="F325" t="inlineStr">
        <is>
          <t>KALMAR LÄN</t>
        </is>
      </c>
      <c r="G325" t="inlineStr">
        <is>
          <t>HÖGSBY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8463-2023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44972</v>
      </c>
      <c r="E326" s="1" t="n">
        <v>46274</v>
      </c>
      <c r="F326" t="inlineStr">
        <is>
          <t>KALMAR LÄN</t>
        </is>
      </c>
      <c r="G326" t="inlineStr">
        <is>
          <t>HÖGSBY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30890-2023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46274</v>
      </c>
      <c r="F327" t="inlineStr">
        <is>
          <t>KALMAR LÄN</t>
        </is>
      </c>
      <c r="G327" t="inlineStr">
        <is>
          <t>HÖGSBY</t>
        </is>
      </c>
      <c r="I327" t="n">
        <v>11.6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53327-2022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44879</v>
      </c>
      <c r="E328" s="1" t="n">
        <v>46274</v>
      </c>
      <c r="F328" t="inlineStr">
        <is>
          <t>KALMAR LÄN</t>
        </is>
      </c>
      <c r="G328" t="inlineStr">
        <is>
          <t>HÖGSBY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9592-2024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45360</v>
      </c>
      <c r="E329" s="1" t="n">
        <v>46274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59409-2022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46274</v>
      </c>
      <c r="F330" t="inlineStr">
        <is>
          <t>KALMAR LÄN</t>
        </is>
      </c>
      <c r="G330" t="inlineStr">
        <is>
          <t>HÖGSBY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47797-2024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45588</v>
      </c>
      <c r="E331" s="1" t="n">
        <v>46274</v>
      </c>
      <c r="F331" t="inlineStr">
        <is>
          <t>KALMAR LÄN</t>
        </is>
      </c>
      <c r="G331" t="inlineStr">
        <is>
          <t>HÖGSBY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45447</v>
      </c>
      <c r="E332" s="1" t="n">
        <v>46274</v>
      </c>
      <c r="F332" t="inlineStr">
        <is>
          <t>KALMAR LÄN</t>
        </is>
      </c>
      <c r="G332" t="inlineStr">
        <is>
          <t>HÖGSBY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33112-2023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45126</v>
      </c>
      <c r="E333" s="1" t="n">
        <v>46274</v>
      </c>
      <c r="F333" t="inlineStr">
        <is>
          <t>KALMAR LÄN</t>
        </is>
      </c>
      <c r="G333" t="inlineStr">
        <is>
          <t>HÖGSBY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31429-2023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45114</v>
      </c>
      <c r="E334" s="1" t="n">
        <v>46274</v>
      </c>
      <c r="F334" t="inlineStr">
        <is>
          <t>KALMAR LÄN</t>
        </is>
      </c>
      <c r="G334" t="inlineStr">
        <is>
          <t>HÖGSBY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45624</v>
      </c>
      <c r="E335" s="1" t="n">
        <v>46274</v>
      </c>
      <c r="F335" t="inlineStr">
        <is>
          <t>KALMAR LÄN</t>
        </is>
      </c>
      <c r="G335" t="inlineStr">
        <is>
          <t>HÖGSBY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6478-2022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44601</v>
      </c>
      <c r="E336" s="1" t="n">
        <v>46274</v>
      </c>
      <c r="F336" t="inlineStr">
        <is>
          <t>KALMAR LÄN</t>
        </is>
      </c>
      <c r="G336" t="inlineStr">
        <is>
          <t>HÖGSBY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38285-2023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45160</v>
      </c>
      <c r="E337" s="1" t="n">
        <v>46274</v>
      </c>
      <c r="F337" t="inlineStr">
        <is>
          <t>KALMAR LÄN</t>
        </is>
      </c>
      <c r="G337" t="inlineStr">
        <is>
          <t>HÖGSBY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47503-2023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45203</v>
      </c>
      <c r="E338" s="1" t="n">
        <v>46274</v>
      </c>
      <c r="F338" t="inlineStr">
        <is>
          <t>KALMAR LÄN</t>
        </is>
      </c>
      <c r="G338" t="inlineStr">
        <is>
          <t>HÖGSBY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41479-2023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45175</v>
      </c>
      <c r="E339" s="1" t="n">
        <v>46274</v>
      </c>
      <c r="F339" t="inlineStr">
        <is>
          <t>KALMAR LÄN</t>
        </is>
      </c>
      <c r="G339" t="inlineStr">
        <is>
          <t>HÖGSBY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38802-2024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45547</v>
      </c>
      <c r="E340" s="1" t="n">
        <v>46274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50458-2022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44866</v>
      </c>
      <c r="E341" s="1" t="n">
        <v>46274</v>
      </c>
      <c r="F341" t="inlineStr">
        <is>
          <t>KALMAR LÄN</t>
        </is>
      </c>
      <c r="G341" t="inlineStr">
        <is>
          <t>HÖGSBY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45700</v>
      </c>
      <c r="E342" s="1" t="n">
        <v>46274</v>
      </c>
      <c r="F342" t="inlineStr">
        <is>
          <t>KALMAR LÄN</t>
        </is>
      </c>
      <c r="G342" t="inlineStr">
        <is>
          <t>HÖGSBY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45700</v>
      </c>
      <c r="E343" s="1" t="n">
        <v>46274</v>
      </c>
      <c r="F343" t="inlineStr">
        <is>
          <t>KALMAR LÄN</t>
        </is>
      </c>
      <c r="G343" t="inlineStr">
        <is>
          <t>HÖGSBY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60555-2021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44496</v>
      </c>
      <c r="E344" s="1" t="n">
        <v>46274</v>
      </c>
      <c r="F344" t="inlineStr">
        <is>
          <t>KALMAR LÄN</t>
        </is>
      </c>
      <c r="G344" t="inlineStr">
        <is>
          <t>HÖGSBY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30294-2022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44760</v>
      </c>
      <c r="E345" s="1" t="n">
        <v>46274</v>
      </c>
      <c r="F345" t="inlineStr">
        <is>
          <t>KALMAR LÄN</t>
        </is>
      </c>
      <c r="G345" t="inlineStr">
        <is>
          <t>HÖGSBY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53328-2022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44879</v>
      </c>
      <c r="E346" s="1" t="n">
        <v>46274</v>
      </c>
      <c r="F346" t="inlineStr">
        <is>
          <t>KALMAR LÄN</t>
        </is>
      </c>
      <c r="G346" t="inlineStr">
        <is>
          <t>HÖGSBY</t>
        </is>
      </c>
      <c r="I346" t="n">
        <v>8.699999999999999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44987</v>
      </c>
      <c r="E347" s="1" t="n">
        <v>46274</v>
      </c>
      <c r="F347" t="inlineStr">
        <is>
          <t>KALMAR LÄN</t>
        </is>
      </c>
      <c r="G347" t="inlineStr">
        <is>
          <t>HÖGSBY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14193-2024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45393</v>
      </c>
      <c r="E348" s="1" t="n">
        <v>46274</v>
      </c>
      <c r="F348" t="inlineStr">
        <is>
          <t>KALMAR LÄN</t>
        </is>
      </c>
      <c r="G348" t="inlineStr">
        <is>
          <t>HÖGSBY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62562-2022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44924</v>
      </c>
      <c r="E349" s="1" t="n">
        <v>46274</v>
      </c>
      <c r="F349" t="inlineStr">
        <is>
          <t>KALMAR LÄN</t>
        </is>
      </c>
      <c r="G349" t="inlineStr">
        <is>
          <t>HÖGSBY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45254</v>
      </c>
      <c r="E350" s="1" t="n">
        <v>46274</v>
      </c>
      <c r="F350" t="inlineStr">
        <is>
          <t>KALMAR LÄN</t>
        </is>
      </c>
      <c r="G350" t="inlineStr">
        <is>
          <t>HÖGSBY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39629-2024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45552</v>
      </c>
      <c r="E351" s="1" t="n">
        <v>46274</v>
      </c>
      <c r="F351" t="inlineStr">
        <is>
          <t>KALMAR LÄN</t>
        </is>
      </c>
      <c r="G351" t="inlineStr">
        <is>
          <t>HÖGSBY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12396-2023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44999</v>
      </c>
      <c r="E352" s="1" t="n">
        <v>46274</v>
      </c>
      <c r="F352" t="inlineStr">
        <is>
          <t>KALMAR LÄN</t>
        </is>
      </c>
      <c r="G352" t="inlineStr">
        <is>
          <t>HÖGSBY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44981</v>
      </c>
      <c r="E353" s="1" t="n">
        <v>46274</v>
      </c>
      <c r="F353" t="inlineStr">
        <is>
          <t>KALMAR LÄN</t>
        </is>
      </c>
      <c r="G353" t="inlineStr">
        <is>
          <t>HÖGSBY</t>
        </is>
      </c>
      <c r="H353" t="inlineStr">
        <is>
          <t>Övriga Aktiebolag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50428-2024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46274</v>
      </c>
      <c r="F354" t="inlineStr">
        <is>
          <t>KALMAR LÄN</t>
        </is>
      </c>
      <c r="G354" t="inlineStr">
        <is>
          <t>HÖGSBY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38600-2024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45546</v>
      </c>
      <c r="E355" s="1" t="n">
        <v>46274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58050-2023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45247</v>
      </c>
      <c r="E356" s="1" t="n">
        <v>46274</v>
      </c>
      <c r="F356" t="inlineStr">
        <is>
          <t>KALMAR LÄN</t>
        </is>
      </c>
      <c r="G356" t="inlineStr">
        <is>
          <t>HÖGSBY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65130-2023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45288</v>
      </c>
      <c r="E357" s="1" t="n">
        <v>46274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45341</v>
      </c>
      <c r="E358" s="1" t="n">
        <v>46274</v>
      </c>
      <c r="F358" t="inlineStr">
        <is>
          <t>KALMAR LÄN</t>
        </is>
      </c>
      <c r="G358" t="inlineStr">
        <is>
          <t>HÖGSBY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49486-2022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44861</v>
      </c>
      <c r="E359" s="1" t="n">
        <v>46274</v>
      </c>
      <c r="F359" t="inlineStr">
        <is>
          <t>KALMAR LÄN</t>
        </is>
      </c>
      <c r="G359" t="inlineStr">
        <is>
          <t>HÖGSBY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27830-2023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45093</v>
      </c>
      <c r="E360" s="1" t="n">
        <v>46274</v>
      </c>
      <c r="F360" t="inlineStr">
        <is>
          <t>KALMAR LÄN</t>
        </is>
      </c>
      <c r="G360" t="inlineStr">
        <is>
          <t>HÖGSBY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26927-2023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45093</v>
      </c>
      <c r="E361" s="1" t="n">
        <v>46274</v>
      </c>
      <c r="F361" t="inlineStr">
        <is>
          <t>KALMAR LÄN</t>
        </is>
      </c>
      <c r="G361" t="inlineStr">
        <is>
          <t>HÖGSBY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45183</v>
      </c>
      <c r="E362" s="1" t="n">
        <v>46274</v>
      </c>
      <c r="F362" t="inlineStr">
        <is>
          <t>KALMAR LÄN</t>
        </is>
      </c>
      <c r="G362" t="inlineStr">
        <is>
          <t>HÖGSBY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55697-2023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46274</v>
      </c>
      <c r="F363" t="inlineStr">
        <is>
          <t>KALMAR LÄN</t>
        </is>
      </c>
      <c r="G363" t="inlineStr">
        <is>
          <t>HÖGSBY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59408-2022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44907</v>
      </c>
      <c r="E364" s="1" t="n">
        <v>46274</v>
      </c>
      <c r="F364" t="inlineStr">
        <is>
          <t>KALMAR LÄN</t>
        </is>
      </c>
      <c r="G364" t="inlineStr">
        <is>
          <t>HÖGSBY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52116-2024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46274</v>
      </c>
      <c r="F365" t="inlineStr">
        <is>
          <t>KALMAR LÄN</t>
        </is>
      </c>
      <c r="G365" t="inlineStr">
        <is>
          <t>HÖGSBY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51624-2023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45222</v>
      </c>
      <c r="E366" s="1" t="n">
        <v>46274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56339-2024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46274</v>
      </c>
      <c r="F367" t="inlineStr">
        <is>
          <t>KALMAR LÄN</t>
        </is>
      </c>
      <c r="G367" t="inlineStr">
        <is>
          <t>HÖGSBY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45544</v>
      </c>
      <c r="E368" s="1" t="n">
        <v>46274</v>
      </c>
      <c r="F368" t="inlineStr">
        <is>
          <t>KALMAR LÄN</t>
        </is>
      </c>
      <c r="G368" t="inlineStr">
        <is>
          <t>HÖGSBY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46274</v>
      </c>
      <c r="F369" t="inlineStr">
        <is>
          <t>KALMAR LÄN</t>
        </is>
      </c>
      <c r="G369" t="inlineStr">
        <is>
          <t>HÖGSBY</t>
        </is>
      </c>
      <c r="H369" t="inlineStr">
        <is>
          <t>Övriga Aktiebolag</t>
        </is>
      </c>
      <c r="I369" t="n">
        <v>15.2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47502-2023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45203</v>
      </c>
      <c r="E370" s="1" t="n">
        <v>46274</v>
      </c>
      <c r="F370" t="inlineStr">
        <is>
          <t>KALMAR LÄN</t>
        </is>
      </c>
      <c r="G370" t="inlineStr">
        <is>
          <t>HÖGSBY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46274</v>
      </c>
      <c r="F371" t="inlineStr">
        <is>
          <t>KALMAR LÄN</t>
        </is>
      </c>
      <c r="G371" t="inlineStr">
        <is>
          <t>HÖGSBY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44939</v>
      </c>
      <c r="E372" s="1" t="n">
        <v>46274</v>
      </c>
      <c r="F372" t="inlineStr">
        <is>
          <t>KALMAR LÄN</t>
        </is>
      </c>
      <c r="G372" t="inlineStr">
        <is>
          <t>HÖGSBY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53501-2024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46274</v>
      </c>
      <c r="F373" t="inlineStr">
        <is>
          <t>KALMAR LÄN</t>
        </is>
      </c>
      <c r="G373" t="inlineStr">
        <is>
          <t>HÖGSBY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46329-2024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45581</v>
      </c>
      <c r="E374" s="1" t="n">
        <v>46274</v>
      </c>
      <c r="F374" t="inlineStr">
        <is>
          <t>KALMAR LÄN</t>
        </is>
      </c>
      <c r="G374" t="inlineStr">
        <is>
          <t>HÖGSBY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46274</v>
      </c>
      <c r="F375" t="inlineStr">
        <is>
          <t>KALMAR LÄN</t>
        </is>
      </c>
      <c r="G375" t="inlineStr">
        <is>
          <t>HÖGSBY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50367-2022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44866</v>
      </c>
      <c r="E376" s="1" t="n">
        <v>46274</v>
      </c>
      <c r="F376" t="inlineStr">
        <is>
          <t>KALMAR LÄN</t>
        </is>
      </c>
      <c r="G376" t="inlineStr">
        <is>
          <t>HÖGSBY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59581-2024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45638</v>
      </c>
      <c r="E377" s="1" t="n">
        <v>46274</v>
      </c>
      <c r="F377" t="inlineStr">
        <is>
          <t>KALMAR LÄN</t>
        </is>
      </c>
      <c r="G377" t="inlineStr">
        <is>
          <t>HÖGSBY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1768-2024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45307</v>
      </c>
      <c r="E378" s="1" t="n">
        <v>46274</v>
      </c>
      <c r="F378" t="inlineStr">
        <is>
          <t>KALMAR LÄN</t>
        </is>
      </c>
      <c r="G378" t="inlineStr">
        <is>
          <t>HÖGSBY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34078-2024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45523</v>
      </c>
      <c r="E379" s="1" t="n">
        <v>46274</v>
      </c>
      <c r="F379" t="inlineStr">
        <is>
          <t>KALMAR LÄN</t>
        </is>
      </c>
      <c r="G379" t="inlineStr">
        <is>
          <t>HÖGSBY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45782</v>
      </c>
      <c r="E380" s="1" t="n">
        <v>46274</v>
      </c>
      <c r="F380" t="inlineStr">
        <is>
          <t>KALMAR LÄN</t>
        </is>
      </c>
      <c r="G380" t="inlineStr">
        <is>
          <t>HÖGSBY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40464-2023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46274</v>
      </c>
      <c r="F381" t="inlineStr">
        <is>
          <t>KALMAR LÄN</t>
        </is>
      </c>
      <c r="G381" t="inlineStr">
        <is>
          <t>HÖGSBY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40137-2024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45554</v>
      </c>
      <c r="E382" s="1" t="n">
        <v>46274</v>
      </c>
      <c r="F382" t="inlineStr">
        <is>
          <t>KALMAR LÄN</t>
        </is>
      </c>
      <c r="G382" t="inlineStr">
        <is>
          <t>HÖGSBY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  <c r="Z382">
        <f>HYPERLINK("https://klasma.github.io/Logging_0821/knärot/A 40137-2024 karta knärot.png", "A 40137-2024")</f>
        <v/>
      </c>
      <c r="AA382">
        <f>HYPERLINK("https://klasma.github.io/Logging_0821/klagomål/A 40137-2024 FSC-klagomål.docx", "A 40137-2024")</f>
        <v/>
      </c>
      <c r="AB382">
        <f>HYPERLINK("https://klasma.github.io/Logging_0821/klagomålsmail/A 40137-2024 FSC-klagomål mail.docx", "A 40137-2024")</f>
        <v/>
      </c>
      <c r="AC382">
        <f>HYPERLINK("https://klasma.github.io/Logging_0821/tillsyn/A 40137-2024 tillsynsbegäran.docx", "A 40137-2024")</f>
        <v/>
      </c>
      <c r="AD382">
        <f>HYPERLINK("https://klasma.github.io/Logging_0821/tillsynsmail/A 40137-2024 tillsynsbegäran mail.docx", "A 40137-2024")</f>
        <v/>
      </c>
    </row>
    <row r="383" ht="15" customHeight="1">
      <c r="A383" t="inlineStr">
        <is>
          <t>A 24378-2025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46274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45796</v>
      </c>
      <c r="E384" s="1" t="n">
        <v>46274</v>
      </c>
      <c r="F384" t="inlineStr">
        <is>
          <t>KALMAR LÄN</t>
        </is>
      </c>
      <c r="G384" t="inlineStr">
        <is>
          <t>HÖGSBY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45847</v>
      </c>
      <c r="E385" s="1" t="n">
        <v>46274</v>
      </c>
      <c r="F385" t="inlineStr">
        <is>
          <t>KALMAR LÄN</t>
        </is>
      </c>
      <c r="G385" t="inlineStr">
        <is>
          <t>HÖGSBY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45847</v>
      </c>
      <c r="E386" s="1" t="n">
        <v>46274</v>
      </c>
      <c r="F386" t="inlineStr">
        <is>
          <t>KALMAR LÄN</t>
        </is>
      </c>
      <c r="G386" t="inlineStr">
        <is>
          <t>HÖGSBY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40135-2024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45554</v>
      </c>
      <c r="E387" s="1" t="n">
        <v>46274</v>
      </c>
      <c r="F387" t="inlineStr">
        <is>
          <t>KALMAR LÄN</t>
        </is>
      </c>
      <c r="G387" t="inlineStr">
        <is>
          <t>HÖGSBY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46274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46274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46274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46274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46274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46274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46274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46274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566-2022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46274</v>
      </c>
      <c r="F396" t="inlineStr">
        <is>
          <t>KALMAR LÄN</t>
        </is>
      </c>
      <c r="G396" t="inlineStr">
        <is>
          <t>HÖGSBY</t>
        </is>
      </c>
      <c r="I396" t="n">
        <v>15.1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5035-2024</t>
        </is>
      </c>
      <c r="B397" t="inlineStr">
        <is>
          <t>samrådsanmälan</t>
        </is>
      </c>
      <c r="C397" t="inlineStr">
        <is>
          <t>Stubbskörd</t>
        </is>
      </c>
      <c r="D397" s="1" t="n">
        <v>45636</v>
      </c>
      <c r="E397" s="1" t="n">
        <v>46274</v>
      </c>
      <c r="F397" t="inlineStr">
        <is>
          <t>KALMAR LÄN</t>
        </is>
      </c>
      <c r="G397" t="inlineStr">
        <is>
          <t>HÖGSBY</t>
        </is>
      </c>
      <c r="I397" t="n">
        <v>14.2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561-2022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44592</v>
      </c>
      <c r="E398" s="1" t="n">
        <v>46274</v>
      </c>
      <c r="F398" t="inlineStr">
        <is>
          <t>KALMAR LÄN</t>
        </is>
      </c>
      <c r="G398" t="inlineStr">
        <is>
          <t>HÖGSBY</t>
        </is>
      </c>
      <c r="I398" t="n">
        <v>30.3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2021-2025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45835</v>
      </c>
      <c r="E399" s="1" t="n">
        <v>46274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379-2023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44958</v>
      </c>
      <c r="E400" s="1" t="n">
        <v>46274</v>
      </c>
      <c r="F400" t="inlineStr">
        <is>
          <t>KALMAR LÄN</t>
        </is>
      </c>
      <c r="G400" t="inlineStr">
        <is>
          <t>HÖGSBY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351-2023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44958</v>
      </c>
      <c r="E401" s="1" t="n">
        <v>46274</v>
      </c>
      <c r="F401" t="inlineStr">
        <is>
          <t>KALMAR LÄN</t>
        </is>
      </c>
      <c r="G401" t="inlineStr">
        <is>
          <t>HÖGSBY</t>
        </is>
      </c>
      <c r="I401" t="n">
        <v>21.3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2809-2025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45938</v>
      </c>
      <c r="E402" s="1" t="n">
        <v>46274</v>
      </c>
      <c r="F402" t="inlineStr">
        <is>
          <t>KALMAR LÄN</t>
        </is>
      </c>
      <c r="G402" t="inlineStr">
        <is>
          <t>HÖGSBY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1031-2026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46125</v>
      </c>
      <c r="E403" s="1" t="n">
        <v>46274</v>
      </c>
      <c r="F403" t="inlineStr">
        <is>
          <t>KALMAR LÄN</t>
        </is>
      </c>
      <c r="G403" t="inlineStr">
        <is>
          <t>HÖGSBY</t>
        </is>
      </c>
      <c r="I403" t="n">
        <v>10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1417-2026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46155</v>
      </c>
      <c r="E404" s="1" t="n">
        <v>46274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1418-2026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46155</v>
      </c>
      <c r="E405" s="1" t="n">
        <v>46274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1846-2026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46274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1848-2026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46198</v>
      </c>
      <c r="E407" s="1" t="n">
        <v>46274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1847-2026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46198</v>
      </c>
      <c r="E408" s="1" t="n">
        <v>46274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1866-2026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46199</v>
      </c>
      <c r="E409" s="1" t="n">
        <v>46274</v>
      </c>
      <c r="F409" t="inlineStr">
        <is>
          <t>KALMAR LÄN</t>
        </is>
      </c>
      <c r="G409" t="inlineStr">
        <is>
          <t>HÖGSBY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1938-2026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46203</v>
      </c>
      <c r="E410" s="1" t="n">
        <v>46274</v>
      </c>
      <c r="F410" t="inlineStr">
        <is>
          <t>KALMAR LÄN</t>
        </is>
      </c>
      <c r="G410" t="inlineStr">
        <is>
          <t>HÖGSBY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2165-2026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46251</v>
      </c>
      <c r="E411" s="1" t="n">
        <v>46274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2026-09-09T02:14:58Z</dcterms:created>
  <dcterms:modified xmlns:dcterms="http://purl.org/dc/terms/" xmlns:xsi="http://www.w3.org/2001/XMLSchema-instance" xsi:type="dcterms:W3CDTF">2026-09-09T02:14:59Z</dcterms:modified>
</cp:coreProperties>
</file>