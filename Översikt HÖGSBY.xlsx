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46297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46297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46297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46297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46297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46297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46297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46297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46297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46297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46297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46297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54942-2022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44886</v>
      </c>
      <c r="E15" s="1" t="n">
        <v>46297</v>
      </c>
      <c r="F15" t="inlineStr">
        <is>
          <t>KALMAR LÄN</t>
        </is>
      </c>
      <c r="G15" t="inlineStr">
        <is>
          <t>HÖGSBY</t>
        </is>
      </c>
      <c r="I15" t="n">
        <v>0.6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6</v>
      </c>
      <c r="U15" t="n">
        <v>0</v>
      </c>
      <c r="V15" s="2" t="inlineStr">
        <is>
          <t>Mindre bastardsvärmare
Slåttergubbe
Jungfrulin
Solvända
Gullviva</t>
        </is>
      </c>
      <c r="W15">
        <f>HYPERLINK("https://klasma.github.io/Logging_0821/artfynd/A 54942-2022 artfynd.xlsx", "A 54942-2022")</f>
        <v/>
      </c>
      <c r="X15">
        <f>HYPERLINK("https://klasma.github.io/Logging_0821/kartor/A 54942-2022 karta.png", "A 54942-2022")</f>
        <v/>
      </c>
      <c r="Y15">
        <f>HYPERLINK("https://klasma.github.io/Logging_0821/kartor_geotiff/A 54942-2022 georefererad karta.tif", "A 54942-2022")</f>
        <v/>
      </c>
      <c r="AA15">
        <f>HYPERLINK("https://klasma.github.io/Logging_0821/klagomål/A 54942-2022 FSC-klagomål.docx", "A 54942-2022")</f>
        <v/>
      </c>
      <c r="AB15">
        <f>HYPERLINK("https://klasma.github.io/Logging_0821/klagomålsmail/A 54942-2022 FSC-klagomål mail.docx", "A 54942-2022")</f>
        <v/>
      </c>
      <c r="AC15">
        <f>HYPERLINK("https://klasma.github.io/Logging_0821/tillsyn/A 54942-2022 tillsynsbegäran.docx", "A 54942-2022")</f>
        <v/>
      </c>
      <c r="AD15">
        <f>HYPERLINK("https://klasma.github.io/Logging_0821/tillsynsmail/A 54942-2022 tillsynsbegäran mail.docx", "A 54942-2022")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46297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46297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46297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46297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46297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46297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46297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46297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46297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46297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46297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46297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46297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46297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46297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46297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46297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46297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46297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46297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46297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46297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46297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46297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46297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46297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46297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46297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46297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46297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46297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38802-2024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45547</v>
      </c>
      <c r="E47" s="1" t="n">
        <v>46297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HYPERLINK("https://klasma.github.io/Logging_0821/artfynd/A 38802-2024 artfynd.xlsx", "A 38802-2024")</f>
        <v/>
      </c>
      <c r="X47">
        <f>HYPERLINK("https://klasma.github.io/Logging_0821/kartor/A 38802-2024 karta.png", "A 38802-2024")</f>
        <v/>
      </c>
      <c r="Y47">
        <f>HYPERLINK("https://klasma.github.io/Logging_0821/kartor_geotiff/A 38802-2024 georefererad karta.tif", "A 38802-2024")</f>
        <v/>
      </c>
      <c r="AA47">
        <f>HYPERLINK("https://klasma.github.io/Logging_0821/klagomål/A 38802-2024 FSC-klagomål.docx", "A 38802-2024")</f>
        <v/>
      </c>
      <c r="AB47">
        <f>HYPERLINK("https://klasma.github.io/Logging_0821/klagomålsmail/A 38802-2024 FSC-klagomål mail.docx", "A 38802-2024")</f>
        <v/>
      </c>
      <c r="AC47">
        <f>HYPERLINK("https://klasma.github.io/Logging_0821/tillsyn/A 38802-2024 tillsynsbegäran.docx", "A 38802-2024")</f>
        <v/>
      </c>
      <c r="AD47">
        <f>HYPERLINK("https://klasma.github.io/Logging_0821/tillsynsmail/A 38802-2024 tillsynsbegäran mail.docx", "A 38802-2024")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46297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46297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22757-2026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46297</v>
      </c>
      <c r="F50" t="inlineStr">
        <is>
          <t>KALMAR LÄN</t>
        </is>
      </c>
      <c r="G50" t="inlineStr">
        <is>
          <t>HÖGSBY</t>
        </is>
      </c>
      <c r="I50" t="n">
        <v>1.1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Blåsippa</t>
        </is>
      </c>
      <c r="W50">
        <f>HYPERLINK("https://klasma.github.io/Logging_0821/artfynd/A 22757-2026 artfynd.xlsx", "A 22757-2026")</f>
        <v/>
      </c>
      <c r="X50">
        <f>HYPERLINK("https://klasma.github.io/Logging_0821/kartor/A 22757-2026 karta.png", "A 22757-2026")</f>
        <v/>
      </c>
      <c r="Y50">
        <f>HYPERLINK("https://klasma.github.io/Logging_0821/kartor_geotiff/A 22757-2026 georefererad karta.tif", "A 22757-2026")</f>
        <v/>
      </c>
      <c r="AA50">
        <f>HYPERLINK("https://klasma.github.io/Logging_0821/klagomål/A 22757-2026 FSC-klagomål.docx", "A 22757-2026")</f>
        <v/>
      </c>
      <c r="AB50">
        <f>HYPERLINK("https://klasma.github.io/Logging_0821/klagomålsmail/A 22757-2026 FSC-klagomål mail.docx", "A 22757-2026")</f>
        <v/>
      </c>
      <c r="AC50">
        <f>HYPERLINK("https://klasma.github.io/Logging_0821/tillsyn/A 22757-2026 tillsynsbegäran.docx", "A 22757-2026")</f>
        <v/>
      </c>
      <c r="AD50">
        <f>HYPERLINK("https://klasma.github.io/Logging_0821/tillsynsmail/A 22757-2026 tillsynsbegäran mail.docx", "A 22757-2026")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46297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59407-2022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46297</v>
      </c>
      <c r="F52" t="inlineStr">
        <is>
          <t>KALMAR LÄN</t>
        </is>
      </c>
      <c r="G52" t="inlineStr">
        <is>
          <t>HÖGSBY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1</v>
      </c>
      <c r="V52" s="2" t="inlineStr">
        <is>
          <t>Blåsippa</t>
        </is>
      </c>
      <c r="W52">
        <f>HYPERLINK("https://klasma.github.io/Logging_0821/artfynd/A 59407-2022 artfynd.xlsx", "A 59407-2022")</f>
        <v/>
      </c>
      <c r="X52">
        <f>HYPERLINK("https://klasma.github.io/Logging_0821/kartor/A 59407-2022 karta.png", "A 59407-2022")</f>
        <v/>
      </c>
      <c r="Y52">
        <f>HYPERLINK("https://klasma.github.io/Logging_0821/kartor_geotiff/A 59407-2022 georefererad karta.tif", "A 59407-2022")</f>
        <v/>
      </c>
      <c r="AA52">
        <f>HYPERLINK("https://klasma.github.io/Logging_0821/klagomål/A 59407-2022 FSC-klagomål.docx", "A 59407-2022")</f>
        <v/>
      </c>
      <c r="AB52">
        <f>HYPERLINK("https://klasma.github.io/Logging_0821/klagomålsmail/A 59407-2022 FSC-klagomål mail.docx", "A 59407-2022")</f>
        <v/>
      </c>
      <c r="AC52">
        <f>HYPERLINK("https://klasma.github.io/Logging_0821/tillsyn/A 59407-2022 tillsynsbegäran.docx", "A 59407-2022")</f>
        <v/>
      </c>
      <c r="AD52">
        <f>HYPERLINK("https://klasma.github.io/Logging_0821/tillsynsmail/A 59407-2022 tillsynsbegäran mail.docx", "A 59407-2022")</f>
        <v/>
      </c>
    </row>
    <row r="53" ht="15" customHeight="1">
      <c r="A53" t="inlineStr">
        <is>
          <t>A 35075-2023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46297</v>
      </c>
      <c r="F53" t="inlineStr">
        <is>
          <t>KALMAR LÄN</t>
        </is>
      </c>
      <c r="G53" t="inlineStr">
        <is>
          <t>HÖGSBY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35075-2023 artfynd.xlsx", "A 35075-2023")</f>
        <v/>
      </c>
      <c r="X53">
        <f>HYPERLINK("https://klasma.github.io/Logging_0821/kartor/A 35075-2023 karta.png", "A 35075-2023")</f>
        <v/>
      </c>
      <c r="Y53">
        <f>HYPERLINK("https://klasma.github.io/Logging_0821/kartor_geotiff/A 35075-2023 georefererad karta.tif", "A 35075-2023")</f>
        <v/>
      </c>
      <c r="AA53">
        <f>HYPERLINK("https://klasma.github.io/Logging_0821/klagomål/A 35075-2023 FSC-klagomål.docx", "A 35075-2023")</f>
        <v/>
      </c>
      <c r="AB53">
        <f>HYPERLINK("https://klasma.github.io/Logging_0821/klagomålsmail/A 35075-2023 FSC-klagomål mail.docx", "A 35075-2023")</f>
        <v/>
      </c>
      <c r="AC53">
        <f>HYPERLINK("https://klasma.github.io/Logging_0821/tillsyn/A 35075-2023 tillsynsbegäran.docx", "A 35075-2023")</f>
        <v/>
      </c>
      <c r="AD53">
        <f>HYPERLINK("https://klasma.github.io/Logging_0821/tillsynsmail/A 35075-2023 tillsynsbegäran mail.docx", "A 35075-2023")</f>
        <v/>
      </c>
    </row>
    <row r="54" ht="15" customHeight="1">
      <c r="A54" t="inlineStr">
        <is>
          <t>A 1519-2022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46297</v>
      </c>
      <c r="F54" t="inlineStr">
        <is>
          <t>KALMAR LÄN</t>
        </is>
      </c>
      <c r="G54" t="inlineStr">
        <is>
          <t>HÖGSBY</t>
        </is>
      </c>
      <c r="I54" t="n">
        <v>2.6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HYPERLINK("https://klasma.github.io/Logging_0821/artfynd/A 1519-2022 artfynd.xlsx", "A 1519-2022")</f>
        <v/>
      </c>
      <c r="X54">
        <f>HYPERLINK("https://klasma.github.io/Logging_0821/kartor/A 1519-2022 karta.png", "A 1519-2022")</f>
        <v/>
      </c>
      <c r="Y54">
        <f>HYPERLINK("https://klasma.github.io/Logging_0821/kartor_geotiff/A 1519-2022 georefererad karta.tif", "A 1519-2022")</f>
        <v/>
      </c>
      <c r="AA54">
        <f>HYPERLINK("https://klasma.github.io/Logging_0821/klagomål/A 1519-2022 FSC-klagomål.docx", "A 1519-2022")</f>
        <v/>
      </c>
      <c r="AB54">
        <f>HYPERLINK("https://klasma.github.io/Logging_0821/klagomålsmail/A 1519-2022 FSC-klagomål mail.docx", "A 1519-2022")</f>
        <v/>
      </c>
      <c r="AC54">
        <f>HYPERLINK("https://klasma.github.io/Logging_0821/tillsyn/A 1519-2022 tillsynsbegäran.docx", "A 1519-2022")</f>
        <v/>
      </c>
      <c r="AD54">
        <f>HYPERLINK("https://klasma.github.io/Logging_0821/tillsynsmail/A 1519-2022 tillsynsbegäran mail.docx", "A 1519-2022")</f>
        <v/>
      </c>
    </row>
    <row r="55" ht="15" customHeight="1">
      <c r="A55" t="inlineStr">
        <is>
          <t>A 26145-2026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46297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Gullviva</t>
        </is>
      </c>
      <c r="W55">
        <f>HYPERLINK("https://klasma.github.io/Logging_0821/artfynd/A 26145-2026 artfynd.xlsx", "A 26145-2026")</f>
        <v/>
      </c>
      <c r="X55">
        <f>HYPERLINK("https://klasma.github.io/Logging_0821/kartor/A 26145-2026 karta.png", "A 26145-2026")</f>
        <v/>
      </c>
      <c r="Y55">
        <f>HYPERLINK("https://klasma.github.io/Logging_0821/kartor_geotiff/A 26145-2026 georefererad karta.tif", "A 26145-2026")</f>
        <v/>
      </c>
      <c r="AA55">
        <f>HYPERLINK("https://klasma.github.io/Logging_0821/klagomål/A 26145-2026 FSC-klagomål.docx", "A 26145-2026")</f>
        <v/>
      </c>
      <c r="AB55">
        <f>HYPERLINK("https://klasma.github.io/Logging_0821/klagomålsmail/A 26145-2026 FSC-klagomål mail.docx", "A 26145-2026")</f>
        <v/>
      </c>
      <c r="AC55">
        <f>HYPERLINK("https://klasma.github.io/Logging_0821/tillsyn/A 26145-2026 tillsynsbegäran.docx", "A 26145-2026")</f>
        <v/>
      </c>
      <c r="AD55">
        <f>HYPERLINK("https://klasma.github.io/Logging_0821/tillsynsmail/A 26145-2026 tillsynsbegäran mail.docx", "A 26145-2026")</f>
        <v/>
      </c>
    </row>
    <row r="56" ht="15" customHeight="1">
      <c r="A56" t="inlineStr">
        <is>
          <t>A 27366-2026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46297</v>
      </c>
      <c r="F56" t="inlineStr">
        <is>
          <t>KALMAR LÄN</t>
        </is>
      </c>
      <c r="G56" t="inlineStr">
        <is>
          <t>HÖGSBY</t>
        </is>
      </c>
      <c r="I56" t="n">
        <v>4.4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27366-2026 artfynd.xlsx", "A 27366-2026")</f>
        <v/>
      </c>
      <c r="X56">
        <f>HYPERLINK("https://klasma.github.io/Logging_0821/kartor/A 27366-2026 karta.png", "A 27366-2026")</f>
        <v/>
      </c>
      <c r="Y56">
        <f>HYPERLINK("https://klasma.github.io/Logging_0821/kartor_geotiff/A 27366-2026 georefererad karta.tif", "A 27366-2026")</f>
        <v/>
      </c>
      <c r="AA56">
        <f>HYPERLINK("https://klasma.github.io/Logging_0821/klagomål/A 27366-2026 FSC-klagomål.docx", "A 27366-2026")</f>
        <v/>
      </c>
      <c r="AB56">
        <f>HYPERLINK("https://klasma.github.io/Logging_0821/klagomålsmail/A 27366-2026 FSC-klagomål mail.docx", "A 27366-2026")</f>
        <v/>
      </c>
      <c r="AC56">
        <f>HYPERLINK("https://klasma.github.io/Logging_0821/tillsyn/A 27366-2026 tillsynsbegäran.docx", "A 27366-2026")</f>
        <v/>
      </c>
      <c r="AD56">
        <f>HYPERLINK("https://klasma.github.io/Logging_0821/tillsynsmail/A 27366-2026 tillsynsbegäran mail.docx", "A 27366-2026")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46297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35072-2023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46297</v>
      </c>
      <c r="F58" t="inlineStr">
        <is>
          <t>KALMAR LÄN</t>
        </is>
      </c>
      <c r="G58" t="inlineStr">
        <is>
          <t>HÖGSBY</t>
        </is>
      </c>
      <c r="I58" t="n">
        <v>1.3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HYPERLINK("https://klasma.github.io/Logging_0821/artfynd/A 35072-2023 artfynd.xlsx", "A 35072-2023")</f>
        <v/>
      </c>
      <c r="X58">
        <f>HYPERLINK("https://klasma.github.io/Logging_0821/kartor/A 35072-2023 karta.png", "A 35072-2023")</f>
        <v/>
      </c>
      <c r="Y58">
        <f>HYPERLINK("https://klasma.github.io/Logging_0821/kartor_geotiff/A 35072-2023 georefererad karta.tif", "A 35072-2023")</f>
        <v/>
      </c>
      <c r="AA58">
        <f>HYPERLINK("https://klasma.github.io/Logging_0821/klagomål/A 35072-2023 FSC-klagomål.docx", "A 35072-2023")</f>
        <v/>
      </c>
      <c r="AB58">
        <f>HYPERLINK("https://klasma.github.io/Logging_0821/klagomålsmail/A 35072-2023 FSC-klagomål mail.docx", "A 35072-2023")</f>
        <v/>
      </c>
      <c r="AC58">
        <f>HYPERLINK("https://klasma.github.io/Logging_0821/tillsyn/A 35072-2023 tillsynsbegäran.docx", "A 35072-2023")</f>
        <v/>
      </c>
      <c r="AD58">
        <f>HYPERLINK("https://klasma.github.io/Logging_0821/tillsynsmail/A 35072-2023 tillsynsbegäran mail.docx", "A 35072-2023")</f>
        <v/>
      </c>
    </row>
    <row r="59" ht="15" customHeight="1">
      <c r="A59" t="inlineStr">
        <is>
          <t>A 30186-2026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46206</v>
      </c>
      <c r="E59" s="1" t="n">
        <v>46297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Gullklöver</t>
        </is>
      </c>
      <c r="W59">
        <f>HYPERLINK("https://klasma.github.io/Logging_0821/artfynd/A 30186-2026 artfynd.xlsx", "A 30186-2026")</f>
        <v/>
      </c>
      <c r="X59">
        <f>HYPERLINK("https://klasma.github.io/Logging_0821/kartor/A 30186-2026 karta.png", "A 30186-2026")</f>
        <v/>
      </c>
      <c r="Y59">
        <f>HYPERLINK("https://klasma.github.io/Logging_0821/kartor_geotiff/A 30186-2026 georefererad karta.tif", "A 30186-2026")</f>
        <v/>
      </c>
      <c r="AA59">
        <f>HYPERLINK("https://klasma.github.io/Logging_0821/klagomål/A 30186-2026 FSC-klagomål.docx", "A 30186-2026")</f>
        <v/>
      </c>
      <c r="AB59">
        <f>HYPERLINK("https://klasma.github.io/Logging_0821/klagomålsmail/A 30186-2026 FSC-klagomål mail.docx", "A 30186-2026")</f>
        <v/>
      </c>
      <c r="AC59">
        <f>HYPERLINK("https://klasma.github.io/Logging_0821/tillsyn/A 30186-2026 tillsynsbegäran.docx", "A 30186-2026")</f>
        <v/>
      </c>
      <c r="AD59">
        <f>HYPERLINK("https://klasma.github.io/Logging_0821/tillsynsmail/A 30186-2026 tillsynsbegäran mail.docx", "A 30186-2026")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46297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19519-2025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45770</v>
      </c>
      <c r="E61" s="1" t="n">
        <v>46297</v>
      </c>
      <c r="F61" t="inlineStr">
        <is>
          <t>KALMAR LÄN</t>
        </is>
      </c>
      <c r="G61" t="inlineStr">
        <is>
          <t>HÖGSBY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HYPERLINK("https://klasma.github.io/Logging_0821/artfynd/A 19519-2025 artfynd.xlsx", "A 19519-2025")</f>
        <v/>
      </c>
      <c r="X61">
        <f>HYPERLINK("https://klasma.github.io/Logging_0821/kartor/A 19519-2025 karta.png", "A 19519-2025")</f>
        <v/>
      </c>
      <c r="Y61">
        <f>HYPERLINK("https://klasma.github.io/Logging_0821/kartor_geotiff/A 19519-2025 georefererad karta.tif", "A 19519-2025")</f>
        <v/>
      </c>
      <c r="AA61">
        <f>HYPERLINK("https://klasma.github.io/Logging_0821/klagomål/A 19519-2025 FSC-klagomål.docx", "A 19519-2025")</f>
        <v/>
      </c>
      <c r="AB61">
        <f>HYPERLINK("https://klasma.github.io/Logging_0821/klagomålsmail/A 19519-2025 FSC-klagomål mail.docx", "A 19519-2025")</f>
        <v/>
      </c>
      <c r="AC61">
        <f>HYPERLINK("https://klasma.github.io/Logging_0821/tillsyn/A 19519-2025 tillsynsbegäran.docx", "A 19519-2025")</f>
        <v/>
      </c>
      <c r="AD61">
        <f>HYPERLINK("https://klasma.github.io/Logging_0821/tillsynsmail/A 19519-2025 tillsynsbegäran mail.docx", "A 19519-2025")</f>
        <v/>
      </c>
    </row>
    <row r="62" ht="15" customHeight="1">
      <c r="A62" t="inlineStr">
        <is>
          <t>A 59700-2023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45256</v>
      </c>
      <c r="E62" s="1" t="n">
        <v>46297</v>
      </c>
      <c r="F62" t="inlineStr">
        <is>
          <t>KALMAR LÄN</t>
        </is>
      </c>
      <c r="G62" t="inlineStr">
        <is>
          <t>HÖGSBY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HYPERLINK("https://klasma.github.io/Logging_0821/artfynd/A 59700-2023 artfynd.xlsx", "A 59700-2023")</f>
        <v/>
      </c>
      <c r="X62">
        <f>HYPERLINK("https://klasma.github.io/Logging_0821/kartor/A 59700-2023 karta.png", "A 59700-2023")</f>
        <v/>
      </c>
      <c r="Y62">
        <f>HYPERLINK("https://klasma.github.io/Logging_0821/kartor_geotiff/A 59700-2023 georefererad karta.tif", "A 59700-2023")</f>
        <v/>
      </c>
      <c r="AA62">
        <f>HYPERLINK("https://klasma.github.io/Logging_0821/klagomål/A 59700-2023 FSC-klagomål.docx", "A 59700-2023")</f>
        <v/>
      </c>
      <c r="AB62">
        <f>HYPERLINK("https://klasma.github.io/Logging_0821/klagomålsmail/A 59700-2023 FSC-klagomål mail.docx", "A 59700-2023")</f>
        <v/>
      </c>
      <c r="AC62">
        <f>HYPERLINK("https://klasma.github.io/Logging_0821/tillsyn/A 59700-2023 tillsynsbegäran.docx", "A 59700-2023")</f>
        <v/>
      </c>
      <c r="AD62">
        <f>HYPERLINK("https://klasma.github.io/Logging_0821/tillsynsmail/A 59700-2023 tillsynsbegäran mail.docx", "A 59700-2023")</f>
        <v/>
      </c>
      <c r="AE62">
        <f>HYPERLINK("https://klasma.github.io/Logging_0821/fåglar/A 59700-2023 prioriterade fågelarter.docx", "A 59700-2023")</f>
        <v/>
      </c>
    </row>
    <row r="63" ht="15" customHeight="1">
      <c r="A63" t="inlineStr">
        <is>
          <t>A 39491-2026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46289</v>
      </c>
      <c r="E63" s="1" t="n">
        <v>46297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HYPERLINK("https://klasma.github.io/Logging_0821/artfynd/A 39491-2026 artfynd.xlsx", "A 39491-2026")</f>
        <v/>
      </c>
      <c r="X63">
        <f>HYPERLINK("https://klasma.github.io/Logging_0821/kartor/A 39491-2026 karta.png", "A 39491-2026")</f>
        <v/>
      </c>
      <c r="Y63">
        <f>HYPERLINK("https://klasma.github.io/Logging_0821/kartor_geotiff/A 39491-2026 georefererad karta.tif", "A 39491-2026")</f>
        <v/>
      </c>
      <c r="AA63">
        <f>HYPERLINK("https://klasma.github.io/Logging_0821/klagomål/A 39491-2026 FSC-klagomål.docx", "A 39491-2026")</f>
        <v/>
      </c>
      <c r="AB63">
        <f>HYPERLINK("https://klasma.github.io/Logging_0821/klagomålsmail/A 39491-2026 FSC-klagomål mail.docx", "A 39491-2026")</f>
        <v/>
      </c>
      <c r="AC63">
        <f>HYPERLINK("https://klasma.github.io/Logging_0821/tillsyn/A 39491-2026 tillsynsbegäran.docx", "A 39491-2026")</f>
        <v/>
      </c>
      <c r="AD63">
        <f>HYPERLINK("https://klasma.github.io/Logging_0821/tillsynsmail/A 39491-2026 tillsynsbegäran mail.docx", "A 39491-2026")</f>
        <v/>
      </c>
    </row>
    <row r="64" ht="15" customHeight="1">
      <c r="A64" t="inlineStr">
        <is>
          <t>A 33784-2026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46297</v>
      </c>
      <c r="F64" t="inlineStr">
        <is>
          <t>KALMAR LÄN</t>
        </is>
      </c>
      <c r="G64" t="inlineStr">
        <is>
          <t>HÖGSBY</t>
        </is>
      </c>
      <c r="H64" t="inlineStr">
        <is>
          <t>Sveaskog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HYPERLINK("https://klasma.github.io/Logging_0821/artfynd/A 33784-2026 artfynd.xlsx", "A 33784-2026")</f>
        <v/>
      </c>
      <c r="X64">
        <f>HYPERLINK("https://klasma.github.io/Logging_0821/kartor/A 33784-2026 karta.png", "A 33784-2026")</f>
        <v/>
      </c>
      <c r="Y64">
        <f>HYPERLINK("https://klasma.github.io/Logging_0821/kartor_geotiff/A 33784-2026 georefererad karta.tif", "A 33784-2026")</f>
        <v/>
      </c>
      <c r="AA64">
        <f>HYPERLINK("https://klasma.github.io/Logging_0821/klagomål/A 33784-2026 FSC-klagomål.docx", "A 33784-2026")</f>
        <v/>
      </c>
      <c r="AB64">
        <f>HYPERLINK("https://klasma.github.io/Logging_0821/klagomålsmail/A 33784-2026 FSC-klagomål mail.docx", "A 33784-2026")</f>
        <v/>
      </c>
      <c r="AC64">
        <f>HYPERLINK("https://klasma.github.io/Logging_0821/tillsyn/A 33784-2026 tillsynsbegäran.docx", "A 33784-2026")</f>
        <v/>
      </c>
      <c r="AD64">
        <f>HYPERLINK("https://klasma.github.io/Logging_0821/tillsynsmail/A 33784-2026 tillsynsbegäran mail.docx", "A 33784-2026")</f>
        <v/>
      </c>
      <c r="AE64">
        <f>HYPERLINK("https://klasma.github.io/Logging_0821/fåglar/A 33784-2026 prioriterade fågelarter.docx", "A 33784-2026")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46297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46297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352-2023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44958</v>
      </c>
      <c r="E67" s="1" t="n">
        <v>46297</v>
      </c>
      <c r="F67" t="inlineStr">
        <is>
          <t>KALMAR LÄN</t>
        </is>
      </c>
      <c r="G67" t="inlineStr">
        <is>
          <t>HÖGSBY</t>
        </is>
      </c>
      <c r="I67" t="n">
        <v>20.9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HYPERLINK("https://klasma.github.io/Logging_0821/artfynd/S 352-2023 artfynd.xlsx", "S 352-2023")</f>
        <v/>
      </c>
      <c r="X67">
        <f>HYPERLINK("https://klasma.github.io/Logging_0821/kartor/S 352-2023 karta.png", "S 352-2023")</f>
        <v/>
      </c>
      <c r="Y67">
        <f>HYPERLINK("https://klasma.github.io/Logging_0821/kartor_geotiff/S 352-2023 georefererad karta.tif", "S 352-2023")</f>
        <v/>
      </c>
      <c r="Z67">
        <f>HYPERLINK("https://klasma.github.io/Logging_0821/knärot/S 352-2023 karta knärot.png", "S 352-2023")</f>
        <v/>
      </c>
      <c r="AA67">
        <f>HYPERLINK("https://klasma.github.io/Logging_0821/klagomål/S 352-2023 FSC-klagomål.docx", "S 352-2023")</f>
        <v/>
      </c>
      <c r="AB67">
        <f>HYPERLINK("https://klasma.github.io/Logging_0821/klagomålsmail/S 352-2023 FSC-klagomål mail.docx", "S 352-2023")</f>
        <v/>
      </c>
      <c r="AC67">
        <f>HYPERLINK("https://klasma.github.io/Logging_0821/tillsyn/S 352-2023 tillsynsbegäran.docx", "S 352-2023")</f>
        <v/>
      </c>
      <c r="AD67">
        <f>HYPERLINK("https://klasma.github.io/Logging_0821/tillsynsmail/S 352-2023 tillsynsbegäran mail.docx", "S 352-2023")</f>
        <v/>
      </c>
      <c r="AE67">
        <f>HYPERLINK("https://klasma.github.io/Logging_0821/fåglar/S 352-2023 prioriterade fågelarter.docx", "S 352-2023")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46297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46297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46297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46297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46297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46297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46297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46297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46297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46297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46297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46297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46297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46297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74471-2021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46297</v>
      </c>
      <c r="F82" t="inlineStr">
        <is>
          <t>KALMAR LÄN</t>
        </is>
      </c>
      <c r="G82" t="inlineStr">
        <is>
          <t>HÖGSBY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46297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46297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46297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46297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46297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46297</v>
      </c>
      <c r="F88" t="inlineStr">
        <is>
          <t>KALMAR LÄN</t>
        </is>
      </c>
      <c r="G88" t="inlineStr">
        <is>
          <t>HÖGSBY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46297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46297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46297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46297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46297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46297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46297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46297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46297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46297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46297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46297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46297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46297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46297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46297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46297</v>
      </c>
      <c r="F105" t="inlineStr">
        <is>
          <t>KALMAR LÄN</t>
        </is>
      </c>
      <c r="G105" t="inlineStr">
        <is>
          <t>HÖGSBY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46297</v>
      </c>
      <c r="F106" t="inlineStr">
        <is>
          <t>KALMAR LÄN</t>
        </is>
      </c>
      <c r="G106" t="inlineStr">
        <is>
          <t>HÖGSBY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46297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46297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63483-2025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46297</v>
      </c>
      <c r="F109" t="inlineStr">
        <is>
          <t>KALMAR LÄN</t>
        </is>
      </c>
      <c r="G109" t="inlineStr">
        <is>
          <t>HÖGSBY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46297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46297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46297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45838</v>
      </c>
      <c r="E113" s="1" t="n">
        <v>46297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46297</v>
      </c>
      <c r="F114" t="inlineStr">
        <is>
          <t>KALMAR LÄN</t>
        </is>
      </c>
      <c r="G114" t="inlineStr">
        <is>
          <t>HÖGSBY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44886</v>
      </c>
      <c r="E115" s="1" t="n">
        <v>46297</v>
      </c>
      <c r="F115" t="inlineStr">
        <is>
          <t>KALMAR LÄN</t>
        </is>
      </c>
      <c r="G115" t="inlineStr">
        <is>
          <t>HÖGSBY</t>
        </is>
      </c>
      <c r="H115" t="inlineStr">
        <is>
          <t>Kyrkan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46038</v>
      </c>
      <c r="E116" s="1" t="n">
        <v>46297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46297</v>
      </c>
      <c r="F117" t="inlineStr">
        <is>
          <t>KALMAR LÄN</t>
        </is>
      </c>
      <c r="G117" t="inlineStr">
        <is>
          <t>HÖGSBY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46297</v>
      </c>
      <c r="F118" t="inlineStr">
        <is>
          <t>KALMAR LÄN</t>
        </is>
      </c>
      <c r="G118" t="inlineStr">
        <is>
          <t>HÖGSBY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46297</v>
      </c>
      <c r="F119" t="inlineStr">
        <is>
          <t>KALMAR LÄN</t>
        </is>
      </c>
      <c r="G119" t="inlineStr">
        <is>
          <t>HÖGSBY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45797</v>
      </c>
      <c r="E120" s="1" t="n">
        <v>46297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45729</v>
      </c>
      <c r="E121" s="1" t="n">
        <v>46297</v>
      </c>
      <c r="F121" t="inlineStr">
        <is>
          <t>KALMAR LÄN</t>
        </is>
      </c>
      <c r="G121" t="inlineStr">
        <is>
          <t>HÖGSBY</t>
        </is>
      </c>
      <c r="I121" t="n">
        <v>11.5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46058</v>
      </c>
      <c r="E122" s="1" t="n">
        <v>46297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7443-2026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46059</v>
      </c>
      <c r="E123" s="1" t="n">
        <v>46297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57006-2024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45626</v>
      </c>
      <c r="E124" s="1" t="n">
        <v>46297</v>
      </c>
      <c r="F124" t="inlineStr">
        <is>
          <t>KALMAR LÄN</t>
        </is>
      </c>
      <c r="G124" t="inlineStr">
        <is>
          <t>HÖGSBY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45775</v>
      </c>
      <c r="E125" s="1" t="n">
        <v>46297</v>
      </c>
      <c r="F125" t="inlineStr">
        <is>
          <t>KALMAR LÄN</t>
        </is>
      </c>
      <c r="G125" t="inlineStr">
        <is>
          <t>HÖGSBY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46297</v>
      </c>
      <c r="F126" t="inlineStr">
        <is>
          <t>KALMAR LÄN</t>
        </is>
      </c>
      <c r="G126" t="inlineStr">
        <is>
          <t>HÖGSBY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46297</v>
      </c>
      <c r="F127" t="inlineStr">
        <is>
          <t>KALMAR LÄN</t>
        </is>
      </c>
      <c r="G127" t="inlineStr">
        <is>
          <t>HÖGSBY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46297</v>
      </c>
      <c r="F128" t="inlineStr">
        <is>
          <t>KALMAR LÄN</t>
        </is>
      </c>
      <c r="G128" t="inlineStr">
        <is>
          <t>HÖGSBY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46297</v>
      </c>
      <c r="F129" t="inlineStr">
        <is>
          <t>KALMAR LÄN</t>
        </is>
      </c>
      <c r="G129" t="inlineStr">
        <is>
          <t>HÖGSBY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46297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46297</v>
      </c>
      <c r="F131" t="inlineStr">
        <is>
          <t>KALMAR LÄN</t>
        </is>
      </c>
      <c r="G131" t="inlineStr">
        <is>
          <t>HÖGSBY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46297</v>
      </c>
      <c r="F132" t="inlineStr">
        <is>
          <t>KALMAR LÄN</t>
        </is>
      </c>
      <c r="G132" t="inlineStr">
        <is>
          <t>HÖGSBY</t>
        </is>
      </c>
      <c r="I132" t="n">
        <v>12.8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46297</v>
      </c>
      <c r="F133" t="inlineStr">
        <is>
          <t>KALMAR LÄN</t>
        </is>
      </c>
      <c r="G133" t="inlineStr">
        <is>
          <t>HÖGSBY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46297</v>
      </c>
      <c r="F134" t="inlineStr">
        <is>
          <t>KALMAR LÄN</t>
        </is>
      </c>
      <c r="G134" t="inlineStr">
        <is>
          <t>HÖGSBY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14894-2025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45743</v>
      </c>
      <c r="E135" s="1" t="n">
        <v>46297</v>
      </c>
      <c r="F135" t="inlineStr">
        <is>
          <t>KALMAR LÄN</t>
        </is>
      </c>
      <c r="G135" t="inlineStr">
        <is>
          <t>HÖGSBY</t>
        </is>
      </c>
      <c r="H135" t="inlineStr">
        <is>
          <t>Kommuner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46297</v>
      </c>
      <c r="F136" t="inlineStr">
        <is>
          <t>KALMAR LÄN</t>
        </is>
      </c>
      <c r="G136" t="inlineStr">
        <is>
          <t>HÖGSBY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46107</v>
      </c>
      <c r="E137" s="1" t="n">
        <v>46297</v>
      </c>
      <c r="F137" t="inlineStr">
        <is>
          <t>KALMAR LÄN</t>
        </is>
      </c>
      <c r="G137" t="inlineStr">
        <is>
          <t>HÖGSBY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46297</v>
      </c>
      <c r="F138" t="inlineStr">
        <is>
          <t>KALMAR LÄN</t>
        </is>
      </c>
      <c r="G138" t="inlineStr">
        <is>
          <t>HÖGSBY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46297</v>
      </c>
      <c r="F139" t="inlineStr">
        <is>
          <t>KALMAR LÄN</t>
        </is>
      </c>
      <c r="G139" t="inlineStr">
        <is>
          <t>HÖGSBY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46297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46297</v>
      </c>
      <c r="F141" t="inlineStr">
        <is>
          <t>KALMAR LÄN</t>
        </is>
      </c>
      <c r="G141" t="inlineStr">
        <is>
          <t>HÖGSBY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45624</v>
      </c>
      <c r="E142" s="1" t="n">
        <v>46297</v>
      </c>
      <c r="F142" t="inlineStr">
        <is>
          <t>KALMAR LÄN</t>
        </is>
      </c>
      <c r="G142" t="inlineStr">
        <is>
          <t>HÖGSBY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46297</v>
      </c>
      <c r="F143" t="inlineStr">
        <is>
          <t>KALMAR LÄN</t>
        </is>
      </c>
      <c r="G143" t="inlineStr">
        <is>
          <t>HÖGSBY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46114</v>
      </c>
      <c r="E144" s="1" t="n">
        <v>46297</v>
      </c>
      <c r="F144" t="inlineStr">
        <is>
          <t>KALMAR LÄN</t>
        </is>
      </c>
      <c r="G144" t="inlineStr">
        <is>
          <t>HÖGSBY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46297</v>
      </c>
      <c r="F145" t="inlineStr">
        <is>
          <t>KALMAR LÄN</t>
        </is>
      </c>
      <c r="G145" t="inlineStr">
        <is>
          <t>HÖGSBY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65130-2023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45288</v>
      </c>
      <c r="E146" s="1" t="n">
        <v>46297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46297</v>
      </c>
      <c r="F147" t="inlineStr">
        <is>
          <t>KALMAR LÄN</t>
        </is>
      </c>
      <c r="G147" t="inlineStr">
        <is>
          <t>HÖGSBY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46297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57000-2024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45626</v>
      </c>
      <c r="E149" s="1" t="n">
        <v>46297</v>
      </c>
      <c r="F149" t="inlineStr">
        <is>
          <t>KALMAR LÄN</t>
        </is>
      </c>
      <c r="G149" t="inlineStr">
        <is>
          <t>HÖGSBY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17934-2026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46122</v>
      </c>
      <c r="E150" s="1" t="n">
        <v>46297</v>
      </c>
      <c r="F150" t="inlineStr">
        <is>
          <t>KALMAR LÄN</t>
        </is>
      </c>
      <c r="G150" t="inlineStr">
        <is>
          <t>HÖGSBY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17953-2026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46297</v>
      </c>
      <c r="F151" t="inlineStr">
        <is>
          <t>KALMAR LÄN</t>
        </is>
      </c>
      <c r="G151" t="inlineStr">
        <is>
          <t>HÖGSBY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46297</v>
      </c>
      <c r="F152" t="inlineStr">
        <is>
          <t>KALMAR LÄN</t>
        </is>
      </c>
      <c r="G152" t="inlineStr">
        <is>
          <t>HÖGSBY</t>
        </is>
      </c>
      <c r="I152" t="n">
        <v>11.6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44496</v>
      </c>
      <c r="E153" s="1" t="n">
        <v>46297</v>
      </c>
      <c r="F153" t="inlineStr">
        <is>
          <t>KALMAR LÄN</t>
        </is>
      </c>
      <c r="G153" t="inlineStr">
        <is>
          <t>HÖGSBY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46297</v>
      </c>
      <c r="F154" t="inlineStr">
        <is>
          <t>KALMAR LÄN</t>
        </is>
      </c>
      <c r="G154" t="inlineStr">
        <is>
          <t>HÖGSBY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44991</v>
      </c>
      <c r="E155" s="1" t="n">
        <v>46297</v>
      </c>
      <c r="F155" t="inlineStr">
        <is>
          <t>KALMAR LÄN</t>
        </is>
      </c>
      <c r="G155" t="inlineStr">
        <is>
          <t>HÖGSBY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46297</v>
      </c>
      <c r="F156" t="inlineStr">
        <is>
          <t>KALMAR LÄN</t>
        </is>
      </c>
      <c r="G156" t="inlineStr">
        <is>
          <t>HÖGSBY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46297</v>
      </c>
      <c r="F157" t="inlineStr">
        <is>
          <t>KALMAR LÄN</t>
        </is>
      </c>
      <c r="G157" t="inlineStr">
        <is>
          <t>HÖGSBY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46297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32049-2023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45119</v>
      </c>
      <c r="E159" s="1" t="n">
        <v>46297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46297</v>
      </c>
      <c r="F160" t="inlineStr">
        <is>
          <t>KALMAR LÄN</t>
        </is>
      </c>
      <c r="G160" t="inlineStr">
        <is>
          <t>HÖGSBY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46297</v>
      </c>
      <c r="F161" t="inlineStr">
        <is>
          <t>KALMAR LÄN</t>
        </is>
      </c>
      <c r="G161" t="inlineStr">
        <is>
          <t>HÖGSBY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46297</v>
      </c>
      <c r="F162" t="inlineStr">
        <is>
          <t>KALMAR LÄN</t>
        </is>
      </c>
      <c r="G162" t="inlineStr">
        <is>
          <t>HÖGSBY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45608</v>
      </c>
      <c r="E163" s="1" t="n">
        <v>46297</v>
      </c>
      <c r="F163" t="inlineStr">
        <is>
          <t>KALMAR LÄN</t>
        </is>
      </c>
      <c r="G163" t="inlineStr">
        <is>
          <t>HÖGSBY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46297</v>
      </c>
      <c r="F164" t="inlineStr">
        <is>
          <t>KALMAR LÄN</t>
        </is>
      </c>
      <c r="G164" t="inlineStr">
        <is>
          <t>HÖGSBY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46297</v>
      </c>
      <c r="F165" t="inlineStr">
        <is>
          <t>KALMAR LÄN</t>
        </is>
      </c>
      <c r="G165" t="inlineStr">
        <is>
          <t>HÖGSBY</t>
        </is>
      </c>
      <c r="H165" t="inlineStr">
        <is>
          <t>Kommuner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45614</v>
      </c>
      <c r="E166" s="1" t="n">
        <v>46297</v>
      </c>
      <c r="F166" t="inlineStr">
        <is>
          <t>KALMAR LÄN</t>
        </is>
      </c>
      <c r="G166" t="inlineStr">
        <is>
          <t>HÖGSBY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45793</v>
      </c>
      <c r="E167" s="1" t="n">
        <v>46297</v>
      </c>
      <c r="F167" t="inlineStr">
        <is>
          <t>KALMAR LÄN</t>
        </is>
      </c>
      <c r="G167" t="inlineStr">
        <is>
          <t>HÖGSBY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46297</v>
      </c>
      <c r="F168" t="inlineStr">
        <is>
          <t>KALMAR LÄN</t>
        </is>
      </c>
      <c r="G168" t="inlineStr">
        <is>
          <t>HÖGSBY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45804</v>
      </c>
      <c r="E169" s="1" t="n">
        <v>46297</v>
      </c>
      <c r="F169" t="inlineStr">
        <is>
          <t>KALMAR LÄN</t>
        </is>
      </c>
      <c r="G169" t="inlineStr">
        <is>
          <t>HÖGSBY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45994</v>
      </c>
      <c r="E170" s="1" t="n">
        <v>46297</v>
      </c>
      <c r="F170" t="inlineStr">
        <is>
          <t>KALMAR LÄN</t>
        </is>
      </c>
      <c r="G170" t="inlineStr">
        <is>
          <t>HÖGSBY</t>
        </is>
      </c>
      <c r="H170" t="inlineStr">
        <is>
          <t>Sveaskog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44999</v>
      </c>
      <c r="E171" s="1" t="n">
        <v>46297</v>
      </c>
      <c r="F171" t="inlineStr">
        <is>
          <t>KALMAR LÄN</t>
        </is>
      </c>
      <c r="G171" t="inlineStr">
        <is>
          <t>HÖGSBY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46297</v>
      </c>
      <c r="F172" t="inlineStr">
        <is>
          <t>KALMAR LÄN</t>
        </is>
      </c>
      <c r="G172" t="inlineStr">
        <is>
          <t>HÖGSBY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46297</v>
      </c>
      <c r="F173" t="inlineStr">
        <is>
          <t>KALMAR LÄN</t>
        </is>
      </c>
      <c r="G173" t="inlineStr">
        <is>
          <t>HÖGSBY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46297</v>
      </c>
      <c r="F174" t="inlineStr">
        <is>
          <t>KALMAR LÄN</t>
        </is>
      </c>
      <c r="G174" t="inlineStr">
        <is>
          <t>HÖGSBY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46297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46297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45727</v>
      </c>
      <c r="E177" s="1" t="n">
        <v>46297</v>
      </c>
      <c r="F177" t="inlineStr">
        <is>
          <t>KALMAR LÄN</t>
        </is>
      </c>
      <c r="G177" t="inlineStr">
        <is>
          <t>HÖGSBY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45707</v>
      </c>
      <c r="E178" s="1" t="n">
        <v>46297</v>
      </c>
      <c r="F178" t="inlineStr">
        <is>
          <t>KALMAR LÄN</t>
        </is>
      </c>
      <c r="G178" t="inlineStr">
        <is>
          <t>HÖGSBY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46297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46297</v>
      </c>
      <c r="F180" t="inlineStr">
        <is>
          <t>KALMAR LÄN</t>
        </is>
      </c>
      <c r="G180" t="inlineStr">
        <is>
          <t>HÖGSBY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44437-2023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46297</v>
      </c>
      <c r="F181" t="inlineStr">
        <is>
          <t>KALMAR LÄN</t>
        </is>
      </c>
      <c r="G181" t="inlineStr">
        <is>
          <t>HÖGSBY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46297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46297</v>
      </c>
      <c r="F183" t="inlineStr">
        <is>
          <t>KALMAR LÄN</t>
        </is>
      </c>
      <c r="G183" t="inlineStr">
        <is>
          <t>HÖGSBY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46297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46297</v>
      </c>
      <c r="F185" t="inlineStr">
        <is>
          <t>KALMAR LÄN</t>
        </is>
      </c>
      <c r="G185" t="inlineStr">
        <is>
          <t>HÖGSBY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46297</v>
      </c>
      <c r="F186" t="inlineStr">
        <is>
          <t>KALMAR LÄN</t>
        </is>
      </c>
      <c r="G186" t="inlineStr">
        <is>
          <t>HÖGSBY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62720-2025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46008</v>
      </c>
      <c r="E187" s="1" t="n">
        <v>46297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62722-2025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46008</v>
      </c>
      <c r="E188" s="1" t="n">
        <v>46297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46297</v>
      </c>
      <c r="F189" t="inlineStr">
        <is>
          <t>KALMAR LÄN</t>
        </is>
      </c>
      <c r="G189" t="inlineStr">
        <is>
          <t>HÖGSBY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46297</v>
      </c>
      <c r="F190" t="inlineStr">
        <is>
          <t>KALMAR LÄN</t>
        </is>
      </c>
      <c r="G190" t="inlineStr">
        <is>
          <t>HÖGSBY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45552</v>
      </c>
      <c r="E191" s="1" t="n">
        <v>46297</v>
      </c>
      <c r="F191" t="inlineStr">
        <is>
          <t>KALMAR LÄN</t>
        </is>
      </c>
      <c r="G191" t="inlineStr">
        <is>
          <t>HÖGSBY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46297</v>
      </c>
      <c r="F192" t="inlineStr">
        <is>
          <t>KALMAR LÄN</t>
        </is>
      </c>
      <c r="G192" t="inlineStr">
        <is>
          <t>HÖGSBY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46297</v>
      </c>
      <c r="F193" t="inlineStr">
        <is>
          <t>KALMAR LÄN</t>
        </is>
      </c>
      <c r="G193" t="inlineStr">
        <is>
          <t>HÖGSBY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53108-2023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45228</v>
      </c>
      <c r="E194" s="1" t="n">
        <v>46297</v>
      </c>
      <c r="F194" t="inlineStr">
        <is>
          <t>KALMAR LÄN</t>
        </is>
      </c>
      <c r="G194" t="inlineStr">
        <is>
          <t>HÖGSBY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46297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45847</v>
      </c>
      <c r="E196" s="1" t="n">
        <v>46297</v>
      </c>
      <c r="F196" t="inlineStr">
        <is>
          <t>KALMAR LÄN</t>
        </is>
      </c>
      <c r="G196" t="inlineStr">
        <is>
          <t>HÖGSBY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45554</v>
      </c>
      <c r="E197" s="1" t="n">
        <v>46297</v>
      </c>
      <c r="F197" t="inlineStr">
        <is>
          <t>KALMAR LÄN</t>
        </is>
      </c>
      <c r="G197" t="inlineStr">
        <is>
          <t>HÖGSBY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46297</v>
      </c>
      <c r="F198" t="inlineStr">
        <is>
          <t>KALMAR LÄN</t>
        </is>
      </c>
      <c r="G198" t="inlineStr">
        <is>
          <t>HÖGSBY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44861</v>
      </c>
      <c r="E199" s="1" t="n">
        <v>46297</v>
      </c>
      <c r="F199" t="inlineStr">
        <is>
          <t>KALMAR LÄN</t>
        </is>
      </c>
      <c r="G199" t="inlineStr">
        <is>
          <t>HÖGSBY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46297</v>
      </c>
      <c r="F200" t="inlineStr">
        <is>
          <t>KALMAR LÄN</t>
        </is>
      </c>
      <c r="G200" t="inlineStr">
        <is>
          <t>HÖGSBY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46297</v>
      </c>
      <c r="F201" t="inlineStr">
        <is>
          <t>KALMAR LÄN</t>
        </is>
      </c>
      <c r="G201" t="inlineStr">
        <is>
          <t>HÖGSBY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46013</v>
      </c>
      <c r="E202" s="1" t="n">
        <v>46297</v>
      </c>
      <c r="F202" t="inlineStr">
        <is>
          <t>KALMAR LÄN</t>
        </is>
      </c>
      <c r="G202" t="inlineStr">
        <is>
          <t>HÖGSBY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46297</v>
      </c>
      <c r="F203" t="inlineStr">
        <is>
          <t>KALMAR LÄN</t>
        </is>
      </c>
      <c r="G203" t="inlineStr">
        <is>
          <t>HÖGSBY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45247</v>
      </c>
      <c r="E204" s="1" t="n">
        <v>46297</v>
      </c>
      <c r="F204" t="inlineStr">
        <is>
          <t>KALMAR LÄN</t>
        </is>
      </c>
      <c r="G204" t="inlineStr">
        <is>
          <t>HÖGSBY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46297</v>
      </c>
      <c r="F205" t="inlineStr">
        <is>
          <t>KALMAR LÄN</t>
        </is>
      </c>
      <c r="G205" t="inlineStr">
        <is>
          <t>HÖGSBY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46297</v>
      </c>
      <c r="F206" t="inlineStr">
        <is>
          <t>KALMAR LÄN</t>
        </is>
      </c>
      <c r="G206" t="inlineStr">
        <is>
          <t>HÖGSBY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46297</v>
      </c>
      <c r="F207" t="inlineStr">
        <is>
          <t>KALMAR LÄN</t>
        </is>
      </c>
      <c r="G207" t="inlineStr">
        <is>
          <t>HÖGSBY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44924</v>
      </c>
      <c r="E208" s="1" t="n">
        <v>46297</v>
      </c>
      <c r="F208" t="inlineStr">
        <is>
          <t>KALMAR LÄN</t>
        </is>
      </c>
      <c r="G208" t="inlineStr">
        <is>
          <t>HÖGSBY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46297</v>
      </c>
      <c r="F209" t="inlineStr">
        <is>
          <t>KALMAR LÄN</t>
        </is>
      </c>
      <c r="G209" t="inlineStr">
        <is>
          <t>HÖGSBY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44861</v>
      </c>
      <c r="E210" s="1" t="n">
        <v>46297</v>
      </c>
      <c r="F210" t="inlineStr">
        <is>
          <t>KALMAR LÄN</t>
        </is>
      </c>
      <c r="G210" t="inlineStr">
        <is>
          <t>HÖGSBY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38068-2025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45882</v>
      </c>
      <c r="E211" s="1" t="n">
        <v>46297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45688</v>
      </c>
      <c r="E212" s="1" t="n">
        <v>46297</v>
      </c>
      <c r="F212" t="inlineStr">
        <is>
          <t>KALMAR LÄN</t>
        </is>
      </c>
      <c r="G212" t="inlineStr">
        <is>
          <t>HÖGSBY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44586</v>
      </c>
      <c r="E213" s="1" t="n">
        <v>46297</v>
      </c>
      <c r="F213" t="inlineStr">
        <is>
          <t>KALMAR LÄN</t>
        </is>
      </c>
      <c r="G213" t="inlineStr">
        <is>
          <t>HÖGSBY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45789</v>
      </c>
      <c r="E214" s="1" t="n">
        <v>46297</v>
      </c>
      <c r="F214" t="inlineStr">
        <is>
          <t>KALMAR LÄN</t>
        </is>
      </c>
      <c r="G214" t="inlineStr">
        <is>
          <t>HÖGSBY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46297</v>
      </c>
      <c r="F215" t="inlineStr">
        <is>
          <t>KALMAR LÄN</t>
        </is>
      </c>
      <c r="G215" t="inlineStr">
        <is>
          <t>HÖGSBY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44729</v>
      </c>
      <c r="E216" s="1" t="n">
        <v>46297</v>
      </c>
      <c r="F216" t="inlineStr">
        <is>
          <t>KALMAR LÄN</t>
        </is>
      </c>
      <c r="G216" t="inlineStr">
        <is>
          <t>HÖGSBY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44981</v>
      </c>
      <c r="E217" s="1" t="n">
        <v>46297</v>
      </c>
      <c r="F217" t="inlineStr">
        <is>
          <t>KALMAR LÄN</t>
        </is>
      </c>
      <c r="G217" t="inlineStr">
        <is>
          <t>HÖGSBY</t>
        </is>
      </c>
      <c r="H217" t="inlineStr">
        <is>
          <t>Övriga Aktiebolag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46297</v>
      </c>
      <c r="F218" t="inlineStr">
        <is>
          <t>KALMAR LÄN</t>
        </is>
      </c>
      <c r="G218" t="inlineStr">
        <is>
          <t>HÖGSBY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45040</v>
      </c>
      <c r="E219" s="1" t="n">
        <v>46297</v>
      </c>
      <c r="F219" t="inlineStr">
        <is>
          <t>KALMAR LÄN</t>
        </is>
      </c>
      <c r="G219" t="inlineStr">
        <is>
          <t>HÖGSBY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59281-2022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44904</v>
      </c>
      <c r="E220" s="1" t="n">
        <v>46297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44939</v>
      </c>
      <c r="E221" s="1" t="n">
        <v>46297</v>
      </c>
      <c r="F221" t="inlineStr">
        <is>
          <t>KALMAR LÄN</t>
        </is>
      </c>
      <c r="G221" t="inlineStr">
        <is>
          <t>HÖGSBY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44866</v>
      </c>
      <c r="E222" s="1" t="n">
        <v>46297</v>
      </c>
      <c r="F222" t="inlineStr">
        <is>
          <t>KALMAR LÄN</t>
        </is>
      </c>
      <c r="G222" t="inlineStr">
        <is>
          <t>HÖGSBY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37811-2024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45544</v>
      </c>
      <c r="E223" s="1" t="n">
        <v>46297</v>
      </c>
      <c r="F223" t="inlineStr">
        <is>
          <t>KALMAR LÄN</t>
        </is>
      </c>
      <c r="G223" t="inlineStr">
        <is>
          <t>HÖGSBY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28648-2023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45103</v>
      </c>
      <c r="E224" s="1" t="n">
        <v>46297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46297</v>
      </c>
      <c r="F225" t="inlineStr">
        <is>
          <t>KALMAR LÄN</t>
        </is>
      </c>
      <c r="G225" t="inlineStr">
        <is>
          <t>HÖGSBY</t>
        </is>
      </c>
      <c r="H225" t="inlineStr">
        <is>
          <t>Kyrkan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22562-2026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46155</v>
      </c>
      <c r="E226" s="1" t="n">
        <v>46297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22564-2026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46155</v>
      </c>
      <c r="E227" s="1" t="n">
        <v>46297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45111</v>
      </c>
      <c r="E228" s="1" t="n">
        <v>46297</v>
      </c>
      <c r="F228" t="inlineStr">
        <is>
          <t>KALMAR LÄN</t>
        </is>
      </c>
      <c r="G228" t="inlineStr">
        <is>
          <t>HÖGSBY</t>
        </is>
      </c>
      <c r="I228" t="n">
        <v>12.1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45341</v>
      </c>
      <c r="E229" s="1" t="n">
        <v>46297</v>
      </c>
      <c r="F229" t="inlineStr">
        <is>
          <t>KALMAR LÄN</t>
        </is>
      </c>
      <c r="G229" t="inlineStr">
        <is>
          <t>HÖGSBY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45034</v>
      </c>
      <c r="E230" s="1" t="n">
        <v>46297</v>
      </c>
      <c r="F230" t="inlineStr">
        <is>
          <t>KALMAR LÄN</t>
        </is>
      </c>
      <c r="G230" t="inlineStr">
        <is>
          <t>HÖGSBY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46297</v>
      </c>
      <c r="F231" t="inlineStr">
        <is>
          <t>KALMAR LÄN</t>
        </is>
      </c>
      <c r="G231" t="inlineStr">
        <is>
          <t>HÖGSBY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44907</v>
      </c>
      <c r="E232" s="1" t="n">
        <v>46297</v>
      </c>
      <c r="F232" t="inlineStr">
        <is>
          <t>KALMAR LÄN</t>
        </is>
      </c>
      <c r="G232" t="inlineStr">
        <is>
          <t>HÖGSBY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46157</v>
      </c>
      <c r="E233" s="1" t="n">
        <v>46297</v>
      </c>
      <c r="F233" t="inlineStr">
        <is>
          <t>KALMAR LÄN</t>
        </is>
      </c>
      <c r="G233" t="inlineStr">
        <is>
          <t>HÖGSBY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46297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46297</v>
      </c>
      <c r="F235" t="inlineStr">
        <is>
          <t>KALMAR LÄN</t>
        </is>
      </c>
      <c r="G235" t="inlineStr">
        <is>
          <t>HÖGSBY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46297</v>
      </c>
      <c r="F236" t="inlineStr">
        <is>
          <t>KALMAR LÄN</t>
        </is>
      </c>
      <c r="G236" t="inlineStr">
        <is>
          <t>HÖGSBY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46297</v>
      </c>
      <c r="F237" t="inlineStr">
        <is>
          <t>KALMAR LÄN</t>
        </is>
      </c>
      <c r="G237" t="inlineStr">
        <is>
          <t>HÖGSBY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46161</v>
      </c>
      <c r="E238" s="1" t="n">
        <v>46297</v>
      </c>
      <c r="F238" t="inlineStr">
        <is>
          <t>KALMAR LÄN</t>
        </is>
      </c>
      <c r="G238" t="inlineStr">
        <is>
          <t>HÖGSBY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60555-2021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44496</v>
      </c>
      <c r="E239" s="1" t="n">
        <v>46297</v>
      </c>
      <c r="F239" t="inlineStr">
        <is>
          <t>KALMAR LÄN</t>
        </is>
      </c>
      <c r="G239" t="inlineStr">
        <is>
          <t>HÖGSBY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46297</v>
      </c>
      <c r="F240" t="inlineStr">
        <is>
          <t>KALMAR LÄN</t>
        </is>
      </c>
      <c r="G240" t="inlineStr">
        <is>
          <t>HÖGSBY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23937-2026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46167</v>
      </c>
      <c r="E241" s="1" t="n">
        <v>46297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46329-2024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46297</v>
      </c>
      <c r="F242" t="inlineStr">
        <is>
          <t>KALMAR LÄN</t>
        </is>
      </c>
      <c r="G242" t="inlineStr">
        <is>
          <t>HÖGSBY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45058</v>
      </c>
      <c r="E243" s="1" t="n">
        <v>46297</v>
      </c>
      <c r="F243" t="inlineStr">
        <is>
          <t>KALMAR LÄN</t>
        </is>
      </c>
      <c r="G243" t="inlineStr">
        <is>
          <t>HÖGSBY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73709-2021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44552</v>
      </c>
      <c r="E244" s="1" t="n">
        <v>46297</v>
      </c>
      <c r="F244" t="inlineStr">
        <is>
          <t>KALMAR LÄN</t>
        </is>
      </c>
      <c r="G244" t="inlineStr">
        <is>
          <t>HÖGSBY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45393</v>
      </c>
      <c r="E245" s="1" t="n">
        <v>46297</v>
      </c>
      <c r="F245" t="inlineStr">
        <is>
          <t>KALMAR LÄN</t>
        </is>
      </c>
      <c r="G245" t="inlineStr">
        <is>
          <t>HÖGSBY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46297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45348</v>
      </c>
      <c r="E247" s="1" t="n">
        <v>46297</v>
      </c>
      <c r="F247" t="inlineStr">
        <is>
          <t>KALMAR LÄN</t>
        </is>
      </c>
      <c r="G247" t="inlineStr">
        <is>
          <t>HÖGSBY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46297</v>
      </c>
      <c r="F248" t="inlineStr">
        <is>
          <t>KALMAR LÄN</t>
        </is>
      </c>
      <c r="G248" t="inlineStr">
        <is>
          <t>HÖGSBY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44972</v>
      </c>
      <c r="E249" s="1" t="n">
        <v>46297</v>
      </c>
      <c r="F249" t="inlineStr">
        <is>
          <t>KALMAR LÄN</t>
        </is>
      </c>
      <c r="G249" t="inlineStr">
        <is>
          <t>HÖGSBY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24601-2024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45460</v>
      </c>
      <c r="E250" s="1" t="n">
        <v>46297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9592-2024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45360</v>
      </c>
      <c r="E251" s="1" t="n">
        <v>46297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46297</v>
      </c>
      <c r="F252" t="inlineStr">
        <is>
          <t>KALMAR LÄN</t>
        </is>
      </c>
      <c r="G252" t="inlineStr">
        <is>
          <t>HÖGSBY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46297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41479-2023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45175</v>
      </c>
      <c r="E254" s="1" t="n">
        <v>46297</v>
      </c>
      <c r="F254" t="inlineStr">
        <is>
          <t>KALMAR LÄN</t>
        </is>
      </c>
      <c r="G254" t="inlineStr">
        <is>
          <t>HÖGSBY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53501-2024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45614</v>
      </c>
      <c r="E255" s="1" t="n">
        <v>46297</v>
      </c>
      <c r="F255" t="inlineStr">
        <is>
          <t>KALMAR LÄN</t>
        </is>
      </c>
      <c r="G255" t="inlineStr">
        <is>
          <t>HÖGSBY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46297</v>
      </c>
      <c r="F256" t="inlineStr">
        <is>
          <t>KALMAR LÄN</t>
        </is>
      </c>
      <c r="G256" t="inlineStr">
        <is>
          <t>HÖGSBY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44987</v>
      </c>
      <c r="E257" s="1" t="n">
        <v>46297</v>
      </c>
      <c r="F257" t="inlineStr">
        <is>
          <t>KALMAR LÄN</t>
        </is>
      </c>
      <c r="G257" t="inlineStr">
        <is>
          <t>HÖGSBY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44993</v>
      </c>
      <c r="E258" s="1" t="n">
        <v>46297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46297</v>
      </c>
      <c r="F259" t="inlineStr">
        <is>
          <t>KALMAR LÄN</t>
        </is>
      </c>
      <c r="G259" t="inlineStr">
        <is>
          <t>HÖGSBY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46297</v>
      </c>
      <c r="F260" t="inlineStr">
        <is>
          <t>KALMAR LÄN</t>
        </is>
      </c>
      <c r="G260" t="inlineStr">
        <is>
          <t>HÖGSBY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46297</v>
      </c>
      <c r="F261" t="inlineStr">
        <is>
          <t>KALMAR LÄN</t>
        </is>
      </c>
      <c r="G261" t="inlineStr">
        <is>
          <t>HÖGSBY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46297</v>
      </c>
      <c r="F262" t="inlineStr">
        <is>
          <t>KALMAR LÄN</t>
        </is>
      </c>
      <c r="G262" t="inlineStr">
        <is>
          <t>HÖGSBY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7680-2024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45348</v>
      </c>
      <c r="E263" s="1" t="n">
        <v>46297</v>
      </c>
      <c r="F263" t="inlineStr">
        <is>
          <t>KALMAR LÄN</t>
        </is>
      </c>
      <c r="G263" t="inlineStr">
        <is>
          <t>HÖGSBY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46297</v>
      </c>
      <c r="F264" t="inlineStr">
        <is>
          <t>KALMAR LÄN</t>
        </is>
      </c>
      <c r="G264" t="inlineStr">
        <is>
          <t>HÖGSBY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46297</v>
      </c>
      <c r="F265" t="inlineStr">
        <is>
          <t>KALMAR LÄN</t>
        </is>
      </c>
      <c r="G265" t="inlineStr">
        <is>
          <t>HÖGSBY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46181</v>
      </c>
      <c r="E266" s="1" t="n">
        <v>46297</v>
      </c>
      <c r="F266" t="inlineStr">
        <is>
          <t>KALMAR LÄN</t>
        </is>
      </c>
      <c r="G266" t="inlineStr">
        <is>
          <t>HÖGSBY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7325-2025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45702</v>
      </c>
      <c r="E267" s="1" t="n">
        <v>46297</v>
      </c>
      <c r="F267" t="inlineStr">
        <is>
          <t>KALMAR LÄN</t>
        </is>
      </c>
      <c r="G267" t="inlineStr">
        <is>
          <t>HÖGSBY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44625</v>
      </c>
      <c r="E268" s="1" t="n">
        <v>46297</v>
      </c>
      <c r="F268" t="inlineStr">
        <is>
          <t>KALMAR LÄN</t>
        </is>
      </c>
      <c r="G268" t="inlineStr">
        <is>
          <t>HÖGSBY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10706-2022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44625</v>
      </c>
      <c r="E269" s="1" t="n">
        <v>46297</v>
      </c>
      <c r="F269" t="inlineStr">
        <is>
          <t>KALMAR LÄN</t>
        </is>
      </c>
      <c r="G269" t="inlineStr">
        <is>
          <t>HÖGSBY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46297</v>
      </c>
      <c r="F270" t="inlineStr">
        <is>
          <t>KALMAR LÄN</t>
        </is>
      </c>
      <c r="G270" t="inlineStr">
        <is>
          <t>HÖGSBY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46297</v>
      </c>
      <c r="F271" t="inlineStr">
        <is>
          <t>KALMAR LÄN</t>
        </is>
      </c>
      <c r="G271" t="inlineStr">
        <is>
          <t>HÖGSBY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46297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46297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46297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46297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46297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46297</v>
      </c>
      <c r="F277" t="inlineStr">
        <is>
          <t>KALMAR LÄN</t>
        </is>
      </c>
      <c r="G277" t="inlineStr">
        <is>
          <t>HÖGSBY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46297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45203</v>
      </c>
      <c r="E279" s="1" t="n">
        <v>46297</v>
      </c>
      <c r="F279" t="inlineStr">
        <is>
          <t>KALMAR LÄN</t>
        </is>
      </c>
      <c r="G279" t="inlineStr">
        <is>
          <t>HÖGSBY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40990-2023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45173</v>
      </c>
      <c r="E280" s="1" t="n">
        <v>46297</v>
      </c>
      <c r="F280" t="inlineStr">
        <is>
          <t>KALMAR LÄN</t>
        </is>
      </c>
      <c r="G280" t="inlineStr">
        <is>
          <t>HÖGSBY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46297</v>
      </c>
      <c r="F281" t="inlineStr">
        <is>
          <t>KALMAR LÄN</t>
        </is>
      </c>
      <c r="G281" t="inlineStr">
        <is>
          <t>HÖGSBY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46297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46297</v>
      </c>
      <c r="F283" t="inlineStr">
        <is>
          <t>KALMAR LÄN</t>
        </is>
      </c>
      <c r="G283" t="inlineStr">
        <is>
          <t>HÖGSBY</t>
        </is>
      </c>
      <c r="H283" t="inlineStr">
        <is>
          <t>Kommuner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46297</v>
      </c>
      <c r="F284" t="inlineStr">
        <is>
          <t>KALMAR LÄN</t>
        </is>
      </c>
      <c r="G284" t="inlineStr">
        <is>
          <t>HÖGSBY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46297</v>
      </c>
      <c r="F285" t="inlineStr">
        <is>
          <t>KALMAR LÄN</t>
        </is>
      </c>
      <c r="G285" t="inlineStr">
        <is>
          <t>HÖGSBY</t>
        </is>
      </c>
      <c r="H285" t="inlineStr">
        <is>
          <t>Kommuner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38797-2024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45547</v>
      </c>
      <c r="E286" s="1" t="n">
        <v>46297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28573-2026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46197</v>
      </c>
      <c r="E287" s="1" t="n">
        <v>46297</v>
      </c>
      <c r="F287" t="inlineStr">
        <is>
          <t>KALMAR LÄN</t>
        </is>
      </c>
      <c r="G287" t="inlineStr">
        <is>
          <t>HÖGSBY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46297</v>
      </c>
      <c r="F288" t="inlineStr">
        <is>
          <t>KALMAR LÄN</t>
        </is>
      </c>
      <c r="G288" t="inlineStr">
        <is>
          <t>HÖGSBY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28265-2026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46297</v>
      </c>
      <c r="F289" t="inlineStr">
        <is>
          <t>KALMAR LÄN</t>
        </is>
      </c>
      <c r="G289" t="inlineStr">
        <is>
          <t>HÖGSBY</t>
        </is>
      </c>
      <c r="H289" t="inlineStr">
        <is>
          <t>Kommuner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46297</v>
      </c>
      <c r="F290" t="inlineStr">
        <is>
          <t>KALMAR LÄN</t>
        </is>
      </c>
      <c r="G290" t="inlineStr">
        <is>
          <t>HÖGSBY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46297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28702-2026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46198</v>
      </c>
      <c r="E292" s="1" t="n">
        <v>46297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28692-2026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46198</v>
      </c>
      <c r="E293" s="1" t="n">
        <v>46297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28713-2026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46198</v>
      </c>
      <c r="E294" s="1" t="n">
        <v>46297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46199</v>
      </c>
      <c r="E295" s="1" t="n">
        <v>46297</v>
      </c>
      <c r="F295" t="inlineStr">
        <is>
          <t>KALMAR LÄN</t>
        </is>
      </c>
      <c r="G295" t="inlineStr">
        <is>
          <t>HÖGSBY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46297</v>
      </c>
      <c r="F296" t="inlineStr">
        <is>
          <t>KALMAR LÄN</t>
        </is>
      </c>
      <c r="G296" t="inlineStr">
        <is>
          <t>HÖGSBY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28901-2026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46297</v>
      </c>
      <c r="F297" t="inlineStr">
        <is>
          <t>KALMAR LÄN</t>
        </is>
      </c>
      <c r="G297" t="inlineStr">
        <is>
          <t>HÖGSBY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46297</v>
      </c>
      <c r="F298" t="inlineStr">
        <is>
          <t>KALMAR LÄN</t>
        </is>
      </c>
      <c r="G298" t="inlineStr">
        <is>
          <t>HÖGSBY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46297</v>
      </c>
      <c r="F299" t="inlineStr">
        <is>
          <t>KALMAR LÄN</t>
        </is>
      </c>
      <c r="G299" t="inlineStr">
        <is>
          <t>HÖGSBY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25861-2023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45090</v>
      </c>
      <c r="E300" s="1" t="n">
        <v>46297</v>
      </c>
      <c r="F300" t="inlineStr">
        <is>
          <t>KALMAR LÄN</t>
        </is>
      </c>
      <c r="G300" t="inlineStr">
        <is>
          <t>HÖGSBY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46297</v>
      </c>
      <c r="F301" t="inlineStr">
        <is>
          <t>KALMAR LÄN</t>
        </is>
      </c>
      <c r="G301" t="inlineStr">
        <is>
          <t>HÖGSBY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45160</v>
      </c>
      <c r="E302" s="1" t="n">
        <v>46297</v>
      </c>
      <c r="F302" t="inlineStr">
        <is>
          <t>KALMAR LÄN</t>
        </is>
      </c>
      <c r="G302" t="inlineStr">
        <is>
          <t>HÖGSBY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28691-2026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46297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28697-2026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46297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46297</v>
      </c>
      <c r="F305" t="inlineStr">
        <is>
          <t>KALMAR LÄN</t>
        </is>
      </c>
      <c r="G305" t="inlineStr">
        <is>
          <t>HÖGSBY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17185-2022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46297</v>
      </c>
      <c r="F306" t="inlineStr">
        <is>
          <t>KALMAR LÄN</t>
        </is>
      </c>
      <c r="G306" t="inlineStr">
        <is>
          <t>HÖGSBY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44865-2023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46297</v>
      </c>
      <c r="F307" t="inlineStr">
        <is>
          <t>KALMAR LÄN</t>
        </is>
      </c>
      <c r="G307" t="inlineStr">
        <is>
          <t>HÖGSBY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46297</v>
      </c>
      <c r="F308" t="inlineStr">
        <is>
          <t>KALMAR LÄN</t>
        </is>
      </c>
      <c r="G308" t="inlineStr">
        <is>
          <t>HÖGSBY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46297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45093</v>
      </c>
      <c r="E310" s="1" t="n">
        <v>46297</v>
      </c>
      <c r="F310" t="inlineStr">
        <is>
          <t>KALMAR LÄN</t>
        </is>
      </c>
      <c r="G310" t="inlineStr">
        <is>
          <t>HÖGSBY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44882</v>
      </c>
      <c r="E311" s="1" t="n">
        <v>46297</v>
      </c>
      <c r="F311" t="inlineStr">
        <is>
          <t>KALMAR LÄN</t>
        </is>
      </c>
      <c r="G311" t="inlineStr">
        <is>
          <t>HÖGSBY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45247</v>
      </c>
      <c r="E312" s="1" t="n">
        <v>46297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46206</v>
      </c>
      <c r="E313" s="1" t="n">
        <v>46297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12.7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46297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46297</v>
      </c>
      <c r="F315" t="inlineStr">
        <is>
          <t>KALMAR LÄN</t>
        </is>
      </c>
      <c r="G315" t="inlineStr">
        <is>
          <t>HÖGSBY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46297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63379-2023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45274</v>
      </c>
      <c r="E317" s="1" t="n">
        <v>46297</v>
      </c>
      <c r="F317" t="inlineStr">
        <is>
          <t>KALMAR LÄN</t>
        </is>
      </c>
      <c r="G317" t="inlineStr">
        <is>
          <t>HÖGSBY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45154</v>
      </c>
      <c r="E318" s="1" t="n">
        <v>46297</v>
      </c>
      <c r="F318" t="inlineStr">
        <is>
          <t>KALMAR LÄN</t>
        </is>
      </c>
      <c r="G318" t="inlineStr">
        <is>
          <t>HÖGSBY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46297</v>
      </c>
      <c r="F319" t="inlineStr">
        <is>
          <t>KALMAR LÄN</t>
        </is>
      </c>
      <c r="G319" t="inlineStr">
        <is>
          <t>HÖGSBY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46297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46297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30294-2022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44760</v>
      </c>
      <c r="E322" s="1" t="n">
        <v>46297</v>
      </c>
      <c r="F322" t="inlineStr">
        <is>
          <t>KALMAR LÄN</t>
        </is>
      </c>
      <c r="G322" t="inlineStr">
        <is>
          <t>HÖGSBY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60446-2023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46297</v>
      </c>
      <c r="F323" t="inlineStr">
        <is>
          <t>KALMAR LÄN</t>
        </is>
      </c>
      <c r="G323" t="inlineStr">
        <is>
          <t>HÖGSBY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45720</v>
      </c>
      <c r="E324" s="1" t="n">
        <v>46297</v>
      </c>
      <c r="F324" t="inlineStr">
        <is>
          <t>KALMAR LÄN</t>
        </is>
      </c>
      <c r="G324" t="inlineStr">
        <is>
          <t>HÖGSBY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45306</v>
      </c>
      <c r="E325" s="1" t="n">
        <v>46297</v>
      </c>
      <c r="F325" t="inlineStr">
        <is>
          <t>KALMAR LÄN</t>
        </is>
      </c>
      <c r="G325" t="inlineStr">
        <is>
          <t>HÖGSBY</t>
        </is>
      </c>
      <c r="H325" t="inlineStr">
        <is>
          <t>Övriga Aktiebolag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35914-2026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46266</v>
      </c>
      <c r="E326" s="1" t="n">
        <v>46297</v>
      </c>
      <c r="F326" t="inlineStr">
        <is>
          <t>KALMAR LÄN</t>
        </is>
      </c>
      <c r="G326" t="inlineStr">
        <is>
          <t>HÖGSBY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46297</v>
      </c>
      <c r="F327" t="inlineStr">
        <is>
          <t>KALMAR LÄN</t>
        </is>
      </c>
      <c r="G327" t="inlineStr">
        <is>
          <t>HÖGSBY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46297</v>
      </c>
      <c r="F328" t="inlineStr">
        <is>
          <t>KALMAR LÄN</t>
        </is>
      </c>
      <c r="G328" t="inlineStr">
        <is>
          <t>HÖGSBY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46267</v>
      </c>
      <c r="E329" s="1" t="n">
        <v>46297</v>
      </c>
      <c r="F329" t="inlineStr">
        <is>
          <t>KALMAR LÄN</t>
        </is>
      </c>
      <c r="G329" t="inlineStr">
        <is>
          <t>HÖGSBY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46268</v>
      </c>
      <c r="E330" s="1" t="n">
        <v>46297</v>
      </c>
      <c r="F330" t="inlineStr">
        <is>
          <t>KALMAR LÄN</t>
        </is>
      </c>
      <c r="G330" t="inlineStr">
        <is>
          <t>HÖGSBY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46268</v>
      </c>
      <c r="E331" s="1" t="n">
        <v>46297</v>
      </c>
      <c r="F331" t="inlineStr">
        <is>
          <t>KALMAR LÄN</t>
        </is>
      </c>
      <c r="G331" t="inlineStr">
        <is>
          <t>HÖGSBY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46266</v>
      </c>
      <c r="E332" s="1" t="n">
        <v>46297</v>
      </c>
      <c r="F332" t="inlineStr">
        <is>
          <t>KALMAR LÄN</t>
        </is>
      </c>
      <c r="G332" t="inlineStr">
        <is>
          <t>HÖGSBY</t>
        </is>
      </c>
      <c r="I332" t="n">
        <v>9.6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74478-2021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44559</v>
      </c>
      <c r="E333" s="1" t="n">
        <v>46297</v>
      </c>
      <c r="F333" t="inlineStr">
        <is>
          <t>KALMAR LÄN</t>
        </is>
      </c>
      <c r="G333" t="inlineStr">
        <is>
          <t>HÖGSBY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36442-2026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46297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46269</v>
      </c>
      <c r="E335" s="1" t="n">
        <v>46297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24.4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46297</v>
      </c>
      <c r="F336" t="inlineStr">
        <is>
          <t>KALMAR LÄN</t>
        </is>
      </c>
      <c r="G336" t="inlineStr">
        <is>
          <t>HÖGSBY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45244</v>
      </c>
      <c r="E337" s="1" t="n">
        <v>46297</v>
      </c>
      <c r="F337" t="inlineStr">
        <is>
          <t>KALMAR LÄN</t>
        </is>
      </c>
      <c r="G337" t="inlineStr">
        <is>
          <t>HÖGSBY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38824-2024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45547</v>
      </c>
      <c r="E338" s="1" t="n">
        <v>46297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7.7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46274</v>
      </c>
      <c r="E339" s="1" t="n">
        <v>46297</v>
      </c>
      <c r="F339" t="inlineStr">
        <is>
          <t>KALMAR LÄN</t>
        </is>
      </c>
      <c r="G339" t="inlineStr">
        <is>
          <t>HÖGSBY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46297</v>
      </c>
      <c r="F340" t="inlineStr">
        <is>
          <t>KALMAR LÄN</t>
        </is>
      </c>
      <c r="G340" t="inlineStr">
        <is>
          <t>HÖGSBY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46297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49486-2022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44861</v>
      </c>
      <c r="E342" s="1" t="n">
        <v>46297</v>
      </c>
      <c r="F342" t="inlineStr">
        <is>
          <t>KALMAR LÄN</t>
        </is>
      </c>
      <c r="G342" t="inlineStr">
        <is>
          <t>HÖGSBY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46275</v>
      </c>
      <c r="E343" s="1" t="n">
        <v>46297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46297</v>
      </c>
      <c r="F344" t="inlineStr">
        <is>
          <t>KALMAR LÄN</t>
        </is>
      </c>
      <c r="G344" t="inlineStr">
        <is>
          <t>HÖGSBY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71635-2021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46297</v>
      </c>
      <c r="F345" t="inlineStr">
        <is>
          <t>KALMAR LÄN</t>
        </is>
      </c>
      <c r="G345" t="inlineStr">
        <is>
          <t>HÖGSBY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8613-2022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44613</v>
      </c>
      <c r="E346" s="1" t="n">
        <v>46297</v>
      </c>
      <c r="F346" t="inlineStr">
        <is>
          <t>KALMAR LÄN</t>
        </is>
      </c>
      <c r="G346" t="inlineStr">
        <is>
          <t>HÖGSBY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44953</v>
      </c>
      <c r="E347" s="1" t="n">
        <v>46297</v>
      </c>
      <c r="F347" t="inlineStr">
        <is>
          <t>KALMAR LÄN</t>
        </is>
      </c>
      <c r="G347" t="inlineStr">
        <is>
          <t>HÖGSBY</t>
        </is>
      </c>
      <c r="H347" t="inlineStr">
        <is>
          <t>Övriga Aktiebolag</t>
        </is>
      </c>
      <c r="I347" t="n">
        <v>15.2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46297</v>
      </c>
      <c r="F348" t="inlineStr">
        <is>
          <t>KALMAR LÄN</t>
        </is>
      </c>
      <c r="G348" t="inlineStr">
        <is>
          <t>HÖGSBY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46237</v>
      </c>
      <c r="E349" s="1" t="n">
        <v>46297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46297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46281</v>
      </c>
      <c r="E351" s="1" t="n">
        <v>46297</v>
      </c>
      <c r="F351" t="inlineStr">
        <is>
          <t>KALMAR LÄN</t>
        </is>
      </c>
      <c r="G351" t="inlineStr">
        <is>
          <t>HÖGSBY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45447</v>
      </c>
      <c r="E352" s="1" t="n">
        <v>46297</v>
      </c>
      <c r="F352" t="inlineStr">
        <is>
          <t>KALMAR LÄN</t>
        </is>
      </c>
      <c r="G352" t="inlineStr">
        <is>
          <t>HÖGSBY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46286</v>
      </c>
      <c r="E353" s="1" t="n">
        <v>46297</v>
      </c>
      <c r="F353" t="inlineStr">
        <is>
          <t>KALMAR LÄN</t>
        </is>
      </c>
      <c r="G353" t="inlineStr">
        <is>
          <t>HÖGSBY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46297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46297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44903</v>
      </c>
      <c r="E356" s="1" t="n">
        <v>46297</v>
      </c>
      <c r="F356" t="inlineStr">
        <is>
          <t>KALMAR LÄN</t>
        </is>
      </c>
      <c r="G356" t="inlineStr">
        <is>
          <t>HÖGSBY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51619-2023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45222</v>
      </c>
      <c r="E357" s="1" t="n">
        <v>46297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46297</v>
      </c>
      <c r="F358" t="inlineStr">
        <is>
          <t>KALMAR LÄN</t>
        </is>
      </c>
      <c r="G358" t="inlineStr">
        <is>
          <t>HÖGSBY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39035-2026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46287</v>
      </c>
      <c r="E359" s="1" t="n">
        <v>46297</v>
      </c>
      <c r="F359" t="inlineStr">
        <is>
          <t>KALMAR LÄN</t>
        </is>
      </c>
      <c r="G359" t="inlineStr">
        <is>
          <t>HÖGSBY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46297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24292-2022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44725</v>
      </c>
      <c r="E361" s="1" t="n">
        <v>46297</v>
      </c>
      <c r="F361" t="inlineStr">
        <is>
          <t>KALMAR LÄN</t>
        </is>
      </c>
      <c r="G361" t="inlineStr">
        <is>
          <t>HÖGSBY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46297</v>
      </c>
      <c r="F362" t="inlineStr">
        <is>
          <t>KALMAR LÄN</t>
        </is>
      </c>
      <c r="G362" t="inlineStr">
        <is>
          <t>HÖGSBY</t>
        </is>
      </c>
      <c r="H362" t="inlineStr">
        <is>
          <t>Övriga Aktiebolag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46297</v>
      </c>
      <c r="F363" t="inlineStr">
        <is>
          <t>KALMAR LÄN</t>
        </is>
      </c>
      <c r="G363" t="inlineStr">
        <is>
          <t>HÖGSBY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46297</v>
      </c>
      <c r="F364" t="inlineStr">
        <is>
          <t>KALMAR LÄN</t>
        </is>
      </c>
      <c r="G364" t="inlineStr">
        <is>
          <t>HÖGSBY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46297</v>
      </c>
      <c r="F365" t="inlineStr">
        <is>
          <t>KALMAR LÄN</t>
        </is>
      </c>
      <c r="G365" t="inlineStr">
        <is>
          <t>HÖGSBY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46293</v>
      </c>
      <c r="E366" s="1" t="n">
        <v>46297</v>
      </c>
      <c r="F366" t="inlineStr">
        <is>
          <t>KALMAR LÄN</t>
        </is>
      </c>
      <c r="G366" t="inlineStr">
        <is>
          <t>HÖGSBY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45012</v>
      </c>
      <c r="E367" s="1" t="n">
        <v>46297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45126</v>
      </c>
      <c r="E368" s="1" t="n">
        <v>46297</v>
      </c>
      <c r="F368" t="inlineStr">
        <is>
          <t>KALMAR LÄN</t>
        </is>
      </c>
      <c r="G368" t="inlineStr">
        <is>
          <t>HÖGSBY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33788-2026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46251</v>
      </c>
      <c r="E369" s="1" t="n">
        <v>46297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44981</v>
      </c>
      <c r="E370" s="1" t="n">
        <v>46297</v>
      </c>
      <c r="F370" t="inlineStr">
        <is>
          <t>KALMAR LÄN</t>
        </is>
      </c>
      <c r="G370" t="inlineStr">
        <is>
          <t>HÖGSBY</t>
        </is>
      </c>
      <c r="H370" t="inlineStr">
        <is>
          <t>Övriga Aktiebolag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47797-2024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45588</v>
      </c>
      <c r="E371" s="1" t="n">
        <v>46297</v>
      </c>
      <c r="F371" t="inlineStr">
        <is>
          <t>KALMAR LÄN</t>
        </is>
      </c>
      <c r="G371" t="inlineStr">
        <is>
          <t>HÖGSBY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46297</v>
      </c>
      <c r="F372" t="inlineStr">
        <is>
          <t>KALMAR LÄN</t>
        </is>
      </c>
      <c r="G372" t="inlineStr">
        <is>
          <t>HÖGSBY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46297</v>
      </c>
      <c r="F373" t="inlineStr">
        <is>
          <t>KALMAR LÄN</t>
        </is>
      </c>
      <c r="G373" t="inlineStr">
        <is>
          <t>HÖGSBY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46297</v>
      </c>
      <c r="F374" t="inlineStr">
        <is>
          <t>KALMAR LÄN</t>
        </is>
      </c>
      <c r="G374" t="inlineStr">
        <is>
          <t>HÖGSBY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45001</v>
      </c>
      <c r="E375" s="1" t="n">
        <v>46297</v>
      </c>
      <c r="F375" t="inlineStr">
        <is>
          <t>KALMAR LÄN</t>
        </is>
      </c>
      <c r="G375" t="inlineStr">
        <is>
          <t>HÖGSBY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64130-2023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45279</v>
      </c>
      <c r="E376" s="1" t="n">
        <v>46297</v>
      </c>
      <c r="F376" t="inlineStr">
        <is>
          <t>KALMAR LÄN</t>
        </is>
      </c>
      <c r="G376" t="inlineStr">
        <is>
          <t>HÖGSBY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45153</v>
      </c>
      <c r="E377" s="1" t="n">
        <v>46297</v>
      </c>
      <c r="F377" t="inlineStr">
        <is>
          <t>KALMAR LÄN</t>
        </is>
      </c>
      <c r="G377" t="inlineStr">
        <is>
          <t>HÖGSBY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10412-2022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44623</v>
      </c>
      <c r="E378" s="1" t="n">
        <v>46297</v>
      </c>
      <c r="F378" t="inlineStr">
        <is>
          <t>KALMAR LÄN</t>
        </is>
      </c>
      <c r="G378" t="inlineStr">
        <is>
          <t>HÖGSBY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53328-2022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44879</v>
      </c>
      <c r="E379" s="1" t="n">
        <v>46297</v>
      </c>
      <c r="F379" t="inlineStr">
        <is>
          <t>KALMAR LÄN</t>
        </is>
      </c>
      <c r="G379" t="inlineStr">
        <is>
          <t>HÖGSBY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46297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59408-2022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44907</v>
      </c>
      <c r="E381" s="1" t="n">
        <v>46297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46297</v>
      </c>
      <c r="F382" t="inlineStr">
        <is>
          <t>KALMAR LÄN</t>
        </is>
      </c>
      <c r="G382" t="inlineStr">
        <is>
          <t>HÖGSBY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46297</v>
      </c>
      <c r="F383" t="inlineStr">
        <is>
          <t>KALMAR LÄN</t>
        </is>
      </c>
      <c r="G383" t="inlineStr">
        <is>
          <t>HÖGSBY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44966</v>
      </c>
      <c r="E384" s="1" t="n">
        <v>46297</v>
      </c>
      <c r="F384" t="inlineStr">
        <is>
          <t>KALMAR LÄN</t>
        </is>
      </c>
      <c r="G384" t="inlineStr">
        <is>
          <t>HÖGSBY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55902-2024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46297</v>
      </c>
      <c r="F385" t="inlineStr">
        <is>
          <t>KALMAR LÄN</t>
        </is>
      </c>
      <c r="G385" t="inlineStr">
        <is>
          <t>HÖGSBY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45414</v>
      </c>
      <c r="E386" s="1" t="n">
        <v>46297</v>
      </c>
      <c r="F386" t="inlineStr">
        <is>
          <t>KALMAR LÄN</t>
        </is>
      </c>
      <c r="G386" t="inlineStr">
        <is>
          <t>HÖGSBY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34078-2024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45523</v>
      </c>
      <c r="E387" s="1" t="n">
        <v>46297</v>
      </c>
      <c r="F387" t="inlineStr">
        <is>
          <t>KALMAR LÄN</t>
        </is>
      </c>
      <c r="G387" t="inlineStr">
        <is>
          <t>HÖGSBY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21569-2025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45782</v>
      </c>
      <c r="E388" s="1" t="n">
        <v>46297</v>
      </c>
      <c r="F388" t="inlineStr">
        <is>
          <t>KALMAR LÄN</t>
        </is>
      </c>
      <c r="G388" t="inlineStr">
        <is>
          <t>HÖGSBY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45170</v>
      </c>
      <c r="E389" s="1" t="n">
        <v>46297</v>
      </c>
      <c r="F389" t="inlineStr">
        <is>
          <t>KALMAR LÄN</t>
        </is>
      </c>
      <c r="G389" t="inlineStr">
        <is>
          <t>HÖGSBY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40137-2024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45554</v>
      </c>
      <c r="E390" s="1" t="n">
        <v>46297</v>
      </c>
      <c r="F390" t="inlineStr">
        <is>
          <t>KALMAR LÄN</t>
        </is>
      </c>
      <c r="G390" t="inlineStr">
        <is>
          <t>HÖGSBY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  <c r="Z390">
        <f>HYPERLINK("https://klasma.github.io/Logging_0821/knärot/A 40137-2024 karta knärot.png", "A 40137-2024")</f>
        <v/>
      </c>
      <c r="AA390">
        <f>HYPERLINK("https://klasma.github.io/Logging_0821/klagomål/A 40137-2024 FSC-klagomål.docx", "A 40137-2024")</f>
        <v/>
      </c>
      <c r="AB390">
        <f>HYPERLINK("https://klasma.github.io/Logging_0821/klagomålsmail/A 40137-2024 FSC-klagomål mail.docx", "A 40137-2024")</f>
        <v/>
      </c>
      <c r="AC390">
        <f>HYPERLINK("https://klasma.github.io/Logging_0821/tillsyn/A 40137-2024 tillsynsbegäran.docx", "A 40137-2024")</f>
        <v/>
      </c>
      <c r="AD390">
        <f>HYPERLINK("https://klasma.github.io/Logging_0821/tillsynsmail/A 40137-2024 tillsynsbegäran mail.docx", "A 40137-2024")</f>
        <v/>
      </c>
    </row>
    <row r="391" ht="15" customHeight="1">
      <c r="A391" t="inlineStr">
        <is>
          <t>S 566-2022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44592</v>
      </c>
      <c r="E391" s="1" t="n">
        <v>46297</v>
      </c>
      <c r="F391" t="inlineStr">
        <is>
          <t>KALMAR LÄN</t>
        </is>
      </c>
      <c r="G391" t="inlineStr">
        <is>
          <t>HÖGSBY</t>
        </is>
      </c>
      <c r="I391" t="n">
        <v>15.1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46297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46297</v>
      </c>
      <c r="F393" t="inlineStr">
        <is>
          <t>KALMAR LÄN</t>
        </is>
      </c>
      <c r="G393" t="inlineStr">
        <is>
          <t>HÖGSBY</t>
        </is>
      </c>
      <c r="I393" t="n">
        <v>12.4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4463-2022</t>
        </is>
      </c>
      <c r="B394" t="inlineStr">
        <is>
          <t>samrådsanmälan</t>
        </is>
      </c>
      <c r="C394" t="inlineStr">
        <is>
          <t>Åtgärd i nyckelbiotop</t>
        </is>
      </c>
      <c r="D394" s="1" t="n">
        <v>44788</v>
      </c>
      <c r="E394" s="1" t="n">
        <v>46297</v>
      </c>
      <c r="F394" t="inlineStr">
        <is>
          <t>KALMAR LÄN</t>
        </is>
      </c>
      <c r="G394" t="inlineStr">
        <is>
          <t>HÖGSBY</t>
        </is>
      </c>
      <c r="H394" t="inlineStr">
        <is>
          <t>Sveaskog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3208-2024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45524</v>
      </c>
      <c r="E395" s="1" t="n">
        <v>46297</v>
      </c>
      <c r="F395" t="inlineStr">
        <is>
          <t>KALMAR LÄN</t>
        </is>
      </c>
      <c r="G395" t="inlineStr">
        <is>
          <t>HÖGSBY</t>
        </is>
      </c>
      <c r="I395" t="n">
        <v>23.3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7006-2022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44903</v>
      </c>
      <c r="E396" s="1" t="n">
        <v>46297</v>
      </c>
      <c r="F396" t="inlineStr">
        <is>
          <t>KALMAR LÄN</t>
        </is>
      </c>
      <c r="G396" t="inlineStr">
        <is>
          <t>HÖGSBY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514-2023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46297</v>
      </c>
      <c r="F397" t="inlineStr">
        <is>
          <t>KALMAR LÄN</t>
        </is>
      </c>
      <c r="G397" t="inlineStr">
        <is>
          <t>HÖGSBY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512-2023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46297</v>
      </c>
      <c r="F398" t="inlineStr">
        <is>
          <t>KALMAR LÄN</t>
        </is>
      </c>
      <c r="G398" t="inlineStr">
        <is>
          <t>HÖGSBY</t>
        </is>
      </c>
      <c r="I398" t="n">
        <v>8.5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2564-2023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46297</v>
      </c>
      <c r="F399" t="inlineStr">
        <is>
          <t>KALMAR LÄN</t>
        </is>
      </c>
      <c r="G399" t="inlineStr">
        <is>
          <t>HÖGSBY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2563-2023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46297</v>
      </c>
      <c r="F400" t="inlineStr">
        <is>
          <t>KALMAR LÄN</t>
        </is>
      </c>
      <c r="G400" t="inlineStr">
        <is>
          <t>HÖGSBY</t>
        </is>
      </c>
      <c r="I400" t="n">
        <v>28.7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46297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2021-2025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45835</v>
      </c>
      <c r="E402" s="1" t="n">
        <v>46297</v>
      </c>
      <c r="F402" t="inlineStr">
        <is>
          <t>KALMAR LÄN</t>
        </is>
      </c>
      <c r="G402" t="inlineStr">
        <is>
          <t>HÖGSBY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379-2023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44958</v>
      </c>
      <c r="E403" s="1" t="n">
        <v>46297</v>
      </c>
      <c r="F403" t="inlineStr">
        <is>
          <t>KALMAR LÄN</t>
        </is>
      </c>
      <c r="G403" t="inlineStr">
        <is>
          <t>HÖGSBY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351-2023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46297</v>
      </c>
      <c r="F404" t="inlineStr">
        <is>
          <t>KALMAR LÄN</t>
        </is>
      </c>
      <c r="G404" t="inlineStr">
        <is>
          <t>HÖGSBY</t>
        </is>
      </c>
      <c r="I404" t="n">
        <v>21.3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2809-2025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45938</v>
      </c>
      <c r="E405" s="1" t="n">
        <v>46297</v>
      </c>
      <c r="F405" t="inlineStr">
        <is>
          <t>KALMAR LÄN</t>
        </is>
      </c>
      <c r="G405" t="inlineStr">
        <is>
          <t>HÖGSBY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1031-2026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46297</v>
      </c>
      <c r="F406" t="inlineStr">
        <is>
          <t>KALMAR LÄN</t>
        </is>
      </c>
      <c r="G406" t="inlineStr">
        <is>
          <t>HÖGSBY</t>
        </is>
      </c>
      <c r="I406" t="n">
        <v>10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1417-2026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46155</v>
      </c>
      <c r="E407" s="1" t="n">
        <v>46297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46297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46297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1866-2026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46199</v>
      </c>
      <c r="E410" s="1" t="n">
        <v>46297</v>
      </c>
      <c r="F410" t="inlineStr">
        <is>
          <t>KALMAR LÄN</t>
        </is>
      </c>
      <c r="G410" t="inlineStr">
        <is>
          <t>HÖGSBY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46297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46297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1938-2026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46203</v>
      </c>
      <c r="E413" s="1" t="n">
        <v>46297</v>
      </c>
      <c r="F413" t="inlineStr">
        <is>
          <t>KALMAR LÄN</t>
        </is>
      </c>
      <c r="G413" t="inlineStr">
        <is>
          <t>HÖGSBY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2165-2026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46251</v>
      </c>
      <c r="E414" s="1" t="n">
        <v>46297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2026-10-02T02:04:59Z</dcterms:created>
  <dcterms:modified xmlns:dcterms="http://purl.org/dc/terms/" xmlns:xsi="http://www.w3.org/2001/XMLSchema-instance" xsi:type="dcterms:W3CDTF">2026-10-02T02:04:59Z</dcterms:modified>
</cp:coreProperties>
</file>