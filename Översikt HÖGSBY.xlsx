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46283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46283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46283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46283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46283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46283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46283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46283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46283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46283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46283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46283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46283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62412-2023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46283</v>
      </c>
      <c r="F15" t="inlineStr">
        <is>
          <t>KALMAR LÄN</t>
        </is>
      </c>
      <c r="G15" t="inlineStr">
        <is>
          <t>HÖGSBY</t>
        </is>
      </c>
      <c r="I15" t="n">
        <v>7.7</v>
      </c>
      <c r="J15" t="n">
        <v>1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6</v>
      </c>
      <c r="U15" t="n">
        <v>0</v>
      </c>
      <c r="V15" s="2" t="inlineStr">
        <is>
          <t>Vedtrappmossa
Bronshjon
Flagellkvastmossa
Vågbandad barkbock
Tjäder</t>
        </is>
      </c>
      <c r="W15">
        <f>HYPERLINK("https://klasma.github.io/Logging_0821/artfynd/A 62412-2023 artfynd.xlsx", "A 62412-2023")</f>
        <v/>
      </c>
      <c r="X15">
        <f>HYPERLINK("https://klasma.github.io/Logging_0821/kartor/A 62412-2023 karta.png", "A 62412-2023")</f>
        <v/>
      </c>
      <c r="Y15">
        <f>HYPERLINK("https://klasma.github.io/Logging_0821/kartor_geotiff/A 62412-2023 georefererad karta.tif", "A 62412-2023")</f>
        <v/>
      </c>
      <c r="AA15">
        <f>HYPERLINK("https://klasma.github.io/Logging_0821/klagomål/A 62412-2023 FSC-klagomål.docx", "A 62412-2023")</f>
        <v/>
      </c>
      <c r="AB15">
        <f>HYPERLINK("https://klasma.github.io/Logging_0821/klagomålsmail/A 62412-2023 FSC-klagomål mail.docx", "A 62412-2023")</f>
        <v/>
      </c>
      <c r="AC15">
        <f>HYPERLINK("https://klasma.github.io/Logging_0821/tillsyn/A 62412-2023 tillsynsbegäran.docx", "A 62412-2023")</f>
        <v/>
      </c>
      <c r="AD15">
        <f>HYPERLINK("https://klasma.github.io/Logging_0821/tillsynsmail/A 62412-2023 tillsynsbegäran mail.docx", "A 62412-2023")</f>
        <v/>
      </c>
      <c r="AE15">
        <f>HYPERLINK("https://klasma.github.io/Logging_0821/fåglar/A 62412-2023 prioriterade fågelarter.docx", "A 62412-2023")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46283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57171-2022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44895</v>
      </c>
      <c r="E17" s="1" t="n">
        <v>46283</v>
      </c>
      <c r="F17" t="inlineStr">
        <is>
          <t>KALMAR LÄN</t>
        </is>
      </c>
      <c r="G17" t="inlineStr">
        <is>
          <t>HÖGSBY</t>
        </is>
      </c>
      <c r="I17" t="n">
        <v>4.3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Gulsparv
Mindre träfjäril
Talltita
Gröngöling</t>
        </is>
      </c>
      <c r="W17">
        <f>HYPERLINK("https://klasma.github.io/Logging_0821/artfynd/A 57171-2022 artfynd.xlsx", "A 57171-2022")</f>
        <v/>
      </c>
      <c r="X17">
        <f>HYPERLINK("https://klasma.github.io/Logging_0821/kartor/A 57171-2022 karta.png", "A 57171-2022")</f>
        <v/>
      </c>
      <c r="Y17">
        <f>HYPERLINK("https://klasma.github.io/Logging_0821/kartor_geotiff/A 57171-2022 georefererad karta.tif", "A 57171-2022")</f>
        <v/>
      </c>
      <c r="AA17">
        <f>HYPERLINK("https://klasma.github.io/Logging_0821/klagomål/A 57171-2022 FSC-klagomål.docx", "A 57171-2022")</f>
        <v/>
      </c>
      <c r="AB17">
        <f>HYPERLINK("https://klasma.github.io/Logging_0821/klagomålsmail/A 57171-2022 FSC-klagomål mail.docx", "A 57171-2022")</f>
        <v/>
      </c>
      <c r="AC17">
        <f>HYPERLINK("https://klasma.github.io/Logging_0821/tillsyn/A 57171-2022 tillsynsbegäran.docx", "A 57171-2022")</f>
        <v/>
      </c>
      <c r="AD17">
        <f>HYPERLINK("https://klasma.github.io/Logging_0821/tillsynsmail/A 57171-2022 tillsynsbegäran mail.docx", "A 57171-2022")</f>
        <v/>
      </c>
      <c r="AE17">
        <f>HYPERLINK("https://klasma.github.io/Logging_0821/fåglar/A 57171-2022 prioriterade fågelarter.docx", "A 57171-2022")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46283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46283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46283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58017-2025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45982</v>
      </c>
      <c r="E21" s="1" t="n">
        <v>46283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8.4</v>
      </c>
      <c r="J21" t="n">
        <v>0</v>
      </c>
      <c r="K21" t="n">
        <v>3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Backvickermal
Björksplintborre
Blåmossa
Kornknutmossa</t>
        </is>
      </c>
      <c r="W21">
        <f>HYPERLINK("https://klasma.github.io/Logging_0821/artfynd/A 58017-2025 artfynd.xlsx", "A 58017-2025")</f>
        <v/>
      </c>
      <c r="X21">
        <f>HYPERLINK("https://klasma.github.io/Logging_0821/kartor/A 58017-2025 karta.png", "A 58017-2025")</f>
        <v/>
      </c>
      <c r="Y21">
        <f>HYPERLINK("https://klasma.github.io/Logging_0821/kartor_geotiff/A 58017-2025 georefererad karta.tif", "A 58017-2025")</f>
        <v/>
      </c>
      <c r="AA21">
        <f>HYPERLINK("https://klasma.github.io/Logging_0821/klagomål/A 58017-2025 FSC-klagomål.docx", "A 58017-2025")</f>
        <v/>
      </c>
      <c r="AB21">
        <f>HYPERLINK("https://klasma.github.io/Logging_0821/klagomålsmail/A 58017-2025 FSC-klagomål mail.docx", "A 58017-2025")</f>
        <v/>
      </c>
      <c r="AC21">
        <f>HYPERLINK("https://klasma.github.io/Logging_0821/tillsyn/A 58017-2025 tillsynsbegäran.docx", "A 58017-2025")</f>
        <v/>
      </c>
      <c r="AD21">
        <f>HYPERLINK("https://klasma.github.io/Logging_0821/tillsynsmail/A 58017-2025 tillsynsbegäran mail.docx", "A 58017-2025")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46283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9384-2024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45359</v>
      </c>
      <c r="E23" s="1" t="n">
        <v>46283</v>
      </c>
      <c r="F23" t="inlineStr">
        <is>
          <t>KALMAR LÄN</t>
        </is>
      </c>
      <c r="G23" t="inlineStr">
        <is>
          <t>HÖGSBY</t>
        </is>
      </c>
      <c r="I23" t="n">
        <v>0.7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Fjällig taggsvamp s.str.
Gultoppig fingersvamp
Skarp dropptaggsvamp</t>
        </is>
      </c>
      <c r="W23">
        <f>HYPERLINK("https://klasma.github.io/Logging_0821/artfynd/A 9384-2024 artfynd.xlsx", "A 9384-2024")</f>
        <v/>
      </c>
      <c r="X23">
        <f>HYPERLINK("https://klasma.github.io/Logging_0821/kartor/A 9384-2024 karta.png", "A 9384-2024")</f>
        <v/>
      </c>
      <c r="Y23">
        <f>HYPERLINK("https://klasma.github.io/Logging_0821/kartor_geotiff/A 9384-2024 georefererad karta.tif", "A 9384-2024")</f>
        <v/>
      </c>
      <c r="AA23">
        <f>HYPERLINK("https://klasma.github.io/Logging_0821/klagomål/A 9384-2024 FSC-klagomål.docx", "A 9384-2024")</f>
        <v/>
      </c>
      <c r="AB23">
        <f>HYPERLINK("https://klasma.github.io/Logging_0821/klagomålsmail/A 9384-2024 FSC-klagomål mail.docx", "A 9384-2024")</f>
        <v/>
      </c>
      <c r="AC23">
        <f>HYPERLINK("https://klasma.github.io/Logging_0821/tillsyn/A 9384-2024 tillsynsbegäran.docx", "A 9384-2024")</f>
        <v/>
      </c>
      <c r="AD23">
        <f>HYPERLINK("https://klasma.github.io/Logging_0821/tillsynsmail/A 9384-2024 tillsynsbegäran mail.docx", "A 9384-2024")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46283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46283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46283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46283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46283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62431-2023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46283</v>
      </c>
      <c r="F29" t="inlineStr">
        <is>
          <t>KALMAR LÄN</t>
        </is>
      </c>
      <c r="G29" t="inlineStr">
        <is>
          <t>HÖGSBY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Tallticka
Tjäder</t>
        </is>
      </c>
      <c r="W29">
        <f>HYPERLINK("https://klasma.github.io/Logging_0821/artfynd/A 62431-2023 artfynd.xlsx", "A 62431-2023")</f>
        <v/>
      </c>
      <c r="X29">
        <f>HYPERLINK("https://klasma.github.io/Logging_0821/kartor/A 62431-2023 karta.png", "A 62431-2023")</f>
        <v/>
      </c>
      <c r="Y29">
        <f>HYPERLINK("https://klasma.github.io/Logging_0821/kartor_geotiff/A 62431-2023 georefererad karta.tif", "A 62431-2023")</f>
        <v/>
      </c>
      <c r="AA29">
        <f>HYPERLINK("https://klasma.github.io/Logging_0821/klagomål/A 62431-2023 FSC-klagomål.docx", "A 62431-2023")</f>
        <v/>
      </c>
      <c r="AB29">
        <f>HYPERLINK("https://klasma.github.io/Logging_0821/klagomålsmail/A 62431-2023 FSC-klagomål mail.docx", "A 62431-2023")</f>
        <v/>
      </c>
      <c r="AC29">
        <f>HYPERLINK("https://klasma.github.io/Logging_0821/tillsyn/A 62431-2023 tillsynsbegäran.docx", "A 62431-2023")</f>
        <v/>
      </c>
      <c r="AD29">
        <f>HYPERLINK("https://klasma.github.io/Logging_0821/tillsynsmail/A 62431-2023 tillsynsbegäran mail.docx", "A 62431-2023")</f>
        <v/>
      </c>
      <c r="AE29">
        <f>HYPERLINK("https://klasma.github.io/Logging_0821/fåglar/A 62431-2023 prioriterade fågelarter.docx", "A 62431-2023")</f>
        <v/>
      </c>
    </row>
    <row r="30" ht="15" customHeight="1">
      <c r="A30" t="inlineStr">
        <is>
          <t>A 62394-2023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46283</v>
      </c>
      <c r="F30" t="inlineStr">
        <is>
          <t>KALMAR LÄN</t>
        </is>
      </c>
      <c r="G30" t="inlineStr">
        <is>
          <t>HÖGSBY</t>
        </is>
      </c>
      <c r="I30" t="n">
        <v>4.1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Kattfotslav
Flagellkvastmossa</t>
        </is>
      </c>
      <c r="W30">
        <f>HYPERLINK("https://klasma.github.io/Logging_0821/artfynd/A 62394-2023 artfynd.xlsx", "A 62394-2023")</f>
        <v/>
      </c>
      <c r="X30">
        <f>HYPERLINK("https://klasma.github.io/Logging_0821/kartor/A 62394-2023 karta.png", "A 62394-2023")</f>
        <v/>
      </c>
      <c r="Y30">
        <f>HYPERLINK("https://klasma.github.io/Logging_0821/kartor_geotiff/A 62394-2023 georefererad karta.tif", "A 62394-2023")</f>
        <v/>
      </c>
      <c r="AA30">
        <f>HYPERLINK("https://klasma.github.io/Logging_0821/klagomål/A 62394-2023 FSC-klagomål.docx", "A 62394-2023")</f>
        <v/>
      </c>
      <c r="AB30">
        <f>HYPERLINK("https://klasma.github.io/Logging_0821/klagomålsmail/A 62394-2023 FSC-klagomål mail.docx", "A 62394-2023")</f>
        <v/>
      </c>
      <c r="AC30">
        <f>HYPERLINK("https://klasma.github.io/Logging_0821/tillsyn/A 62394-2023 tillsynsbegäran.docx", "A 62394-2023")</f>
        <v/>
      </c>
      <c r="AD30">
        <f>HYPERLINK("https://klasma.github.io/Logging_0821/tillsynsmail/A 62394-2023 tillsynsbegäran mail.docx", "A 62394-2023")</f>
        <v/>
      </c>
    </row>
    <row r="31" ht="15" customHeight="1">
      <c r="A31" t="inlineStr">
        <is>
          <t>A 9616-2022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44617</v>
      </c>
      <c r="E31" s="1" t="n">
        <v>46283</v>
      </c>
      <c r="F31" t="inlineStr">
        <is>
          <t>KALMAR LÄN</t>
        </is>
      </c>
      <c r="G31" t="inlineStr">
        <is>
          <t>HÖGSBY</t>
        </is>
      </c>
      <c r="I31" t="n">
        <v>6.4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Knippnejlika
Solvända</t>
        </is>
      </c>
      <c r="W31">
        <f>HYPERLINK("https://klasma.github.io/Logging_0821/artfynd/A 9616-2022 artfynd.xlsx", "A 9616-2022")</f>
        <v/>
      </c>
      <c r="X31">
        <f>HYPERLINK("https://klasma.github.io/Logging_0821/kartor/A 9616-2022 karta.png", "A 9616-2022")</f>
        <v/>
      </c>
      <c r="Y31">
        <f>HYPERLINK("https://klasma.github.io/Logging_0821/kartor_geotiff/A 9616-2022 georefererad karta.tif", "A 9616-2022")</f>
        <v/>
      </c>
      <c r="AA31">
        <f>HYPERLINK("https://klasma.github.io/Logging_0821/klagomål/A 9616-2022 FSC-klagomål.docx", "A 9616-2022")</f>
        <v/>
      </c>
      <c r="AB31">
        <f>HYPERLINK("https://klasma.github.io/Logging_0821/klagomålsmail/A 9616-2022 FSC-klagomål mail.docx", "A 9616-2022")</f>
        <v/>
      </c>
      <c r="AC31">
        <f>HYPERLINK("https://klasma.github.io/Logging_0821/tillsyn/A 9616-2022 tillsynsbegäran.docx", "A 9616-2022")</f>
        <v/>
      </c>
      <c r="AD31">
        <f>HYPERLINK("https://klasma.github.io/Logging_0821/tillsynsmail/A 9616-2022 tillsynsbegäran mail.docx", "A 9616-2022")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46283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46283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46283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46283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5667-2026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46051</v>
      </c>
      <c r="E36" s="1" t="n">
        <v>46283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19.8</v>
      </c>
      <c r="J36" t="n">
        <v>0</v>
      </c>
      <c r="K36" t="n">
        <v>0</v>
      </c>
      <c r="L36" t="n">
        <v>0</v>
      </c>
      <c r="M36" t="n">
        <v>2</v>
      </c>
      <c r="N36" t="n">
        <v>0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Slåttergubbe
Slåttergubbemal</t>
        </is>
      </c>
      <c r="W36">
        <f>HYPERLINK("https://klasma.github.io/Logging_0821/artfynd/A 5667-2026 artfynd.xlsx", "A 5667-2026")</f>
        <v/>
      </c>
      <c r="X36">
        <f>HYPERLINK("https://klasma.github.io/Logging_0821/kartor/A 5667-2026 karta.png", "A 5667-2026")</f>
        <v/>
      </c>
      <c r="Y36">
        <f>HYPERLINK("https://klasma.github.io/Logging_0821/kartor_geotiff/A 5667-2026 georefererad karta.tif", "A 5667-2026")</f>
        <v/>
      </c>
      <c r="AA36">
        <f>HYPERLINK("https://klasma.github.io/Logging_0821/klagomål/A 5667-2026 FSC-klagomål.docx", "A 5667-2026")</f>
        <v/>
      </c>
      <c r="AB36">
        <f>HYPERLINK("https://klasma.github.io/Logging_0821/klagomålsmail/A 5667-2026 FSC-klagomål mail.docx", "A 5667-2026")</f>
        <v/>
      </c>
      <c r="AC36">
        <f>HYPERLINK("https://klasma.github.io/Logging_0821/tillsyn/A 5667-2026 tillsynsbegäran.docx", "A 5667-2026")</f>
        <v/>
      </c>
      <c r="AD36">
        <f>HYPERLINK("https://klasma.github.io/Logging_0821/tillsynsmail/A 5667-2026 tillsynsbegäran mail.docx", "A 5667-2026")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46283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46283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46283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17994-2026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46124</v>
      </c>
      <c r="E40" s="1" t="n">
        <v>46283</v>
      </c>
      <c r="F40" t="inlineStr">
        <is>
          <t>KALMAR LÄN</t>
        </is>
      </c>
      <c r="G40" t="inlineStr">
        <is>
          <t>HÖGSBY</t>
        </is>
      </c>
      <c r="I40" t="n">
        <v>1.7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Mindre bastardsvärmare</t>
        </is>
      </c>
      <c r="W40">
        <f>HYPERLINK("https://klasma.github.io/Logging_0821/artfynd/A 17994-2026 artfynd.xlsx", "A 17994-2026")</f>
        <v/>
      </c>
      <c r="X40">
        <f>HYPERLINK("https://klasma.github.io/Logging_0821/kartor/A 17994-2026 karta.png", "A 17994-2026")</f>
        <v/>
      </c>
      <c r="Y40">
        <f>HYPERLINK("https://klasma.github.io/Logging_0821/kartor_geotiff/A 17994-2026 georefererad karta.tif", "A 17994-2026")</f>
        <v/>
      </c>
      <c r="AA40">
        <f>HYPERLINK("https://klasma.github.io/Logging_0821/klagomål/A 17994-2026 FSC-klagomål.docx", "A 17994-2026")</f>
        <v/>
      </c>
      <c r="AB40">
        <f>HYPERLINK("https://klasma.github.io/Logging_0821/klagomålsmail/A 17994-2026 FSC-klagomål mail.docx", "A 17994-2026")</f>
        <v/>
      </c>
      <c r="AC40">
        <f>HYPERLINK("https://klasma.github.io/Logging_0821/tillsyn/A 17994-2026 tillsynsbegäran.docx", "A 17994-2026")</f>
        <v/>
      </c>
      <c r="AD40">
        <f>HYPERLINK("https://klasma.github.io/Logging_0821/tillsynsmail/A 17994-2026 tillsynsbegäran mail.docx", "A 17994-2026")</f>
        <v/>
      </c>
    </row>
    <row r="41" ht="15" customHeight="1">
      <c r="A41" t="inlineStr">
        <is>
          <t>A 19463-2026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46283</v>
      </c>
      <c r="F41" t="inlineStr">
        <is>
          <t>KALMAR LÄN</t>
        </is>
      </c>
      <c r="G41" t="inlineStr">
        <is>
          <t>HÖGSBY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HYPERLINK("https://klasma.github.io/Logging_0821/artfynd/A 19463-2026 artfynd.xlsx", "A 19463-2026")</f>
        <v/>
      </c>
      <c r="X41">
        <f>HYPERLINK("https://klasma.github.io/Logging_0821/kartor/A 19463-2026 karta.png", "A 19463-2026")</f>
        <v/>
      </c>
      <c r="Y41">
        <f>HYPERLINK("https://klasma.github.io/Logging_0821/kartor_geotiff/A 19463-2026 georefererad karta.tif", "A 19463-2026")</f>
        <v/>
      </c>
      <c r="AA41">
        <f>HYPERLINK("https://klasma.github.io/Logging_0821/klagomål/A 19463-2026 FSC-klagomål.docx", "A 19463-2026")</f>
        <v/>
      </c>
      <c r="AB41">
        <f>HYPERLINK("https://klasma.github.io/Logging_0821/klagomålsmail/A 19463-2026 FSC-klagomål mail.docx", "A 19463-2026")</f>
        <v/>
      </c>
      <c r="AC41">
        <f>HYPERLINK("https://klasma.github.io/Logging_0821/tillsyn/A 19463-2026 tillsynsbegäran.docx", "A 19463-2026")</f>
        <v/>
      </c>
      <c r="AD41">
        <f>HYPERLINK("https://klasma.github.io/Logging_0821/tillsynsmail/A 19463-2026 tillsynsbegäran mail.docx", "A 19463-2026")</f>
        <v/>
      </c>
    </row>
    <row r="42" ht="15" customHeight="1">
      <c r="A42" t="inlineStr">
        <is>
          <t>A 19536-2026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46283</v>
      </c>
      <c r="F42" t="inlineStr">
        <is>
          <t>KALMAR LÄN</t>
        </is>
      </c>
      <c r="G42" t="inlineStr">
        <is>
          <t>HÖGSBY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19536-2026 artfynd.xlsx", "A 19536-2026")</f>
        <v/>
      </c>
      <c r="X42">
        <f>HYPERLINK("https://klasma.github.io/Logging_0821/kartor/A 19536-2026 karta.png", "A 19536-2026")</f>
        <v/>
      </c>
      <c r="Y42">
        <f>HYPERLINK("https://klasma.github.io/Logging_0821/kartor_geotiff/A 19536-2026 georefererad karta.tif", "A 19536-2026")</f>
        <v/>
      </c>
      <c r="AA42">
        <f>HYPERLINK("https://klasma.github.io/Logging_0821/klagomål/A 19536-2026 FSC-klagomål.docx", "A 19536-2026")</f>
        <v/>
      </c>
      <c r="AB42">
        <f>HYPERLINK("https://klasma.github.io/Logging_0821/klagomålsmail/A 19536-2026 FSC-klagomål mail.docx", "A 19536-2026")</f>
        <v/>
      </c>
      <c r="AC42">
        <f>HYPERLINK("https://klasma.github.io/Logging_0821/tillsyn/A 19536-2026 tillsynsbegäran.docx", "A 19536-2026")</f>
        <v/>
      </c>
      <c r="AD42">
        <f>HYPERLINK("https://klasma.github.io/Logging_0821/tillsynsmail/A 19536-2026 tillsynsbegäran mail.docx", "A 19536-2026")</f>
        <v/>
      </c>
      <c r="AE42">
        <f>HYPERLINK("https://klasma.github.io/Logging_0821/fåglar/A 19536-2026 prioriterade fågelarter.docx", "A 19536-2026")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46283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24911-2023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45085</v>
      </c>
      <c r="E44" s="1" t="n">
        <v>46283</v>
      </c>
      <c r="F44" t="inlineStr">
        <is>
          <t>KALMAR LÄN</t>
        </is>
      </c>
      <c r="G44" t="inlineStr">
        <is>
          <t>HÖGSBY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Sotlav</t>
        </is>
      </c>
      <c r="W44">
        <f>HYPERLINK("https://klasma.github.io/Logging_0821/artfynd/A 24911-2023 artfynd.xlsx", "A 24911-2023")</f>
        <v/>
      </c>
      <c r="X44">
        <f>HYPERLINK("https://klasma.github.io/Logging_0821/kartor/A 24911-2023 karta.png", "A 24911-2023")</f>
        <v/>
      </c>
      <c r="Y44">
        <f>HYPERLINK("https://klasma.github.io/Logging_0821/kartor_geotiff/A 24911-2023 georefererad karta.tif", "A 24911-2023")</f>
        <v/>
      </c>
      <c r="AA44">
        <f>HYPERLINK("https://klasma.github.io/Logging_0821/klagomål/A 24911-2023 FSC-klagomål.docx", "A 24911-2023")</f>
        <v/>
      </c>
      <c r="AB44">
        <f>HYPERLINK("https://klasma.github.io/Logging_0821/klagomålsmail/A 24911-2023 FSC-klagomål mail.docx", "A 24911-2023")</f>
        <v/>
      </c>
      <c r="AC44">
        <f>HYPERLINK("https://klasma.github.io/Logging_0821/tillsyn/A 24911-2023 tillsynsbegäran.docx", "A 24911-2023")</f>
        <v/>
      </c>
      <c r="AD44">
        <f>HYPERLINK("https://klasma.github.io/Logging_0821/tillsynsmail/A 24911-2023 tillsynsbegäran mail.docx", "A 24911-2023")</f>
        <v/>
      </c>
    </row>
    <row r="45" ht="15" customHeight="1">
      <c r="A45" t="inlineStr">
        <is>
          <t>A 52177-2022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44868</v>
      </c>
      <c r="E45" s="1" t="n">
        <v>46283</v>
      </c>
      <c r="F45" t="inlineStr">
        <is>
          <t>KALMAR LÄN</t>
        </is>
      </c>
      <c r="G45" t="inlineStr">
        <is>
          <t>HÖGSBY</t>
        </is>
      </c>
      <c r="I45" t="n">
        <v>0.9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Nordfladdermus</t>
        </is>
      </c>
      <c r="W45">
        <f>HYPERLINK("https://klasma.github.io/Logging_0821/artfynd/A 52177-2022 artfynd.xlsx", "A 52177-2022")</f>
        <v/>
      </c>
      <c r="X45">
        <f>HYPERLINK("https://klasma.github.io/Logging_0821/kartor/A 52177-2022 karta.png", "A 52177-2022")</f>
        <v/>
      </c>
      <c r="Y45">
        <f>HYPERLINK("https://klasma.github.io/Logging_0821/kartor_geotiff/A 52177-2022 georefererad karta.tif", "A 52177-2022")</f>
        <v/>
      </c>
      <c r="AA45">
        <f>HYPERLINK("https://klasma.github.io/Logging_0821/klagomål/A 52177-2022 FSC-klagomål.docx", "A 52177-2022")</f>
        <v/>
      </c>
      <c r="AB45">
        <f>HYPERLINK("https://klasma.github.io/Logging_0821/klagomålsmail/A 52177-2022 FSC-klagomål mail.docx", "A 52177-2022")</f>
        <v/>
      </c>
      <c r="AC45">
        <f>HYPERLINK("https://klasma.github.io/Logging_0821/tillsyn/A 52177-2022 tillsynsbegäran.docx", "A 52177-2022")</f>
        <v/>
      </c>
      <c r="AD45">
        <f>HYPERLINK("https://klasma.github.io/Logging_0821/tillsynsmail/A 52177-2022 tillsynsbegäran mail.docx", "A 52177-2022")</f>
        <v/>
      </c>
    </row>
    <row r="46" ht="15" customHeight="1">
      <c r="A46" t="inlineStr">
        <is>
          <t>A 58792-2022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46283</v>
      </c>
      <c r="F46" t="inlineStr">
        <is>
          <t>KALMAR LÄN</t>
        </is>
      </c>
      <c r="G46" t="inlineStr">
        <is>
          <t>HÖGSBY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Nattviol</t>
        </is>
      </c>
      <c r="W46">
        <f>HYPERLINK("https://klasma.github.io/Logging_0821/artfynd/A 58792-2022 artfynd.xlsx", "A 58792-2022")</f>
        <v/>
      </c>
      <c r="X46">
        <f>HYPERLINK("https://klasma.github.io/Logging_0821/kartor/A 58792-2022 karta.png", "A 58792-2022")</f>
        <v/>
      </c>
      <c r="Y46">
        <f>HYPERLINK("https://klasma.github.io/Logging_0821/kartor_geotiff/A 58792-2022 georefererad karta.tif", "A 58792-2022")</f>
        <v/>
      </c>
      <c r="AA46">
        <f>HYPERLINK("https://klasma.github.io/Logging_0821/klagomål/A 58792-2022 FSC-klagomål.docx", "A 58792-2022")</f>
        <v/>
      </c>
      <c r="AB46">
        <f>HYPERLINK("https://klasma.github.io/Logging_0821/klagomålsmail/A 58792-2022 FSC-klagomål mail.docx", "A 58792-2022")</f>
        <v/>
      </c>
      <c r="AC46">
        <f>HYPERLINK("https://klasma.github.io/Logging_0821/tillsyn/A 58792-2022 tillsynsbegäran.docx", "A 58792-2022")</f>
        <v/>
      </c>
      <c r="AD46">
        <f>HYPERLINK("https://klasma.github.io/Logging_0821/tillsynsmail/A 58792-2022 tillsynsbegäran mail.docx", "A 58792-2022")</f>
        <v/>
      </c>
    </row>
    <row r="47" ht="15" customHeight="1">
      <c r="A47" t="inlineStr">
        <is>
          <t>A 23859-2026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46283</v>
      </c>
      <c r="F47" t="inlineStr">
        <is>
          <t>KALMAR LÄN</t>
        </is>
      </c>
      <c r="G47" t="inlineStr">
        <is>
          <t>HÖGSBY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HYPERLINK("https://klasma.github.io/Logging_0821/artfynd/A 23859-2026 artfynd.xlsx", "A 23859-2026")</f>
        <v/>
      </c>
      <c r="X47">
        <f>HYPERLINK("https://klasma.github.io/Logging_0821/kartor/A 23859-2026 karta.png", "A 23859-2026")</f>
        <v/>
      </c>
      <c r="Y47">
        <f>HYPERLINK("https://klasma.github.io/Logging_0821/kartor_geotiff/A 23859-2026 georefererad karta.tif", "A 23859-2026")</f>
        <v/>
      </c>
      <c r="AA47">
        <f>HYPERLINK("https://klasma.github.io/Logging_0821/klagomål/A 23859-2026 FSC-klagomål.docx", "A 23859-2026")</f>
        <v/>
      </c>
      <c r="AB47">
        <f>HYPERLINK("https://klasma.github.io/Logging_0821/klagomålsmail/A 23859-2026 FSC-klagomål mail.docx", "A 23859-2026")</f>
        <v/>
      </c>
      <c r="AC47">
        <f>HYPERLINK("https://klasma.github.io/Logging_0821/tillsyn/A 23859-2026 tillsynsbegäran.docx", "A 23859-2026")</f>
        <v/>
      </c>
      <c r="AD47">
        <f>HYPERLINK("https://klasma.github.io/Logging_0821/tillsynsmail/A 23859-2026 tillsynsbegäran mail.docx", "A 23859-2026")</f>
        <v/>
      </c>
    </row>
    <row r="48" ht="15" customHeight="1">
      <c r="A48" t="inlineStr">
        <is>
          <t>A 59407-2022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44907</v>
      </c>
      <c r="E48" s="1" t="n">
        <v>46283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1</v>
      </c>
      <c r="V48" s="2" t="inlineStr">
        <is>
          <t>Blåsippa</t>
        </is>
      </c>
      <c r="W48">
        <f>HYPERLINK("https://klasma.github.io/Logging_0821/artfynd/A 59407-2022 artfynd.xlsx", "A 59407-2022")</f>
        <v/>
      </c>
      <c r="X48">
        <f>HYPERLINK("https://klasma.github.io/Logging_0821/kartor/A 59407-2022 karta.png", "A 59407-2022")</f>
        <v/>
      </c>
      <c r="Y48">
        <f>HYPERLINK("https://klasma.github.io/Logging_0821/kartor_geotiff/A 59407-2022 georefererad karta.tif", "A 59407-2022")</f>
        <v/>
      </c>
      <c r="AA48">
        <f>HYPERLINK("https://klasma.github.io/Logging_0821/klagomål/A 59407-2022 FSC-klagomål.docx", "A 59407-2022")</f>
        <v/>
      </c>
      <c r="AB48">
        <f>HYPERLINK("https://klasma.github.io/Logging_0821/klagomålsmail/A 59407-2022 FSC-klagomål mail.docx", "A 59407-2022")</f>
        <v/>
      </c>
      <c r="AC48">
        <f>HYPERLINK("https://klasma.github.io/Logging_0821/tillsyn/A 59407-2022 tillsynsbegäran.docx", "A 59407-2022")</f>
        <v/>
      </c>
      <c r="AD48">
        <f>HYPERLINK("https://klasma.github.io/Logging_0821/tillsynsmail/A 59407-2022 tillsynsbegäran mail.docx", "A 59407-2022")</f>
        <v/>
      </c>
    </row>
    <row r="49" ht="15" customHeight="1">
      <c r="A49" t="inlineStr">
        <is>
          <t>A 26145-2026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46283</v>
      </c>
      <c r="F49" t="inlineStr">
        <is>
          <t>KALMAR LÄN</t>
        </is>
      </c>
      <c r="G49" t="inlineStr">
        <is>
          <t>HÖGSBY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0</v>
      </c>
      <c r="V49" s="2" t="inlineStr">
        <is>
          <t>Gullviva</t>
        </is>
      </c>
      <c r="W49">
        <f>HYPERLINK("https://klasma.github.io/Logging_0821/artfynd/A 26145-2026 artfynd.xlsx", "A 26145-2026")</f>
        <v/>
      </c>
      <c r="X49">
        <f>HYPERLINK("https://klasma.github.io/Logging_0821/kartor/A 26145-2026 karta.png", "A 26145-2026")</f>
        <v/>
      </c>
      <c r="Y49">
        <f>HYPERLINK("https://klasma.github.io/Logging_0821/kartor_geotiff/A 26145-2026 georefererad karta.tif", "A 26145-2026")</f>
        <v/>
      </c>
      <c r="AA49">
        <f>HYPERLINK("https://klasma.github.io/Logging_0821/klagomål/A 26145-2026 FSC-klagomål.docx", "A 26145-2026")</f>
        <v/>
      </c>
      <c r="AB49">
        <f>HYPERLINK("https://klasma.github.io/Logging_0821/klagomålsmail/A 26145-2026 FSC-klagomål mail.docx", "A 26145-2026")</f>
        <v/>
      </c>
      <c r="AC49">
        <f>HYPERLINK("https://klasma.github.io/Logging_0821/tillsyn/A 26145-2026 tillsynsbegäran.docx", "A 26145-2026")</f>
        <v/>
      </c>
      <c r="AD49">
        <f>HYPERLINK("https://klasma.github.io/Logging_0821/tillsynsmail/A 26145-2026 tillsynsbegäran mail.docx", "A 26145-2026")</f>
        <v/>
      </c>
    </row>
    <row r="50" ht="15" customHeight="1">
      <c r="A50" t="inlineStr">
        <is>
          <t>A 35075-2023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46283</v>
      </c>
      <c r="F50" t="inlineStr">
        <is>
          <t>KALMAR LÄN</t>
        </is>
      </c>
      <c r="G50" t="inlineStr">
        <is>
          <t>HÖGSBY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35075-2023 artfynd.xlsx", "A 35075-2023")</f>
        <v/>
      </c>
      <c r="X50">
        <f>HYPERLINK("https://klasma.github.io/Logging_0821/kartor/A 35075-2023 karta.png", "A 35075-2023")</f>
        <v/>
      </c>
      <c r="Y50">
        <f>HYPERLINK("https://klasma.github.io/Logging_0821/kartor_geotiff/A 35075-2023 georefererad karta.tif", "A 35075-2023")</f>
        <v/>
      </c>
      <c r="AA50">
        <f>HYPERLINK("https://klasma.github.io/Logging_0821/klagomål/A 35075-2023 FSC-klagomål.docx", "A 35075-2023")</f>
        <v/>
      </c>
      <c r="AB50">
        <f>HYPERLINK("https://klasma.github.io/Logging_0821/klagomålsmail/A 35075-2023 FSC-klagomål mail.docx", "A 35075-2023")</f>
        <v/>
      </c>
      <c r="AC50">
        <f>HYPERLINK("https://klasma.github.io/Logging_0821/tillsyn/A 35075-2023 tillsynsbegäran.docx", "A 35075-2023")</f>
        <v/>
      </c>
      <c r="AD50">
        <f>HYPERLINK("https://klasma.github.io/Logging_0821/tillsynsmail/A 35075-2023 tillsynsbegäran mail.docx", "A 35075-2023")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46283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1519-2022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46283</v>
      </c>
      <c r="F52" t="inlineStr">
        <is>
          <t>KALMAR LÄN</t>
        </is>
      </c>
      <c r="G52" t="inlineStr">
        <is>
          <t>HÖGSBY</t>
        </is>
      </c>
      <c r="I52" t="n">
        <v>2.6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HYPERLINK("https://klasma.github.io/Logging_0821/artfynd/A 1519-2022 artfynd.xlsx", "A 1519-2022")</f>
        <v/>
      </c>
      <c r="X52">
        <f>HYPERLINK("https://klasma.github.io/Logging_0821/kartor/A 1519-2022 karta.png", "A 1519-2022")</f>
        <v/>
      </c>
      <c r="Y52">
        <f>HYPERLINK("https://klasma.github.io/Logging_0821/kartor_geotiff/A 1519-2022 georefererad karta.tif", "A 1519-2022")</f>
        <v/>
      </c>
      <c r="AA52">
        <f>HYPERLINK("https://klasma.github.io/Logging_0821/klagomål/A 1519-2022 FSC-klagomål.docx", "A 1519-2022")</f>
        <v/>
      </c>
      <c r="AB52">
        <f>HYPERLINK("https://klasma.github.io/Logging_0821/klagomålsmail/A 1519-2022 FSC-klagomål mail.docx", "A 1519-2022")</f>
        <v/>
      </c>
      <c r="AC52">
        <f>HYPERLINK("https://klasma.github.io/Logging_0821/tillsyn/A 1519-2022 tillsynsbegäran.docx", "A 1519-2022")</f>
        <v/>
      </c>
      <c r="AD52">
        <f>HYPERLINK("https://klasma.github.io/Logging_0821/tillsynsmail/A 1519-2022 tillsynsbegäran mail.docx", "A 1519-2022")</f>
        <v/>
      </c>
    </row>
    <row r="53" ht="15" customHeight="1">
      <c r="A53" t="inlineStr">
        <is>
          <t>A 28894-2026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46199</v>
      </c>
      <c r="E53" s="1" t="n">
        <v>46283</v>
      </c>
      <c r="F53" t="inlineStr">
        <is>
          <t>KALMAR LÄN</t>
        </is>
      </c>
      <c r="G53" t="inlineStr">
        <is>
          <t>HÖGSBY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Spillkråka</t>
        </is>
      </c>
      <c r="W53">
        <f>HYPERLINK("https://klasma.github.io/Logging_0821/artfynd/A 28894-2026 artfynd.xlsx", "A 28894-2026")</f>
        <v/>
      </c>
      <c r="X53">
        <f>HYPERLINK("https://klasma.github.io/Logging_0821/kartor/A 28894-2026 karta.png", "A 28894-2026")</f>
        <v/>
      </c>
      <c r="Y53">
        <f>HYPERLINK("https://klasma.github.io/Logging_0821/kartor_geotiff/A 28894-2026 georefererad karta.tif", "A 28894-2026")</f>
        <v/>
      </c>
      <c r="AA53">
        <f>HYPERLINK("https://klasma.github.io/Logging_0821/klagomål/A 28894-2026 FSC-klagomål.docx", "A 28894-2026")</f>
        <v/>
      </c>
      <c r="AB53">
        <f>HYPERLINK("https://klasma.github.io/Logging_0821/klagomålsmail/A 28894-2026 FSC-klagomål mail.docx", "A 28894-2026")</f>
        <v/>
      </c>
      <c r="AC53">
        <f>HYPERLINK("https://klasma.github.io/Logging_0821/tillsyn/A 28894-2026 tillsynsbegäran.docx", "A 28894-2026")</f>
        <v/>
      </c>
      <c r="AD53">
        <f>HYPERLINK("https://klasma.github.io/Logging_0821/tillsynsmail/A 28894-2026 tillsynsbegäran mail.docx", "A 28894-2026")</f>
        <v/>
      </c>
      <c r="AE53">
        <f>HYPERLINK("https://klasma.github.io/Logging_0821/fåglar/A 28894-2026 prioriterade fågelarter.docx", "A 28894-2026")</f>
        <v/>
      </c>
    </row>
    <row r="54" ht="15" customHeight="1">
      <c r="A54" t="inlineStr">
        <is>
          <t>A 30186-2026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46206</v>
      </c>
      <c r="E54" s="1" t="n">
        <v>46283</v>
      </c>
      <c r="F54" t="inlineStr">
        <is>
          <t>KALMAR LÄN</t>
        </is>
      </c>
      <c r="G54" t="inlineStr">
        <is>
          <t>HÖGSBY</t>
        </is>
      </c>
      <c r="H54" t="inlineStr">
        <is>
          <t>Sveaskog</t>
        </is>
      </c>
      <c r="I54" t="n">
        <v>3.4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Gullklöver</t>
        </is>
      </c>
      <c r="W54">
        <f>HYPERLINK("https://klasma.github.io/Logging_0821/artfynd/A 30186-2026 artfynd.xlsx", "A 30186-2026")</f>
        <v/>
      </c>
      <c r="X54">
        <f>HYPERLINK("https://klasma.github.io/Logging_0821/kartor/A 30186-2026 karta.png", "A 30186-2026")</f>
        <v/>
      </c>
      <c r="Y54">
        <f>HYPERLINK("https://klasma.github.io/Logging_0821/kartor_geotiff/A 30186-2026 georefererad karta.tif", "A 30186-2026")</f>
        <v/>
      </c>
      <c r="AA54">
        <f>HYPERLINK("https://klasma.github.io/Logging_0821/klagomål/A 30186-2026 FSC-klagomål.docx", "A 30186-2026")</f>
        <v/>
      </c>
      <c r="AB54">
        <f>HYPERLINK("https://klasma.github.io/Logging_0821/klagomålsmail/A 30186-2026 FSC-klagomål mail.docx", "A 30186-2026")</f>
        <v/>
      </c>
      <c r="AC54">
        <f>HYPERLINK("https://klasma.github.io/Logging_0821/tillsyn/A 30186-2026 tillsynsbegäran.docx", "A 30186-2026")</f>
        <v/>
      </c>
      <c r="AD54">
        <f>HYPERLINK("https://klasma.github.io/Logging_0821/tillsynsmail/A 30186-2026 tillsynsbegäran mail.docx", "A 30186-2026")</f>
        <v/>
      </c>
    </row>
    <row r="55" ht="15" customHeight="1">
      <c r="A55" t="inlineStr">
        <is>
          <t>A 35072-2023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45145</v>
      </c>
      <c r="E55" s="1" t="n">
        <v>46283</v>
      </c>
      <c r="F55" t="inlineStr">
        <is>
          <t>KALMAR LÄN</t>
        </is>
      </c>
      <c r="G55" t="inlineStr">
        <is>
          <t>HÖGSBY</t>
        </is>
      </c>
      <c r="I55" t="n">
        <v>1.3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HYPERLINK("https://klasma.github.io/Logging_0821/artfynd/A 35072-2023 artfynd.xlsx", "A 35072-2023")</f>
        <v/>
      </c>
      <c r="X55">
        <f>HYPERLINK("https://klasma.github.io/Logging_0821/kartor/A 35072-2023 karta.png", "A 35072-2023")</f>
        <v/>
      </c>
      <c r="Y55">
        <f>HYPERLINK("https://klasma.github.io/Logging_0821/kartor_geotiff/A 35072-2023 georefererad karta.tif", "A 35072-2023")</f>
        <v/>
      </c>
      <c r="AA55">
        <f>HYPERLINK("https://klasma.github.io/Logging_0821/klagomål/A 35072-2023 FSC-klagomål.docx", "A 35072-2023")</f>
        <v/>
      </c>
      <c r="AB55">
        <f>HYPERLINK("https://klasma.github.io/Logging_0821/klagomålsmail/A 35072-2023 FSC-klagomål mail.docx", "A 35072-2023")</f>
        <v/>
      </c>
      <c r="AC55">
        <f>HYPERLINK("https://klasma.github.io/Logging_0821/tillsyn/A 35072-2023 tillsynsbegäran.docx", "A 35072-2023")</f>
        <v/>
      </c>
      <c r="AD55">
        <f>HYPERLINK("https://klasma.github.io/Logging_0821/tillsynsmail/A 35072-2023 tillsynsbegäran mail.docx", "A 35072-2023")</f>
        <v/>
      </c>
    </row>
    <row r="56" ht="15" customHeight="1">
      <c r="A56" t="inlineStr">
        <is>
          <t>A 33784-2026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46251</v>
      </c>
      <c r="E56" s="1" t="n">
        <v>46283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8.699999999999999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HYPERLINK("https://klasma.github.io/Logging_0821/artfynd/A 33784-2026 artfynd.xlsx", "A 33784-2026")</f>
        <v/>
      </c>
      <c r="X56">
        <f>HYPERLINK("https://klasma.github.io/Logging_0821/kartor/A 33784-2026 karta.png", "A 33784-2026")</f>
        <v/>
      </c>
      <c r="Y56">
        <f>HYPERLINK("https://klasma.github.io/Logging_0821/kartor_geotiff/A 33784-2026 georefererad karta.tif", "A 33784-2026")</f>
        <v/>
      </c>
      <c r="AA56">
        <f>HYPERLINK("https://klasma.github.io/Logging_0821/klagomål/A 33784-2026 FSC-klagomål.docx", "A 33784-2026")</f>
        <v/>
      </c>
      <c r="AB56">
        <f>HYPERLINK("https://klasma.github.io/Logging_0821/klagomålsmail/A 33784-2026 FSC-klagomål mail.docx", "A 33784-2026")</f>
        <v/>
      </c>
      <c r="AC56">
        <f>HYPERLINK("https://klasma.github.io/Logging_0821/tillsyn/A 33784-2026 tillsynsbegäran.docx", "A 33784-2026")</f>
        <v/>
      </c>
      <c r="AD56">
        <f>HYPERLINK("https://klasma.github.io/Logging_0821/tillsynsmail/A 33784-2026 tillsynsbegäran mail.docx", "A 33784-2026")</f>
        <v/>
      </c>
      <c r="AE56">
        <f>HYPERLINK("https://klasma.github.io/Logging_0821/fåglar/A 33784-2026 prioriterade fågelarter.docx", "A 33784-2026")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46283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46283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59700-2023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45256</v>
      </c>
      <c r="E59" s="1" t="n">
        <v>46283</v>
      </c>
      <c r="F59" t="inlineStr">
        <is>
          <t>KALMAR LÄN</t>
        </is>
      </c>
      <c r="G59" t="inlineStr">
        <is>
          <t>HÖGSBY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HYPERLINK("https://klasma.github.io/Logging_0821/artfynd/A 59700-2023 artfynd.xlsx", "A 59700-2023")</f>
        <v/>
      </c>
      <c r="X59">
        <f>HYPERLINK("https://klasma.github.io/Logging_0821/kartor/A 59700-2023 karta.png", "A 59700-2023")</f>
        <v/>
      </c>
      <c r="Y59">
        <f>HYPERLINK("https://klasma.github.io/Logging_0821/kartor_geotiff/A 59700-2023 georefererad karta.tif", "A 59700-2023")</f>
        <v/>
      </c>
      <c r="AA59">
        <f>HYPERLINK("https://klasma.github.io/Logging_0821/klagomål/A 59700-2023 FSC-klagomål.docx", "A 59700-2023")</f>
        <v/>
      </c>
      <c r="AB59">
        <f>HYPERLINK("https://klasma.github.io/Logging_0821/klagomålsmail/A 59700-2023 FSC-klagomål mail.docx", "A 59700-2023")</f>
        <v/>
      </c>
      <c r="AC59">
        <f>HYPERLINK("https://klasma.github.io/Logging_0821/tillsyn/A 59700-2023 tillsynsbegäran.docx", "A 59700-2023")</f>
        <v/>
      </c>
      <c r="AD59">
        <f>HYPERLINK("https://klasma.github.io/Logging_0821/tillsynsmail/A 59700-2023 tillsynsbegäran mail.docx", "A 59700-2023")</f>
        <v/>
      </c>
      <c r="AE59">
        <f>HYPERLINK("https://klasma.github.io/Logging_0821/fåglar/A 59700-2023 prioriterade fågelarter.docx", "A 59700-2023")</f>
        <v/>
      </c>
    </row>
    <row r="60" ht="15" customHeight="1">
      <c r="A60" t="inlineStr">
        <is>
          <t>S 1694-2022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44650</v>
      </c>
      <c r="E60" s="1" t="n">
        <v>46283</v>
      </c>
      <c r="F60" t="inlineStr">
        <is>
          <t>KALMAR LÄN</t>
        </is>
      </c>
      <c r="G60" t="inlineStr">
        <is>
          <t>HÖGSBY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Mistel</t>
        </is>
      </c>
      <c r="W60">
        <f>HYPERLINK("https://klasma.github.io/Logging_0821/artfynd/S 1694-2022 artfynd.xlsx", "S 1694-2022")</f>
        <v/>
      </c>
      <c r="X60">
        <f>HYPERLINK("https://klasma.github.io/Logging_0821/kartor/S 1694-2022 karta.png", "S 1694-2022")</f>
        <v/>
      </c>
      <c r="Y60">
        <f>HYPERLINK("https://klasma.github.io/Logging_0821/kartor_geotiff/S 1694-2022 georefererad karta.tif", "S 1694-2022")</f>
        <v/>
      </c>
      <c r="AA60">
        <f>HYPERLINK("https://klasma.github.io/Logging_0821/klagomål/S 1694-2022 FSC-klagomål.docx", "S 1694-2022")</f>
        <v/>
      </c>
      <c r="AB60">
        <f>HYPERLINK("https://klasma.github.io/Logging_0821/klagomålsmail/S 1694-2022 FSC-klagomål mail.docx", "S 1694-2022")</f>
        <v/>
      </c>
      <c r="AC60">
        <f>HYPERLINK("https://klasma.github.io/Logging_0821/tillsyn/S 1694-2022 tillsynsbegäran.docx", "S 1694-2022")</f>
        <v/>
      </c>
      <c r="AD60">
        <f>HYPERLINK("https://klasma.github.io/Logging_0821/tillsynsmail/S 1694-2022 tillsynsbegäran mail.docx", "S 1694-2022")</f>
        <v/>
      </c>
    </row>
    <row r="61" ht="15" customHeight="1">
      <c r="A61" t="inlineStr">
        <is>
          <t>S 771-2022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44602</v>
      </c>
      <c r="E61" s="1" t="n">
        <v>46283</v>
      </c>
      <c r="F61" t="inlineStr">
        <is>
          <t>KALMAR LÄN</t>
        </is>
      </c>
      <c r="G61" t="inlineStr">
        <is>
          <t>HÖGSBY</t>
        </is>
      </c>
      <c r="I61" t="n">
        <v>129.1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Ögonpyrola</t>
        </is>
      </c>
      <c r="W61">
        <f>HYPERLINK("https://klasma.github.io/Logging_0821/artfynd/S 771-2022 artfynd.xlsx", "S 771-2022")</f>
        <v/>
      </c>
      <c r="X61">
        <f>HYPERLINK("https://klasma.github.io/Logging_0821/kartor/S 771-2022 karta.png", "S 771-2022")</f>
        <v/>
      </c>
      <c r="Y61">
        <f>HYPERLINK("https://klasma.github.io/Logging_0821/kartor_geotiff/S 771-2022 georefererad karta.tif", "S 771-2022")</f>
        <v/>
      </c>
      <c r="AA61">
        <f>HYPERLINK("https://klasma.github.io/Logging_0821/klagomål/S 771-2022 FSC-klagomål.docx", "S 771-2022")</f>
        <v/>
      </c>
      <c r="AB61">
        <f>HYPERLINK("https://klasma.github.io/Logging_0821/klagomålsmail/S 771-2022 FSC-klagomål mail.docx", "S 771-2022")</f>
        <v/>
      </c>
      <c r="AC61">
        <f>HYPERLINK("https://klasma.github.io/Logging_0821/tillsyn/S 771-2022 tillsynsbegäran.docx", "S 771-2022")</f>
        <v/>
      </c>
      <c r="AD61">
        <f>HYPERLINK("https://klasma.github.io/Logging_0821/tillsynsmail/S 771-2022 tillsynsbegäran mail.docx", "S 771-2022")</f>
        <v/>
      </c>
    </row>
    <row r="62" ht="15" customHeight="1">
      <c r="A62" t="inlineStr">
        <is>
          <t>S 352-2023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44958</v>
      </c>
      <c r="E62" s="1" t="n">
        <v>46283</v>
      </c>
      <c r="F62" t="inlineStr">
        <is>
          <t>KALMAR LÄN</t>
        </is>
      </c>
      <c r="G62" t="inlineStr">
        <is>
          <t>HÖGSBY</t>
        </is>
      </c>
      <c r="I62" t="n">
        <v>20.9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Tjäder</t>
        </is>
      </c>
      <c r="W62">
        <f>HYPERLINK("https://klasma.github.io/Logging_0821/artfynd/S 352-2023 artfynd.xlsx", "S 352-2023")</f>
        <v/>
      </c>
      <c r="X62">
        <f>HYPERLINK("https://klasma.github.io/Logging_0821/kartor/S 352-2023 karta.png", "S 352-2023")</f>
        <v/>
      </c>
      <c r="Y62">
        <f>HYPERLINK("https://klasma.github.io/Logging_0821/kartor_geotiff/S 352-2023 georefererad karta.tif", "S 352-2023")</f>
        <v/>
      </c>
      <c r="Z62">
        <f>HYPERLINK("https://klasma.github.io/Logging_0821/knärot/S 352-2023 karta knärot.png", "S 352-2023")</f>
        <v/>
      </c>
      <c r="AA62">
        <f>HYPERLINK("https://klasma.github.io/Logging_0821/klagomål/S 352-2023 FSC-klagomål.docx", "S 352-2023")</f>
        <v/>
      </c>
      <c r="AB62">
        <f>HYPERLINK("https://klasma.github.io/Logging_0821/klagomålsmail/S 352-2023 FSC-klagomål mail.docx", "S 352-2023")</f>
        <v/>
      </c>
      <c r="AC62">
        <f>HYPERLINK("https://klasma.github.io/Logging_0821/tillsyn/S 352-2023 tillsynsbegäran.docx", "S 352-2023")</f>
        <v/>
      </c>
      <c r="AD62">
        <f>HYPERLINK("https://klasma.github.io/Logging_0821/tillsynsmail/S 352-2023 tillsynsbegäran mail.docx", "S 352-2023")</f>
        <v/>
      </c>
      <c r="AE62">
        <f>HYPERLINK("https://klasma.github.io/Logging_0821/fåglar/S 352-2023 prioriterade fågelarter.docx", "S 352-2023")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46283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46283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46283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46283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46283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46283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46283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46283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46283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46283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46283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46283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46283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46283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46283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46283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46283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46283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46283</v>
      </c>
      <c r="F81" t="inlineStr">
        <is>
          <t>KALMAR LÄN</t>
        </is>
      </c>
      <c r="G81" t="inlineStr">
        <is>
          <t>HÖGSBY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57372-2021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46283</v>
      </c>
      <c r="F82" t="inlineStr">
        <is>
          <t>KALMAR LÄN</t>
        </is>
      </c>
      <c r="G82" t="inlineStr">
        <is>
          <t>HÖGSBY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4890-2022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46283</v>
      </c>
      <c r="F83" t="inlineStr">
        <is>
          <t>KALMAR LÄN</t>
        </is>
      </c>
      <c r="G83" t="inlineStr">
        <is>
          <t>HÖGSBY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40105-2022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44818</v>
      </c>
      <c r="E84" s="1" t="n">
        <v>46283</v>
      </c>
      <c r="F84" t="inlineStr">
        <is>
          <t>KALMAR LÄN</t>
        </is>
      </c>
      <c r="G84" t="inlineStr">
        <is>
          <t>HÖGSBY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46283</v>
      </c>
      <c r="F85" t="inlineStr">
        <is>
          <t>KALMAR LÄN</t>
        </is>
      </c>
      <c r="G85" t="inlineStr">
        <is>
          <t>HÖGSBY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71165-2021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44539</v>
      </c>
      <c r="E86" s="1" t="n">
        <v>46283</v>
      </c>
      <c r="F86" t="inlineStr">
        <is>
          <t>KALMAR LÄN</t>
        </is>
      </c>
      <c r="G86" t="inlineStr">
        <is>
          <t>HÖGSBY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44461</v>
      </c>
      <c r="E87" s="1" t="n">
        <v>46283</v>
      </c>
      <c r="F87" t="inlineStr">
        <is>
          <t>KALMAR LÄN</t>
        </is>
      </c>
      <c r="G87" t="inlineStr">
        <is>
          <t>HÖGSBY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23105-2022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44719</v>
      </c>
      <c r="E88" s="1" t="n">
        <v>46283</v>
      </c>
      <c r="F88" t="inlineStr">
        <is>
          <t>KALMAR LÄN</t>
        </is>
      </c>
      <c r="G88" t="inlineStr">
        <is>
          <t>HÖGSBY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53808-2022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44880</v>
      </c>
      <c r="E89" s="1" t="n">
        <v>46283</v>
      </c>
      <c r="F89" t="inlineStr">
        <is>
          <t>KALMAR LÄN</t>
        </is>
      </c>
      <c r="G89" t="inlineStr">
        <is>
          <t>HÖGSBY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20128-2022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44698</v>
      </c>
      <c r="E90" s="1" t="n">
        <v>46283</v>
      </c>
      <c r="F90" t="inlineStr">
        <is>
          <t>KALMAR LÄN</t>
        </is>
      </c>
      <c r="G90" t="inlineStr">
        <is>
          <t>HÖGSBY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72059-2021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44542</v>
      </c>
      <c r="E91" s="1" t="n">
        <v>46283</v>
      </c>
      <c r="F91" t="inlineStr">
        <is>
          <t>KALMAR LÄN</t>
        </is>
      </c>
      <c r="G91" t="inlineStr">
        <is>
          <t>HÖGSBY</t>
        </is>
      </c>
      <c r="I91" t="n">
        <v>16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72066-2021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44542</v>
      </c>
      <c r="E92" s="1" t="n">
        <v>46283</v>
      </c>
      <c r="F92" t="inlineStr">
        <is>
          <t>KALMAR LÄN</t>
        </is>
      </c>
      <c r="G92" t="inlineStr">
        <is>
          <t>HÖGSBY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46283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62274-2021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46283</v>
      </c>
      <c r="F94" t="inlineStr">
        <is>
          <t>KALMAR LÄN</t>
        </is>
      </c>
      <c r="G94" t="inlineStr">
        <is>
          <t>HÖGSBY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46283</v>
      </c>
      <c r="F95" t="inlineStr">
        <is>
          <t>KALMAR LÄN</t>
        </is>
      </c>
      <c r="G95" t="inlineStr">
        <is>
          <t>HÖGSBY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44634</v>
      </c>
      <c r="E96" s="1" t="n">
        <v>46283</v>
      </c>
      <c r="F96" t="inlineStr">
        <is>
          <t>KALMAR LÄN</t>
        </is>
      </c>
      <c r="G96" t="inlineStr">
        <is>
          <t>HÖGSBY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46283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46283</v>
      </c>
      <c r="F98" t="inlineStr">
        <is>
          <t>KALMAR LÄN</t>
        </is>
      </c>
      <c r="G98" t="inlineStr">
        <is>
          <t>HÖGSBY</t>
        </is>
      </c>
      <c r="H98" t="inlineStr">
        <is>
          <t>Sveaskog</t>
        </is>
      </c>
      <c r="I98" t="n">
        <v>9.199999999999999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10244-2024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45365</v>
      </c>
      <c r="E99" s="1" t="n">
        <v>46283</v>
      </c>
      <c r="F99" t="inlineStr">
        <is>
          <t>KALMAR LÄN</t>
        </is>
      </c>
      <c r="G99" t="inlineStr">
        <is>
          <t>HÖGSBY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53129-2022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46283</v>
      </c>
      <c r="F100" t="inlineStr">
        <is>
          <t>KALMAR LÄN</t>
        </is>
      </c>
      <c r="G100" t="inlineStr">
        <is>
          <t>HÖGSBY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13808-2024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45391</v>
      </c>
      <c r="E101" s="1" t="n">
        <v>46283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37320-2022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44809</v>
      </c>
      <c r="E102" s="1" t="n">
        <v>46283</v>
      </c>
      <c r="F102" t="inlineStr">
        <is>
          <t>KALMAR LÄN</t>
        </is>
      </c>
      <c r="G102" t="inlineStr">
        <is>
          <t>HÖGSBY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14193-2024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45393</v>
      </c>
      <c r="E103" s="1" t="n">
        <v>46283</v>
      </c>
      <c r="F103" t="inlineStr">
        <is>
          <t>KALMAR LÄN</t>
        </is>
      </c>
      <c r="G103" t="inlineStr">
        <is>
          <t>HÖGSBY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44866</v>
      </c>
      <c r="E104" s="1" t="n">
        <v>46283</v>
      </c>
      <c r="F104" t="inlineStr">
        <is>
          <t>KALMAR LÄN</t>
        </is>
      </c>
      <c r="G104" t="inlineStr">
        <is>
          <t>HÖGSBY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62385-2023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45268</v>
      </c>
      <c r="E105" s="1" t="n">
        <v>46283</v>
      </c>
      <c r="F105" t="inlineStr">
        <is>
          <t>KALMAR LÄN</t>
        </is>
      </c>
      <c r="G105" t="inlineStr">
        <is>
          <t>HÖGSBY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26545-2024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45469</v>
      </c>
      <c r="E106" s="1" t="n">
        <v>46283</v>
      </c>
      <c r="F106" t="inlineStr">
        <is>
          <t>KALMAR LÄN</t>
        </is>
      </c>
      <c r="G106" t="inlineStr">
        <is>
          <t>HÖGSBY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46283</v>
      </c>
      <c r="F107" t="inlineStr">
        <is>
          <t>KALMAR LÄN</t>
        </is>
      </c>
      <c r="G107" t="inlineStr">
        <is>
          <t>HÖGSBY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45254</v>
      </c>
      <c r="E108" s="1" t="n">
        <v>46283</v>
      </c>
      <c r="F108" t="inlineStr">
        <is>
          <t>KALMAR LÄN</t>
        </is>
      </c>
      <c r="G108" t="inlineStr">
        <is>
          <t>HÖGSBY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44886</v>
      </c>
      <c r="E109" s="1" t="n">
        <v>46283</v>
      </c>
      <c r="F109" t="inlineStr">
        <is>
          <t>KALMAR LÄN</t>
        </is>
      </c>
      <c r="G109" t="inlineStr">
        <is>
          <t>HÖGSBY</t>
        </is>
      </c>
      <c r="H109" t="inlineStr">
        <is>
          <t>Kyrkan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58679-2022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44902</v>
      </c>
      <c r="E110" s="1" t="n">
        <v>46283</v>
      </c>
      <c r="F110" t="inlineStr">
        <is>
          <t>KALMAR LÄN</t>
        </is>
      </c>
      <c r="G110" t="inlineStr">
        <is>
          <t>HÖGSBY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41706-2023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46283</v>
      </c>
      <c r="F111" t="inlineStr">
        <is>
          <t>KALMAR LÄN</t>
        </is>
      </c>
      <c r="G111" t="inlineStr">
        <is>
          <t>HÖGSBY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52117-2024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46283</v>
      </c>
      <c r="F112" t="inlineStr">
        <is>
          <t>KALMAR LÄN</t>
        </is>
      </c>
      <c r="G112" t="inlineStr">
        <is>
          <t>HÖGSBY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12210-2025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45729</v>
      </c>
      <c r="E113" s="1" t="n">
        <v>46283</v>
      </c>
      <c r="F113" t="inlineStr">
        <is>
          <t>KALMAR LÄN</t>
        </is>
      </c>
      <c r="G113" t="inlineStr">
        <is>
          <t>HÖGSBY</t>
        </is>
      </c>
      <c r="I113" t="n">
        <v>11.5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57006-2024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45626</v>
      </c>
      <c r="E114" s="1" t="n">
        <v>46283</v>
      </c>
      <c r="F114" t="inlineStr">
        <is>
          <t>KALMAR LÄN</t>
        </is>
      </c>
      <c r="G114" t="inlineStr">
        <is>
          <t>HÖGSBY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37954-2024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45544</v>
      </c>
      <c r="E115" s="1" t="n">
        <v>46283</v>
      </c>
      <c r="F115" t="inlineStr">
        <is>
          <t>KALMAR LÄN</t>
        </is>
      </c>
      <c r="G115" t="inlineStr">
        <is>
          <t>HÖGSBY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46283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11029-2026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46283</v>
      </c>
      <c r="F117" t="inlineStr">
        <is>
          <t>KALMAR LÄN</t>
        </is>
      </c>
      <c r="G117" t="inlineStr">
        <is>
          <t>HÖGSBY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46283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44991</v>
      </c>
      <c r="E119" s="1" t="n">
        <v>46283</v>
      </c>
      <c r="F119" t="inlineStr">
        <is>
          <t>KALMAR LÄN</t>
        </is>
      </c>
      <c r="G119" t="inlineStr">
        <is>
          <t>HÖGSBY</t>
        </is>
      </c>
      <c r="I119" t="n">
        <v>3.7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45320</v>
      </c>
      <c r="E120" s="1" t="n">
        <v>46283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13098-2026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46093</v>
      </c>
      <c r="E121" s="1" t="n">
        <v>46283</v>
      </c>
      <c r="F121" t="inlineStr">
        <is>
          <t>KALMAR LÄN</t>
        </is>
      </c>
      <c r="G121" t="inlineStr">
        <is>
          <t>HÖGSBY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56332-2024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45624</v>
      </c>
      <c r="E122" s="1" t="n">
        <v>46283</v>
      </c>
      <c r="F122" t="inlineStr">
        <is>
          <t>KALMAR LÄN</t>
        </is>
      </c>
      <c r="G122" t="inlineStr">
        <is>
          <t>HÖGSBY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46283</v>
      </c>
      <c r="F123" t="inlineStr">
        <is>
          <t>KALMAR LÄN</t>
        </is>
      </c>
      <c r="G123" t="inlineStr">
        <is>
          <t>HÖGSBY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46283</v>
      </c>
      <c r="F124" t="inlineStr">
        <is>
          <t>KALMAR LÄN</t>
        </is>
      </c>
      <c r="G124" t="inlineStr">
        <is>
          <t>HÖGSBY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46283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45266</v>
      </c>
      <c r="E126" s="1" t="n">
        <v>46283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45554</v>
      </c>
      <c r="E127" s="1" t="n">
        <v>46283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65130-2023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45288</v>
      </c>
      <c r="E128" s="1" t="n">
        <v>46283</v>
      </c>
      <c r="F128" t="inlineStr">
        <is>
          <t>KALMAR LÄN</t>
        </is>
      </c>
      <c r="G128" t="inlineStr">
        <is>
          <t>HÖGSBY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7678-2024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46283</v>
      </c>
      <c r="F129" t="inlineStr">
        <is>
          <t>KALMAR LÄN</t>
        </is>
      </c>
      <c r="G129" t="inlineStr">
        <is>
          <t>HÖGSBY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57000-2024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45626</v>
      </c>
      <c r="E130" s="1" t="n">
        <v>46283</v>
      </c>
      <c r="F130" t="inlineStr">
        <is>
          <t>KALMAR LÄN</t>
        </is>
      </c>
      <c r="G130" t="inlineStr">
        <is>
          <t>HÖGSBY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14894-2025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45743</v>
      </c>
      <c r="E131" s="1" t="n">
        <v>46283</v>
      </c>
      <c r="F131" t="inlineStr">
        <is>
          <t>KALMAR LÄN</t>
        </is>
      </c>
      <c r="G131" t="inlineStr">
        <is>
          <t>HÖGSBY</t>
        </is>
      </c>
      <c r="H131" t="inlineStr">
        <is>
          <t>Kommuner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46283</v>
      </c>
      <c r="F132" t="inlineStr">
        <is>
          <t>KALMAR LÄN</t>
        </is>
      </c>
      <c r="G132" t="inlineStr">
        <is>
          <t>HÖGSBY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15864-2026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46107</v>
      </c>
      <c r="E133" s="1" t="n">
        <v>46283</v>
      </c>
      <c r="F133" t="inlineStr">
        <is>
          <t>KALMAR LÄN</t>
        </is>
      </c>
      <c r="G133" t="inlineStr">
        <is>
          <t>HÖGSBY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60853-2021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46283</v>
      </c>
      <c r="F134" t="inlineStr">
        <is>
          <t>KALMAR LÄN</t>
        </is>
      </c>
      <c r="G134" t="inlineStr">
        <is>
          <t>HÖGSBY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46283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46283</v>
      </c>
      <c r="F136" t="inlineStr">
        <is>
          <t>KALMAR LÄN</t>
        </is>
      </c>
      <c r="G136" t="inlineStr">
        <is>
          <t>HÖGSBY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44991</v>
      </c>
      <c r="E137" s="1" t="n">
        <v>46283</v>
      </c>
      <c r="F137" t="inlineStr">
        <is>
          <t>KALMAR LÄN</t>
        </is>
      </c>
      <c r="G137" t="inlineStr">
        <is>
          <t>HÖGSBY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17090-2026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46114</v>
      </c>
      <c r="E138" s="1" t="n">
        <v>46283</v>
      </c>
      <c r="F138" t="inlineStr">
        <is>
          <t>KALMAR LÄN</t>
        </is>
      </c>
      <c r="G138" t="inlineStr">
        <is>
          <t>HÖGSBY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32049-2023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45119</v>
      </c>
      <c r="E139" s="1" t="n">
        <v>46283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17934-2026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46122</v>
      </c>
      <c r="E140" s="1" t="n">
        <v>46283</v>
      </c>
      <c r="F140" t="inlineStr">
        <is>
          <t>KALMAR LÄN</t>
        </is>
      </c>
      <c r="G140" t="inlineStr">
        <is>
          <t>HÖGSBY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17953-2026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46122</v>
      </c>
      <c r="E141" s="1" t="n">
        <v>46283</v>
      </c>
      <c r="F141" t="inlineStr">
        <is>
          <t>KALMAR LÄN</t>
        </is>
      </c>
      <c r="G141" t="inlineStr">
        <is>
          <t>HÖGSBY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52116-2024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45608</v>
      </c>
      <c r="E142" s="1" t="n">
        <v>46283</v>
      </c>
      <c r="F142" t="inlineStr">
        <is>
          <t>KALMAR LÄN</t>
        </is>
      </c>
      <c r="G142" t="inlineStr">
        <is>
          <t>HÖGSBY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50428-2024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45600</v>
      </c>
      <c r="E143" s="1" t="n">
        <v>46283</v>
      </c>
      <c r="F143" t="inlineStr">
        <is>
          <t>KALMAR LÄN</t>
        </is>
      </c>
      <c r="G143" t="inlineStr">
        <is>
          <t>HÖGSBY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53413-2024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46283</v>
      </c>
      <c r="F144" t="inlineStr">
        <is>
          <t>KALMAR LÄN</t>
        </is>
      </c>
      <c r="G144" t="inlineStr">
        <is>
          <t>HÖGSBY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38068-2025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45882</v>
      </c>
      <c r="E145" s="1" t="n">
        <v>46283</v>
      </c>
      <c r="F145" t="inlineStr">
        <is>
          <t>KALMAR LÄN</t>
        </is>
      </c>
      <c r="G145" t="inlineStr">
        <is>
          <t>HÖGSBY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45688</v>
      </c>
      <c r="E146" s="1" t="n">
        <v>46283</v>
      </c>
      <c r="F146" t="inlineStr">
        <is>
          <t>KALMAR LÄN</t>
        </is>
      </c>
      <c r="G146" t="inlineStr">
        <is>
          <t>HÖGSBY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46283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45789</v>
      </c>
      <c r="E148" s="1" t="n">
        <v>46283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45707</v>
      </c>
      <c r="E149" s="1" t="n">
        <v>46283</v>
      </c>
      <c r="F149" t="inlineStr">
        <is>
          <t>KALMAR LÄN</t>
        </is>
      </c>
      <c r="G149" t="inlineStr">
        <is>
          <t>HÖGSBY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25223-2022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44729</v>
      </c>
      <c r="E150" s="1" t="n">
        <v>46283</v>
      </c>
      <c r="F150" t="inlineStr">
        <is>
          <t>KALMAR LÄN</t>
        </is>
      </c>
      <c r="G150" t="inlineStr">
        <is>
          <t>HÖGSBY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19484-2026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46283</v>
      </c>
      <c r="F151" t="inlineStr">
        <is>
          <t>KALMAR LÄN</t>
        </is>
      </c>
      <c r="G151" t="inlineStr">
        <is>
          <t>HÖGSBY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17864-2025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45758</v>
      </c>
      <c r="E152" s="1" t="n">
        <v>46283</v>
      </c>
      <c r="F152" t="inlineStr">
        <is>
          <t>KALMAR LÄN</t>
        </is>
      </c>
      <c r="G152" t="inlineStr">
        <is>
          <t>HÖGSBY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46283</v>
      </c>
      <c r="F153" t="inlineStr">
        <is>
          <t>KALMAR LÄN</t>
        </is>
      </c>
      <c r="G153" t="inlineStr">
        <is>
          <t>HÖGSBY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46283</v>
      </c>
      <c r="F154" t="inlineStr">
        <is>
          <t>KALMAR LÄN</t>
        </is>
      </c>
      <c r="G154" t="inlineStr">
        <is>
          <t>HÖGSBY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43544-2025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45911</v>
      </c>
      <c r="E155" s="1" t="n">
        <v>46283</v>
      </c>
      <c r="F155" t="inlineStr">
        <is>
          <t>KALMAR LÄN</t>
        </is>
      </c>
      <c r="G155" t="inlineStr">
        <is>
          <t>HÖGSBY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45754</v>
      </c>
      <c r="E156" s="1" t="n">
        <v>46283</v>
      </c>
      <c r="F156" t="inlineStr">
        <is>
          <t>KALMAR LÄN</t>
        </is>
      </c>
      <c r="G156" t="inlineStr">
        <is>
          <t>HÖGSBY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31707-2023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45105</v>
      </c>
      <c r="E157" s="1" t="n">
        <v>46283</v>
      </c>
      <c r="F157" t="inlineStr">
        <is>
          <t>KALMAR LÄN</t>
        </is>
      </c>
      <c r="G157" t="inlineStr">
        <is>
          <t>HÖGSBY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45911</v>
      </c>
      <c r="E158" s="1" t="n">
        <v>46283</v>
      </c>
      <c r="F158" t="inlineStr">
        <is>
          <t>KALMAR LÄN</t>
        </is>
      </c>
      <c r="G158" t="inlineStr">
        <is>
          <t>HÖGSBY</t>
        </is>
      </c>
      <c r="H158" t="inlineStr">
        <is>
          <t>Kommuner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23887-2025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45793</v>
      </c>
      <c r="E159" s="1" t="n">
        <v>46283</v>
      </c>
      <c r="F159" t="inlineStr">
        <is>
          <t>KALMAR LÄN</t>
        </is>
      </c>
      <c r="G159" t="inlineStr">
        <is>
          <t>HÖGSBY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51724-2025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45951</v>
      </c>
      <c r="E160" s="1" t="n">
        <v>46283</v>
      </c>
      <c r="F160" t="inlineStr">
        <is>
          <t>KALMAR LÄN</t>
        </is>
      </c>
      <c r="G160" t="inlineStr">
        <is>
          <t>HÖGSBY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25948-2025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45804</v>
      </c>
      <c r="E161" s="1" t="n">
        <v>46283</v>
      </c>
      <c r="F161" t="inlineStr">
        <is>
          <t>KALMAR LÄN</t>
        </is>
      </c>
      <c r="G161" t="inlineStr">
        <is>
          <t>HÖGSBY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6823-2025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45700</v>
      </c>
      <c r="E162" s="1" t="n">
        <v>46283</v>
      </c>
      <c r="F162" t="inlineStr">
        <is>
          <t>KALMAR LÄN</t>
        </is>
      </c>
      <c r="G162" t="inlineStr">
        <is>
          <t>HÖGSBY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6824-2025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46283</v>
      </c>
      <c r="F163" t="inlineStr">
        <is>
          <t>KALMAR LÄN</t>
        </is>
      </c>
      <c r="G163" t="inlineStr">
        <is>
          <t>HÖGSBY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45825</v>
      </c>
      <c r="E164" s="1" t="n">
        <v>46283</v>
      </c>
      <c r="F164" t="inlineStr">
        <is>
          <t>KALMAR LÄN</t>
        </is>
      </c>
      <c r="G164" t="inlineStr">
        <is>
          <t>HÖGSBY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41619-2025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45901</v>
      </c>
      <c r="E165" s="1" t="n">
        <v>46283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44987</v>
      </c>
      <c r="E166" s="1" t="n">
        <v>46283</v>
      </c>
      <c r="F166" t="inlineStr">
        <is>
          <t>KALMAR LÄN</t>
        </is>
      </c>
      <c r="G166" t="inlineStr">
        <is>
          <t>HÖGSBY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38802-2024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45547</v>
      </c>
      <c r="E167" s="1" t="n">
        <v>46283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37497-2022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44809</v>
      </c>
      <c r="E168" s="1" t="n">
        <v>46283</v>
      </c>
      <c r="F168" t="inlineStr">
        <is>
          <t>KALMAR LÄN</t>
        </is>
      </c>
      <c r="G168" t="inlineStr">
        <is>
          <t>HÖGSBY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39629-2024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45552</v>
      </c>
      <c r="E169" s="1" t="n">
        <v>46283</v>
      </c>
      <c r="F169" t="inlineStr">
        <is>
          <t>KALMAR LÄN</t>
        </is>
      </c>
      <c r="G169" t="inlineStr">
        <is>
          <t>HÖGSBY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53108-2023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45228</v>
      </c>
      <c r="E170" s="1" t="n">
        <v>46283</v>
      </c>
      <c r="F170" t="inlineStr">
        <is>
          <t>KALMAR LÄN</t>
        </is>
      </c>
      <c r="G170" t="inlineStr">
        <is>
          <t>HÖGSBY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11707-2025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45727</v>
      </c>
      <c r="E171" s="1" t="n">
        <v>46283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8116-2025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45707</v>
      </c>
      <c r="E172" s="1" t="n">
        <v>46283</v>
      </c>
      <c r="F172" t="inlineStr">
        <is>
          <t>KALMAR LÄN</t>
        </is>
      </c>
      <c r="G172" t="inlineStr">
        <is>
          <t>HÖGSBY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49338-2022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44861</v>
      </c>
      <c r="E173" s="1" t="n">
        <v>46283</v>
      </c>
      <c r="F173" t="inlineStr">
        <is>
          <t>KALMAR LÄN</t>
        </is>
      </c>
      <c r="G173" t="inlineStr">
        <is>
          <t>HÖGSBY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20398-2025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46283</v>
      </c>
      <c r="F174" t="inlineStr">
        <is>
          <t>KALMAR LÄN</t>
        </is>
      </c>
      <c r="G174" t="inlineStr">
        <is>
          <t>HÖGSBY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22544-2023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45071</v>
      </c>
      <c r="E175" s="1" t="n">
        <v>46283</v>
      </c>
      <c r="F175" t="inlineStr">
        <is>
          <t>KALMAR LÄN</t>
        </is>
      </c>
      <c r="G175" t="inlineStr">
        <is>
          <t>HÖGSBY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46283</v>
      </c>
      <c r="F176" t="inlineStr">
        <is>
          <t>KALMAR LÄN</t>
        </is>
      </c>
      <c r="G176" t="inlineStr">
        <is>
          <t>HÖGSBY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58050-2023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45247</v>
      </c>
      <c r="E177" s="1" t="n">
        <v>46283</v>
      </c>
      <c r="F177" t="inlineStr">
        <is>
          <t>KALMAR LÄN</t>
        </is>
      </c>
      <c r="G177" t="inlineStr">
        <is>
          <t>HÖGSBY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46048</v>
      </c>
      <c r="E178" s="1" t="n">
        <v>46283</v>
      </c>
      <c r="F178" t="inlineStr">
        <is>
          <t>KALMAR LÄN</t>
        </is>
      </c>
      <c r="G178" t="inlineStr">
        <is>
          <t>HÖGSBY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54238-2021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46283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14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16014-2025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45749</v>
      </c>
      <c r="E180" s="1" t="n">
        <v>46283</v>
      </c>
      <c r="F180" t="inlineStr">
        <is>
          <t>KALMAR LÄN</t>
        </is>
      </c>
      <c r="G180" t="inlineStr">
        <is>
          <t>HÖGSBY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63508-2025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46013</v>
      </c>
      <c r="E181" s="1" t="n">
        <v>46283</v>
      </c>
      <c r="F181" t="inlineStr">
        <is>
          <t>KALMAR LÄN</t>
        </is>
      </c>
      <c r="G181" t="inlineStr">
        <is>
          <t>HÖGSBY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46283</v>
      </c>
      <c r="F182" t="inlineStr">
        <is>
          <t>KALMAR LÄN</t>
        </is>
      </c>
      <c r="G182" t="inlineStr">
        <is>
          <t>HÖGSBY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46283</v>
      </c>
      <c r="F183" t="inlineStr">
        <is>
          <t>KALMAR LÄN</t>
        </is>
      </c>
      <c r="G183" t="inlineStr">
        <is>
          <t>HÖGSBY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44924</v>
      </c>
      <c r="E184" s="1" t="n">
        <v>46283</v>
      </c>
      <c r="F184" t="inlineStr">
        <is>
          <t>KALMAR LÄN</t>
        </is>
      </c>
      <c r="G184" t="inlineStr">
        <is>
          <t>HÖGSBY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35723-2024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46283</v>
      </c>
      <c r="F185" t="inlineStr">
        <is>
          <t>KALMAR LÄN</t>
        </is>
      </c>
      <c r="G185" t="inlineStr">
        <is>
          <t>HÖGSBY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46283</v>
      </c>
      <c r="F186" t="inlineStr">
        <is>
          <t>KALMAR LÄN</t>
        </is>
      </c>
      <c r="G186" t="inlineStr">
        <is>
          <t>HÖGSBY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49485-2022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44861</v>
      </c>
      <c r="E187" s="1" t="n">
        <v>46283</v>
      </c>
      <c r="F187" t="inlineStr">
        <is>
          <t>KALMAR LÄN</t>
        </is>
      </c>
      <c r="G187" t="inlineStr">
        <is>
          <t>HÖGSBY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50414-2024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46283</v>
      </c>
      <c r="F188" t="inlineStr">
        <is>
          <t>KALMAR LÄN</t>
        </is>
      </c>
      <c r="G188" t="inlineStr">
        <is>
          <t>HÖGSBY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44586</v>
      </c>
      <c r="E189" s="1" t="n">
        <v>46283</v>
      </c>
      <c r="F189" t="inlineStr">
        <is>
          <t>KALMAR LÄN</t>
        </is>
      </c>
      <c r="G189" t="inlineStr">
        <is>
          <t>HÖGSBY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44981</v>
      </c>
      <c r="E190" s="1" t="n">
        <v>46283</v>
      </c>
      <c r="F190" t="inlineStr">
        <is>
          <t>KALMAR LÄN</t>
        </is>
      </c>
      <c r="G190" t="inlineStr">
        <is>
          <t>HÖGSBY</t>
        </is>
      </c>
      <c r="H190" t="inlineStr">
        <is>
          <t>Övriga Aktiebolag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18099-2023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46283</v>
      </c>
      <c r="F191" t="inlineStr">
        <is>
          <t>KALMAR LÄN</t>
        </is>
      </c>
      <c r="G191" t="inlineStr">
        <is>
          <t>HÖGSBY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59281-2022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44904</v>
      </c>
      <c r="E192" s="1" t="n">
        <v>46283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21801-2026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46283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2079-2023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44939</v>
      </c>
      <c r="E194" s="1" t="n">
        <v>46283</v>
      </c>
      <c r="F194" t="inlineStr">
        <is>
          <t>KALMAR LÄN</t>
        </is>
      </c>
      <c r="G194" t="inlineStr">
        <is>
          <t>HÖGSBY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50367-2022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46283</v>
      </c>
      <c r="F195" t="inlineStr">
        <is>
          <t>KALMAR LÄN</t>
        </is>
      </c>
      <c r="G195" t="inlineStr">
        <is>
          <t>HÖGSBY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37811-2024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45544</v>
      </c>
      <c r="E196" s="1" t="n">
        <v>46283</v>
      </c>
      <c r="F196" t="inlineStr">
        <is>
          <t>KALMAR LÄN</t>
        </is>
      </c>
      <c r="G196" t="inlineStr">
        <is>
          <t>HÖGSBY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28648-2023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45103</v>
      </c>
      <c r="E197" s="1" t="n">
        <v>46283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30490-2023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45111</v>
      </c>
      <c r="E198" s="1" t="n">
        <v>46283</v>
      </c>
      <c r="F198" t="inlineStr">
        <is>
          <t>KALMAR LÄN</t>
        </is>
      </c>
      <c r="G198" t="inlineStr">
        <is>
          <t>HÖGSBY</t>
        </is>
      </c>
      <c r="I198" t="n">
        <v>12.1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45341</v>
      </c>
      <c r="E199" s="1" t="n">
        <v>46283</v>
      </c>
      <c r="F199" t="inlineStr">
        <is>
          <t>KALMAR LÄN</t>
        </is>
      </c>
      <c r="G199" t="inlineStr">
        <is>
          <t>HÖGSBY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46283</v>
      </c>
      <c r="F200" t="inlineStr">
        <is>
          <t>KALMAR LÄN</t>
        </is>
      </c>
      <c r="G200" t="inlineStr">
        <is>
          <t>HÖGSBY</t>
        </is>
      </c>
      <c r="H200" t="inlineStr">
        <is>
          <t>Kyrkan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22562-2026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46155</v>
      </c>
      <c r="E201" s="1" t="n">
        <v>46283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22564-2026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46155</v>
      </c>
      <c r="E202" s="1" t="n">
        <v>46283</v>
      </c>
      <c r="F202" t="inlineStr">
        <is>
          <t>KALMAR LÄN</t>
        </is>
      </c>
      <c r="G202" t="inlineStr">
        <is>
          <t>HÖGSBY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46157</v>
      </c>
      <c r="E203" s="1" t="n">
        <v>46283</v>
      </c>
      <c r="F203" t="inlineStr">
        <is>
          <t>KALMAR LÄN</t>
        </is>
      </c>
      <c r="G203" t="inlineStr">
        <is>
          <t>HÖGSBY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17216-2023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45034</v>
      </c>
      <c r="E204" s="1" t="n">
        <v>46283</v>
      </c>
      <c r="F204" t="inlineStr">
        <is>
          <t>KALMAR LÄN</t>
        </is>
      </c>
      <c r="G204" t="inlineStr">
        <is>
          <t>HÖGSBY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45093</v>
      </c>
      <c r="E205" s="1" t="n">
        <v>46283</v>
      </c>
      <c r="F205" t="inlineStr">
        <is>
          <t>KALMAR LÄN</t>
        </is>
      </c>
      <c r="G205" t="inlineStr">
        <is>
          <t>HÖGSBY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22755-2026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46157</v>
      </c>
      <c r="E206" s="1" t="n">
        <v>46283</v>
      </c>
      <c r="F206" t="inlineStr">
        <is>
          <t>KALMAR LÄN</t>
        </is>
      </c>
      <c r="G206" t="inlineStr">
        <is>
          <t>HÖGSBY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59409-2022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44907</v>
      </c>
      <c r="E207" s="1" t="n">
        <v>46283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46162</v>
      </c>
      <c r="E208" s="1" t="n">
        <v>46283</v>
      </c>
      <c r="F208" t="inlineStr">
        <is>
          <t>KALMAR LÄN</t>
        </is>
      </c>
      <c r="G208" t="inlineStr">
        <is>
          <t>HÖGSBY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46283</v>
      </c>
      <c r="F209" t="inlineStr">
        <is>
          <t>KALMAR LÄN</t>
        </is>
      </c>
      <c r="G209" t="inlineStr">
        <is>
          <t>HÖGSBY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23116-2026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46161</v>
      </c>
      <c r="E210" s="1" t="n">
        <v>46283</v>
      </c>
      <c r="F210" t="inlineStr">
        <is>
          <t>KALMAR LÄN</t>
        </is>
      </c>
      <c r="G210" t="inlineStr">
        <is>
          <t>HÖGSBY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1768-2024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45307</v>
      </c>
      <c r="E211" s="1" t="n">
        <v>46283</v>
      </c>
      <c r="F211" t="inlineStr">
        <is>
          <t>KALMAR LÄN</t>
        </is>
      </c>
      <c r="G211" t="inlineStr">
        <is>
          <t>HÖGSBY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46283</v>
      </c>
      <c r="F212" t="inlineStr">
        <is>
          <t>KALMAR LÄN</t>
        </is>
      </c>
      <c r="G212" t="inlineStr">
        <is>
          <t>HÖGSBY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60555-2021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44496</v>
      </c>
      <c r="E213" s="1" t="n">
        <v>46283</v>
      </c>
      <c r="F213" t="inlineStr">
        <is>
          <t>KALMAR LÄN</t>
        </is>
      </c>
      <c r="G213" t="inlineStr">
        <is>
          <t>HÖGSBY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23937-2026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46167</v>
      </c>
      <c r="E214" s="1" t="n">
        <v>46283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13308-2024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45386</v>
      </c>
      <c r="E215" s="1" t="n">
        <v>46283</v>
      </c>
      <c r="F215" t="inlineStr">
        <is>
          <t>KALMAR LÄN</t>
        </is>
      </c>
      <c r="G215" t="inlineStr">
        <is>
          <t>HÖGSBY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46329-2024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45581</v>
      </c>
      <c r="E216" s="1" t="n">
        <v>46283</v>
      </c>
      <c r="F216" t="inlineStr">
        <is>
          <t>KALMAR LÄN</t>
        </is>
      </c>
      <c r="G216" t="inlineStr">
        <is>
          <t>HÖGSBY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46283</v>
      </c>
      <c r="F217" t="inlineStr">
        <is>
          <t>KALMAR LÄN</t>
        </is>
      </c>
      <c r="G217" t="inlineStr">
        <is>
          <t>HÖGSBY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73709-2021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44552</v>
      </c>
      <c r="E218" s="1" t="n">
        <v>46283</v>
      </c>
      <c r="F218" t="inlineStr">
        <is>
          <t>KALMAR LÄN</t>
        </is>
      </c>
      <c r="G218" t="inlineStr">
        <is>
          <t>HÖGSBY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45393</v>
      </c>
      <c r="E219" s="1" t="n">
        <v>46283</v>
      </c>
      <c r="F219" t="inlineStr">
        <is>
          <t>KALMAR LÄN</t>
        </is>
      </c>
      <c r="G219" t="inlineStr">
        <is>
          <t>HÖGSBY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45946</v>
      </c>
      <c r="E220" s="1" t="n">
        <v>46283</v>
      </c>
      <c r="F220" t="inlineStr">
        <is>
          <t>KALMAR LÄN</t>
        </is>
      </c>
      <c r="G220" t="inlineStr">
        <is>
          <t>HÖGSBY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38600-2024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45546</v>
      </c>
      <c r="E221" s="1" t="n">
        <v>46283</v>
      </c>
      <c r="F221" t="inlineStr">
        <is>
          <t>KALMAR LÄN</t>
        </is>
      </c>
      <c r="G221" t="inlineStr">
        <is>
          <t>HÖGSBY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24417-2026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46169</v>
      </c>
      <c r="E222" s="1" t="n">
        <v>46283</v>
      </c>
      <c r="F222" t="inlineStr">
        <is>
          <t>KALMAR LÄN</t>
        </is>
      </c>
      <c r="G222" t="inlineStr">
        <is>
          <t>HÖGSBY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7599-2024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45348</v>
      </c>
      <c r="E223" s="1" t="n">
        <v>46283</v>
      </c>
      <c r="F223" t="inlineStr">
        <is>
          <t>KALMAR LÄN</t>
        </is>
      </c>
      <c r="G223" t="inlineStr">
        <is>
          <t>HÖGSBY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50947-2025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46283</v>
      </c>
      <c r="F224" t="inlineStr">
        <is>
          <t>KALMAR LÄN</t>
        </is>
      </c>
      <c r="G224" t="inlineStr">
        <is>
          <t>HÖGSBY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8463-2023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44972</v>
      </c>
      <c r="E225" s="1" t="n">
        <v>46283</v>
      </c>
      <c r="F225" t="inlineStr">
        <is>
          <t>KALMAR LÄN</t>
        </is>
      </c>
      <c r="G225" t="inlineStr">
        <is>
          <t>HÖGSBY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24601-2024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45460</v>
      </c>
      <c r="E226" s="1" t="n">
        <v>46283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14.7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45360</v>
      </c>
      <c r="E227" s="1" t="n">
        <v>46283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50950-2025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46283</v>
      </c>
      <c r="F228" t="inlineStr">
        <is>
          <t>KALMAR LÄN</t>
        </is>
      </c>
      <c r="G228" t="inlineStr">
        <is>
          <t>HÖGSBY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9700-2023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44984</v>
      </c>
      <c r="E229" s="1" t="n">
        <v>46283</v>
      </c>
      <c r="F229" t="inlineStr">
        <is>
          <t>KALMAR LÄN</t>
        </is>
      </c>
      <c r="G229" t="inlineStr">
        <is>
          <t>HÖGSBY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46283</v>
      </c>
      <c r="F230" t="inlineStr">
        <is>
          <t>KALMAR LÄN</t>
        </is>
      </c>
      <c r="G230" t="inlineStr">
        <is>
          <t>HÖGSBY</t>
        </is>
      </c>
      <c r="H230" t="inlineStr">
        <is>
          <t>Kommuner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51720-2025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45950</v>
      </c>
      <c r="E231" s="1" t="n">
        <v>46283</v>
      </c>
      <c r="F231" t="inlineStr">
        <is>
          <t>KALMAR LÄN</t>
        </is>
      </c>
      <c r="G231" t="inlineStr">
        <is>
          <t>HÖGSBY</t>
        </is>
      </c>
      <c r="I231" t="n">
        <v>12.8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41479-2023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45175</v>
      </c>
      <c r="E232" s="1" t="n">
        <v>46283</v>
      </c>
      <c r="F232" t="inlineStr">
        <is>
          <t>KALMAR LÄN</t>
        </is>
      </c>
      <c r="G232" t="inlineStr">
        <is>
          <t>HÖGSBY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53501-2024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46283</v>
      </c>
      <c r="F233" t="inlineStr">
        <is>
          <t>KALMAR LÄN</t>
        </is>
      </c>
      <c r="G233" t="inlineStr">
        <is>
          <t>HÖGSBY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25352-2026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46176</v>
      </c>
      <c r="E234" s="1" t="n">
        <v>46283</v>
      </c>
      <c r="F234" t="inlineStr">
        <is>
          <t>KALMAR LÄN</t>
        </is>
      </c>
      <c r="G234" t="inlineStr">
        <is>
          <t>HÖGSBY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46283</v>
      </c>
      <c r="F235" t="inlineStr">
        <is>
          <t>KALMAR LÄN</t>
        </is>
      </c>
      <c r="G235" t="inlineStr">
        <is>
          <t>HÖGSBY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45145</v>
      </c>
      <c r="E236" s="1" t="n">
        <v>46283</v>
      </c>
      <c r="F236" t="inlineStr">
        <is>
          <t>KALMAR LÄN</t>
        </is>
      </c>
      <c r="G236" t="inlineStr">
        <is>
          <t>HÖGSBY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46283</v>
      </c>
      <c r="F237" t="inlineStr">
        <is>
          <t>KALMAR LÄN</t>
        </is>
      </c>
      <c r="G237" t="inlineStr">
        <is>
          <t>HÖGSBY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26109-2026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46181</v>
      </c>
      <c r="E238" s="1" t="n">
        <v>46283</v>
      </c>
      <c r="F238" t="inlineStr">
        <is>
          <t>KALMAR LÄN</t>
        </is>
      </c>
      <c r="G238" t="inlineStr">
        <is>
          <t>HÖGSBY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46283</v>
      </c>
      <c r="F239" t="inlineStr">
        <is>
          <t>KALMAR LÄN</t>
        </is>
      </c>
      <c r="G239" t="inlineStr">
        <is>
          <t>HÖGSBY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46181</v>
      </c>
      <c r="E240" s="1" t="n">
        <v>46283</v>
      </c>
      <c r="F240" t="inlineStr">
        <is>
          <t>KALMAR LÄN</t>
        </is>
      </c>
      <c r="G240" t="inlineStr">
        <is>
          <t>HÖGSBY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52575-2025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45953</v>
      </c>
      <c r="E241" s="1" t="n">
        <v>46283</v>
      </c>
      <c r="F241" t="inlineStr">
        <is>
          <t>KALMAR LÄN</t>
        </is>
      </c>
      <c r="G241" t="inlineStr">
        <is>
          <t>HÖGSBY</t>
        </is>
      </c>
      <c r="H241" t="inlineStr">
        <is>
          <t>Kyrkan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27365-2026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46283</v>
      </c>
      <c r="F242" t="inlineStr">
        <is>
          <t>KALMAR LÄN</t>
        </is>
      </c>
      <c r="G242" t="inlineStr">
        <is>
          <t>HÖGSBY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27367-2026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46184</v>
      </c>
      <c r="E243" s="1" t="n">
        <v>46283</v>
      </c>
      <c r="F243" t="inlineStr">
        <is>
          <t>KALMAR LÄN</t>
        </is>
      </c>
      <c r="G243" t="inlineStr">
        <is>
          <t>HÖGSBY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46283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26764-2026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46283</v>
      </c>
      <c r="F245" t="inlineStr">
        <is>
          <t>KALMAR LÄN</t>
        </is>
      </c>
      <c r="G245" t="inlineStr">
        <is>
          <t>HÖGSBY</t>
        </is>
      </c>
      <c r="H245" t="inlineStr">
        <is>
          <t>Sveaskog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46283</v>
      </c>
      <c r="F246" t="inlineStr">
        <is>
          <t>KALMAR LÄN</t>
        </is>
      </c>
      <c r="G246" t="inlineStr">
        <is>
          <t>HÖGSBY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46283</v>
      </c>
      <c r="F247" t="inlineStr">
        <is>
          <t>KALMAR LÄN</t>
        </is>
      </c>
      <c r="G247" t="inlineStr">
        <is>
          <t>HÖGSBY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26963-2026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46185</v>
      </c>
      <c r="E248" s="1" t="n">
        <v>46283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52533-2025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45954</v>
      </c>
      <c r="E249" s="1" t="n">
        <v>46283</v>
      </c>
      <c r="F249" t="inlineStr">
        <is>
          <t>KALMAR LÄN</t>
        </is>
      </c>
      <c r="G249" t="inlineStr">
        <is>
          <t>HÖGSBY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26760-2026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46283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55703-2023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45239</v>
      </c>
      <c r="E251" s="1" t="n">
        <v>46283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26752-2026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46184</v>
      </c>
      <c r="E252" s="1" t="n">
        <v>46283</v>
      </c>
      <c r="F252" t="inlineStr">
        <is>
          <t>KALMAR LÄN</t>
        </is>
      </c>
      <c r="G252" t="inlineStr">
        <is>
          <t>HÖGSBY</t>
        </is>
      </c>
      <c r="H252" t="inlineStr">
        <is>
          <t>Sveaskog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46188</v>
      </c>
      <c r="E253" s="1" t="n">
        <v>46283</v>
      </c>
      <c r="F253" t="inlineStr">
        <is>
          <t>KALMAR LÄN</t>
        </is>
      </c>
      <c r="G253" t="inlineStr">
        <is>
          <t>HÖGSBY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52545-2025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46283</v>
      </c>
      <c r="F254" t="inlineStr">
        <is>
          <t>KALMAR LÄN</t>
        </is>
      </c>
      <c r="G254" t="inlineStr">
        <is>
          <t>HÖGSBY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46185</v>
      </c>
      <c r="E255" s="1" t="n">
        <v>46283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47859-2023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45204</v>
      </c>
      <c r="E256" s="1" t="n">
        <v>46283</v>
      </c>
      <c r="F256" t="inlineStr">
        <is>
          <t>KALMAR LÄN</t>
        </is>
      </c>
      <c r="G256" t="inlineStr">
        <is>
          <t>HÖGSBY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27812-2026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46283</v>
      </c>
      <c r="F257" t="inlineStr">
        <is>
          <t>KALMAR LÄN</t>
        </is>
      </c>
      <c r="G257" t="inlineStr">
        <is>
          <t>HÖGSBY</t>
        </is>
      </c>
      <c r="H257" t="inlineStr">
        <is>
          <t>Sveaskog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7325-2025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45702</v>
      </c>
      <c r="E258" s="1" t="n">
        <v>46283</v>
      </c>
      <c r="F258" t="inlineStr">
        <is>
          <t>KALMAR LÄN</t>
        </is>
      </c>
      <c r="G258" t="inlineStr">
        <is>
          <t>HÖGSBY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10704-2022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44625</v>
      </c>
      <c r="E259" s="1" t="n">
        <v>46283</v>
      </c>
      <c r="F259" t="inlineStr">
        <is>
          <t>KALMAR LÄN</t>
        </is>
      </c>
      <c r="G259" t="inlineStr">
        <is>
          <t>HÖGSBY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44625</v>
      </c>
      <c r="E260" s="1" t="n">
        <v>46283</v>
      </c>
      <c r="F260" t="inlineStr">
        <is>
          <t>KALMAR LÄN</t>
        </is>
      </c>
      <c r="G260" t="inlineStr">
        <is>
          <t>HÖGSBY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54735-2025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45966</v>
      </c>
      <c r="E261" s="1" t="n">
        <v>46283</v>
      </c>
      <c r="F261" t="inlineStr">
        <is>
          <t>KALMAR LÄN</t>
        </is>
      </c>
      <c r="G261" t="inlineStr">
        <is>
          <t>HÖGSBY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46195</v>
      </c>
      <c r="E262" s="1" t="n">
        <v>46283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28573-2026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46197</v>
      </c>
      <c r="E263" s="1" t="n">
        <v>46283</v>
      </c>
      <c r="F263" t="inlineStr">
        <is>
          <t>KALMAR LÄN</t>
        </is>
      </c>
      <c r="G263" t="inlineStr">
        <is>
          <t>HÖGSBY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28574-2026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46197</v>
      </c>
      <c r="E264" s="1" t="n">
        <v>46283</v>
      </c>
      <c r="F264" t="inlineStr">
        <is>
          <t>KALMAR LÄN</t>
        </is>
      </c>
      <c r="G264" t="inlineStr">
        <is>
          <t>HÖGSBY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28265-2026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46196</v>
      </c>
      <c r="E265" s="1" t="n">
        <v>46283</v>
      </c>
      <c r="F265" t="inlineStr">
        <is>
          <t>KALMAR LÄN</t>
        </is>
      </c>
      <c r="G265" t="inlineStr">
        <is>
          <t>HÖGSBY</t>
        </is>
      </c>
      <c r="H265" t="inlineStr">
        <is>
          <t>Kommuner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47503-2023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45203</v>
      </c>
      <c r="E266" s="1" t="n">
        <v>46283</v>
      </c>
      <c r="F266" t="inlineStr">
        <is>
          <t>KALMAR LÄN</t>
        </is>
      </c>
      <c r="G266" t="inlineStr">
        <is>
          <t>HÖGSBY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40990-2023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45173</v>
      </c>
      <c r="E267" s="1" t="n">
        <v>46283</v>
      </c>
      <c r="F267" t="inlineStr">
        <is>
          <t>KALMAR LÄN</t>
        </is>
      </c>
      <c r="G267" t="inlineStr">
        <is>
          <t>HÖGSBY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28815-2026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46198</v>
      </c>
      <c r="E268" s="1" t="n">
        <v>46283</v>
      </c>
      <c r="F268" t="inlineStr">
        <is>
          <t>KALMAR LÄN</t>
        </is>
      </c>
      <c r="G268" t="inlineStr">
        <is>
          <t>HÖGSBY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46198</v>
      </c>
      <c r="E269" s="1" t="n">
        <v>46283</v>
      </c>
      <c r="F269" t="inlineStr">
        <is>
          <t>KALMAR LÄN</t>
        </is>
      </c>
      <c r="G269" t="inlineStr">
        <is>
          <t>HÖGSBY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28702-2026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46198</v>
      </c>
      <c r="E270" s="1" t="n">
        <v>46283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28692-2026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46198</v>
      </c>
      <c r="E271" s="1" t="n">
        <v>46283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28713-2026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46198</v>
      </c>
      <c r="E272" s="1" t="n">
        <v>46283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45650-2023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46283</v>
      </c>
      <c r="F273" t="inlineStr">
        <is>
          <t>KALMAR LÄN</t>
        </is>
      </c>
      <c r="G273" t="inlineStr">
        <is>
          <t>HÖGSBY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56353-2025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45974</v>
      </c>
      <c r="E274" s="1" t="n">
        <v>46283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40155-2023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45168</v>
      </c>
      <c r="E275" s="1" t="n">
        <v>46283</v>
      </c>
      <c r="F275" t="inlineStr">
        <is>
          <t>KALMAR LÄN</t>
        </is>
      </c>
      <c r="G275" t="inlineStr">
        <is>
          <t>HÖGSBY</t>
        </is>
      </c>
      <c r="H275" t="inlineStr">
        <is>
          <t>Kommuner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46283</v>
      </c>
      <c r="F276" t="inlineStr">
        <is>
          <t>KALMAR LÄN</t>
        </is>
      </c>
      <c r="G276" t="inlineStr">
        <is>
          <t>HÖGSBY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28634-2026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46198</v>
      </c>
      <c r="E277" s="1" t="n">
        <v>46283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46199</v>
      </c>
      <c r="E278" s="1" t="n">
        <v>46283</v>
      </c>
      <c r="F278" t="inlineStr">
        <is>
          <t>KALMAR LÄN</t>
        </is>
      </c>
      <c r="G278" t="inlineStr">
        <is>
          <t>HÖGSBY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28808-2026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46198</v>
      </c>
      <c r="E279" s="1" t="n">
        <v>46283</v>
      </c>
      <c r="F279" t="inlineStr">
        <is>
          <t>KALMAR LÄN</t>
        </is>
      </c>
      <c r="G279" t="inlineStr">
        <is>
          <t>HÖGSBY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28899-2026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46283</v>
      </c>
      <c r="F280" t="inlineStr">
        <is>
          <t>KALMAR LÄN</t>
        </is>
      </c>
      <c r="G280" t="inlineStr">
        <is>
          <t>HÖGSBY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28691-2026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46198</v>
      </c>
      <c r="E281" s="1" t="n">
        <v>46283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28697-2026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46198</v>
      </c>
      <c r="E282" s="1" t="n">
        <v>46283</v>
      </c>
      <c r="F282" t="inlineStr">
        <is>
          <t>KALMAR LÄN</t>
        </is>
      </c>
      <c r="G282" t="inlineStr">
        <is>
          <t>HÖGSBY</t>
        </is>
      </c>
      <c r="H282" t="inlineStr">
        <is>
          <t>Sveaskog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29206-2026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46283</v>
      </c>
      <c r="F283" t="inlineStr">
        <is>
          <t>KALMAR LÄN</t>
        </is>
      </c>
      <c r="G283" t="inlineStr">
        <is>
          <t>HÖGSBY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38797-2024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45547</v>
      </c>
      <c r="E284" s="1" t="n">
        <v>46283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6.4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57168-2025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45979</v>
      </c>
      <c r="E285" s="1" t="n">
        <v>46283</v>
      </c>
      <c r="F285" t="inlineStr">
        <is>
          <t>KALMAR LÄN</t>
        </is>
      </c>
      <c r="G285" t="inlineStr">
        <is>
          <t>HÖGSBY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46283</v>
      </c>
      <c r="F286" t="inlineStr">
        <is>
          <t>KALMAR LÄN</t>
        </is>
      </c>
      <c r="G286" t="inlineStr">
        <is>
          <t>HÖGSBY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25861-2023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45090</v>
      </c>
      <c r="E287" s="1" t="n">
        <v>46283</v>
      </c>
      <c r="F287" t="inlineStr">
        <is>
          <t>KALMAR LÄN</t>
        </is>
      </c>
      <c r="G287" t="inlineStr">
        <is>
          <t>HÖGSBY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25876-2023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45090</v>
      </c>
      <c r="E288" s="1" t="n">
        <v>46283</v>
      </c>
      <c r="F288" t="inlineStr">
        <is>
          <t>KALMAR LÄN</t>
        </is>
      </c>
      <c r="G288" t="inlineStr">
        <is>
          <t>HÖGSBY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38285-2023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46283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17185-2022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44677</v>
      </c>
      <c r="E290" s="1" t="n">
        <v>46283</v>
      </c>
      <c r="F290" t="inlineStr">
        <is>
          <t>KALMAR LÄN</t>
        </is>
      </c>
      <c r="G290" t="inlineStr">
        <is>
          <t>HÖGSBY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44865-2023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45190</v>
      </c>
      <c r="E291" s="1" t="n">
        <v>46283</v>
      </c>
      <c r="F291" t="inlineStr">
        <is>
          <t>KALMAR LÄN</t>
        </is>
      </c>
      <c r="G291" t="inlineStr">
        <is>
          <t>HÖGSBY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6819-2025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45700</v>
      </c>
      <c r="E292" s="1" t="n">
        <v>46283</v>
      </c>
      <c r="F292" t="inlineStr">
        <is>
          <t>KALMAR LÄN</t>
        </is>
      </c>
      <c r="G292" t="inlineStr">
        <is>
          <t>HÖGSBY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6828-2025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46283</v>
      </c>
      <c r="F293" t="inlineStr">
        <is>
          <t>KALMAR LÄN</t>
        </is>
      </c>
      <c r="G293" t="inlineStr">
        <is>
          <t>HÖGSBY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27916-2023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45093</v>
      </c>
      <c r="E294" s="1" t="n">
        <v>46283</v>
      </c>
      <c r="F294" t="inlineStr">
        <is>
          <t>KALMAR LÄN</t>
        </is>
      </c>
      <c r="G294" t="inlineStr">
        <is>
          <t>HÖGSBY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30166-2026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46206</v>
      </c>
      <c r="E295" s="1" t="n">
        <v>46283</v>
      </c>
      <c r="F295" t="inlineStr">
        <is>
          <t>KALMAR LÄN</t>
        </is>
      </c>
      <c r="G295" t="inlineStr">
        <is>
          <t>HÖGSBY</t>
        </is>
      </c>
      <c r="H295" t="inlineStr">
        <is>
          <t>Sveaskog</t>
        </is>
      </c>
      <c r="I295" t="n">
        <v>12.7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44882</v>
      </c>
      <c r="E296" s="1" t="n">
        <v>46283</v>
      </c>
      <c r="F296" t="inlineStr">
        <is>
          <t>KALMAR LÄN</t>
        </is>
      </c>
      <c r="G296" t="inlineStr">
        <is>
          <t>HÖGSBY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30180-2026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46206</v>
      </c>
      <c r="E297" s="1" t="n">
        <v>46283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58045-2023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45247</v>
      </c>
      <c r="E298" s="1" t="n">
        <v>46283</v>
      </c>
      <c r="F298" t="inlineStr">
        <is>
          <t>KALMAR LÄN</t>
        </is>
      </c>
      <c r="G298" t="inlineStr">
        <is>
          <t>HÖGSBY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46283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35047-2023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46283</v>
      </c>
      <c r="F300" t="inlineStr">
        <is>
          <t>KALMAR LÄN</t>
        </is>
      </c>
      <c r="G300" t="inlineStr">
        <is>
          <t>HÖGSBY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63379-2023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45274</v>
      </c>
      <c r="E301" s="1" t="n">
        <v>46283</v>
      </c>
      <c r="F301" t="inlineStr">
        <is>
          <t>KALMAR LÄN</t>
        </is>
      </c>
      <c r="G301" t="inlineStr">
        <is>
          <t>HÖGSBY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36909-2023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46283</v>
      </c>
      <c r="F302" t="inlineStr">
        <is>
          <t>KALMAR LÄN</t>
        </is>
      </c>
      <c r="G302" t="inlineStr">
        <is>
          <t>HÖGSBY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30291-2026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46283</v>
      </c>
      <c r="F303" t="inlineStr">
        <is>
          <t>KALMAR LÄN</t>
        </is>
      </c>
      <c r="G303" t="inlineStr">
        <is>
          <t>HÖGSBY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33788-2026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46251</v>
      </c>
      <c r="E304" s="1" t="n">
        <v>46283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46283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30162-2026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46206</v>
      </c>
      <c r="E306" s="1" t="n">
        <v>46283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30294-2022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44760</v>
      </c>
      <c r="E307" s="1" t="n">
        <v>46283</v>
      </c>
      <c r="F307" t="inlineStr">
        <is>
          <t>KALMAR LÄN</t>
        </is>
      </c>
      <c r="G307" t="inlineStr">
        <is>
          <t>HÖGSBY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46283</v>
      </c>
      <c r="F308" t="inlineStr">
        <is>
          <t>KALMAR LÄN</t>
        </is>
      </c>
      <c r="G308" t="inlineStr">
        <is>
          <t>HÖGSBY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59109-2025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45988</v>
      </c>
      <c r="E309" s="1" t="n">
        <v>46283</v>
      </c>
      <c r="F309" t="inlineStr">
        <is>
          <t>KALMAR LÄN</t>
        </is>
      </c>
      <c r="G309" t="inlineStr">
        <is>
          <t>HÖGSBY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45720</v>
      </c>
      <c r="E310" s="1" t="n">
        <v>46283</v>
      </c>
      <c r="F310" t="inlineStr">
        <is>
          <t>KALMAR LÄN</t>
        </is>
      </c>
      <c r="G310" t="inlineStr">
        <is>
          <t>HÖGSBY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60266-2025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46283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1582-2024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45306</v>
      </c>
      <c r="E312" s="1" t="n">
        <v>46283</v>
      </c>
      <c r="F312" t="inlineStr">
        <is>
          <t>KALMAR LÄN</t>
        </is>
      </c>
      <c r="G312" t="inlineStr">
        <is>
          <t>HÖGSBY</t>
        </is>
      </c>
      <c r="H312" t="inlineStr">
        <is>
          <t>Övriga Aktiebolag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61030-2025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45999</v>
      </c>
      <c r="E313" s="1" t="n">
        <v>46283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61031-2025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45999</v>
      </c>
      <c r="E314" s="1" t="n">
        <v>46283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46001</v>
      </c>
      <c r="E315" s="1" t="n">
        <v>46283</v>
      </c>
      <c r="F315" t="inlineStr">
        <is>
          <t>KALMAR LÄN</t>
        </is>
      </c>
      <c r="G315" t="inlineStr">
        <is>
          <t>HÖGSBY</t>
        </is>
      </c>
      <c r="I315" t="n">
        <v>9.4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35914-2026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46266</v>
      </c>
      <c r="E316" s="1" t="n">
        <v>46283</v>
      </c>
      <c r="F316" t="inlineStr">
        <is>
          <t>KALMAR LÄN</t>
        </is>
      </c>
      <c r="G316" t="inlineStr">
        <is>
          <t>HÖGSBY</t>
        </is>
      </c>
      <c r="I316" t="n">
        <v>7.7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61021-2025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46283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46283</v>
      </c>
      <c r="F318" t="inlineStr">
        <is>
          <t>KALMAR LÄN</t>
        </is>
      </c>
      <c r="G318" t="inlineStr">
        <is>
          <t>HÖGSBY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46283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35910-2026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46283</v>
      </c>
      <c r="F320" t="inlineStr">
        <is>
          <t>KALMAR LÄN</t>
        </is>
      </c>
      <c r="G320" t="inlineStr">
        <is>
          <t>HÖGSBY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74478-2021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44559</v>
      </c>
      <c r="E321" s="1" t="n">
        <v>46283</v>
      </c>
      <c r="F321" t="inlineStr">
        <is>
          <t>KALMAR LÄN</t>
        </is>
      </c>
      <c r="G321" t="inlineStr">
        <is>
          <t>HÖGSBY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46283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36200-2026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46267</v>
      </c>
      <c r="E323" s="1" t="n">
        <v>46283</v>
      </c>
      <c r="F323" t="inlineStr">
        <is>
          <t>KALMAR LÄN</t>
        </is>
      </c>
      <c r="G323" t="inlineStr">
        <is>
          <t>HÖGSBY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46267</v>
      </c>
      <c r="E324" s="1" t="n">
        <v>46283</v>
      </c>
      <c r="F324" t="inlineStr">
        <is>
          <t>KALMAR LÄN</t>
        </is>
      </c>
      <c r="G324" t="inlineStr">
        <is>
          <t>HÖGSBY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36404-2026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46268</v>
      </c>
      <c r="E325" s="1" t="n">
        <v>46283</v>
      </c>
      <c r="F325" t="inlineStr">
        <is>
          <t>KALMAR LÄN</t>
        </is>
      </c>
      <c r="G325" t="inlineStr">
        <is>
          <t>HÖGSBY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36258-2026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46268</v>
      </c>
      <c r="E326" s="1" t="n">
        <v>46283</v>
      </c>
      <c r="F326" t="inlineStr">
        <is>
          <t>KALMAR LÄN</t>
        </is>
      </c>
      <c r="G326" t="inlineStr">
        <is>
          <t>HÖGSBY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35873-2026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46283</v>
      </c>
      <c r="F327" t="inlineStr">
        <is>
          <t>KALMAR LÄN</t>
        </is>
      </c>
      <c r="G327" t="inlineStr">
        <is>
          <t>HÖGSBY</t>
        </is>
      </c>
      <c r="I327" t="n">
        <v>9.6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62720-2025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46008</v>
      </c>
      <c r="E328" s="1" t="n">
        <v>46283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62722-2025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46008</v>
      </c>
      <c r="E329" s="1" t="n">
        <v>46283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36442-2026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46269</v>
      </c>
      <c r="E330" s="1" t="n">
        <v>46283</v>
      </c>
      <c r="F330" t="inlineStr">
        <is>
          <t>KALMAR LÄN</t>
        </is>
      </c>
      <c r="G330" t="inlineStr">
        <is>
          <t>HÖGSBY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62563-2025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46007</v>
      </c>
      <c r="E331" s="1" t="n">
        <v>46283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36445-2026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46269</v>
      </c>
      <c r="E332" s="1" t="n">
        <v>46283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24.4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45244</v>
      </c>
      <c r="E333" s="1" t="n">
        <v>46283</v>
      </c>
      <c r="F333" t="inlineStr">
        <is>
          <t>KALMAR LÄN</t>
        </is>
      </c>
      <c r="G333" t="inlineStr">
        <is>
          <t>HÖGSBY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46274</v>
      </c>
      <c r="E334" s="1" t="n">
        <v>46283</v>
      </c>
      <c r="F334" t="inlineStr">
        <is>
          <t>KALMAR LÄN</t>
        </is>
      </c>
      <c r="G334" t="inlineStr">
        <is>
          <t>HÖGSBY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38824-2024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45547</v>
      </c>
      <c r="E335" s="1" t="n">
        <v>46283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62918-2025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46009</v>
      </c>
      <c r="E336" s="1" t="n">
        <v>46283</v>
      </c>
      <c r="F336" t="inlineStr">
        <is>
          <t>KALMAR LÄN</t>
        </is>
      </c>
      <c r="G336" t="inlineStr">
        <is>
          <t>HÖGSBY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63483-2025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46013</v>
      </c>
      <c r="E337" s="1" t="n">
        <v>46283</v>
      </c>
      <c r="F337" t="inlineStr">
        <is>
          <t>KALMAR LÄN</t>
        </is>
      </c>
      <c r="G337" t="inlineStr">
        <is>
          <t>HÖGSBY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4931-2024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46283</v>
      </c>
      <c r="F338" t="inlineStr">
        <is>
          <t>KALMAR LÄN</t>
        </is>
      </c>
      <c r="G338" t="inlineStr">
        <is>
          <t>HÖGSBY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37233-2026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46274</v>
      </c>
      <c r="E339" s="1" t="n">
        <v>46283</v>
      </c>
      <c r="F339" t="inlineStr">
        <is>
          <t>KALMAR LÄN</t>
        </is>
      </c>
      <c r="G339" t="inlineStr">
        <is>
          <t>HÖGSBY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37335-2026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46275</v>
      </c>
      <c r="E340" s="1" t="n">
        <v>46283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37338-2026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46283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44861</v>
      </c>
      <c r="E342" s="1" t="n">
        <v>46283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46283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71635-2021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46283</v>
      </c>
      <c r="F344" t="inlineStr">
        <is>
          <t>KALMAR LÄN</t>
        </is>
      </c>
      <c r="G344" t="inlineStr">
        <is>
          <t>HÖGSBY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8613-2022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44613</v>
      </c>
      <c r="E345" s="1" t="n">
        <v>46283</v>
      </c>
      <c r="F345" t="inlineStr">
        <is>
          <t>KALMAR LÄN</t>
        </is>
      </c>
      <c r="G345" t="inlineStr">
        <is>
          <t>HÖGSBY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46283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15.2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32228-2026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46237</v>
      </c>
      <c r="E347" s="1" t="n">
        <v>46283</v>
      </c>
      <c r="F347" t="inlineStr">
        <is>
          <t>KALMAR LÄN</t>
        </is>
      </c>
      <c r="G347" t="inlineStr">
        <is>
          <t>HÖGSBY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6478-2022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44601</v>
      </c>
      <c r="E348" s="1" t="n">
        <v>46283</v>
      </c>
      <c r="F348" t="inlineStr">
        <is>
          <t>KALMAR LÄN</t>
        </is>
      </c>
      <c r="G348" t="inlineStr">
        <is>
          <t>HÖGSBY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38185-2026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46281</v>
      </c>
      <c r="E349" s="1" t="n">
        <v>46283</v>
      </c>
      <c r="F349" t="inlineStr">
        <is>
          <t>KALMAR LÄN</t>
        </is>
      </c>
      <c r="G349" t="inlineStr">
        <is>
          <t>HÖGSBY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38597-2024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45546</v>
      </c>
      <c r="E350" s="1" t="n">
        <v>46283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22524-2024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45447</v>
      </c>
      <c r="E351" s="1" t="n">
        <v>46283</v>
      </c>
      <c r="F351" t="inlineStr">
        <is>
          <t>KALMAR LÄN</t>
        </is>
      </c>
      <c r="G351" t="inlineStr">
        <is>
          <t>HÖGSBY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2527-2026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46283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46283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15034-2023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45015</v>
      </c>
      <c r="E354" s="1" t="n">
        <v>46283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58753-2022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44903</v>
      </c>
      <c r="E355" s="1" t="n">
        <v>46283</v>
      </c>
      <c r="F355" t="inlineStr">
        <is>
          <t>KALMAR LÄN</t>
        </is>
      </c>
      <c r="G355" t="inlineStr">
        <is>
          <t>HÖGSBY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46038</v>
      </c>
      <c r="E356" s="1" t="n">
        <v>46283</v>
      </c>
      <c r="F356" t="inlineStr">
        <is>
          <t>KALMAR LÄN</t>
        </is>
      </c>
      <c r="G356" t="inlineStr">
        <is>
          <t>HÖGSBY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51619-2023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45222</v>
      </c>
      <c r="E357" s="1" t="n">
        <v>46283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50727-2023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46283</v>
      </c>
      <c r="F358" t="inlineStr">
        <is>
          <t>KALMAR LÄN</t>
        </is>
      </c>
      <c r="G358" t="inlineStr">
        <is>
          <t>HÖGSBY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51624-2023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46283</v>
      </c>
      <c r="F359" t="inlineStr">
        <is>
          <t>KALMAR LÄN</t>
        </is>
      </c>
      <c r="G359" t="inlineStr">
        <is>
          <t>HÖGSBY</t>
        </is>
      </c>
      <c r="H359" t="inlineStr">
        <is>
          <t>Sveaskog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24292-2022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44725</v>
      </c>
      <c r="E360" s="1" t="n">
        <v>46283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9427-2023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46283</v>
      </c>
      <c r="F361" t="inlineStr">
        <is>
          <t>KALMAR LÄN</t>
        </is>
      </c>
      <c r="G361" t="inlineStr">
        <is>
          <t>HÖGSBY</t>
        </is>
      </c>
      <c r="H361" t="inlineStr">
        <is>
          <t>Övriga Aktiebolag</t>
        </is>
      </c>
      <c r="I361" t="n">
        <v>8.300000000000001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45183</v>
      </c>
      <c r="E362" s="1" t="n">
        <v>46283</v>
      </c>
      <c r="F362" t="inlineStr">
        <is>
          <t>KALMAR LÄN</t>
        </is>
      </c>
      <c r="G362" t="inlineStr">
        <is>
          <t>HÖGSBY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7166-2026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46058</v>
      </c>
      <c r="E363" s="1" t="n">
        <v>46283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3982-2023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44950</v>
      </c>
      <c r="E364" s="1" t="n">
        <v>46283</v>
      </c>
      <c r="F364" t="inlineStr">
        <is>
          <t>KALMAR LÄN</t>
        </is>
      </c>
      <c r="G364" t="inlineStr">
        <is>
          <t>HÖGSBY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44436-2023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45189</v>
      </c>
      <c r="E365" s="1" t="n">
        <v>46283</v>
      </c>
      <c r="F365" t="inlineStr">
        <is>
          <t>KALMAR LÄN</t>
        </is>
      </c>
      <c r="G365" t="inlineStr">
        <is>
          <t>HÖGSBY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7443-2026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46059</v>
      </c>
      <c r="E366" s="1" t="n">
        <v>46283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14394-2023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45012</v>
      </c>
      <c r="E367" s="1" t="n">
        <v>46283</v>
      </c>
      <c r="F367" t="inlineStr">
        <is>
          <t>KALMAR LÄN</t>
        </is>
      </c>
      <c r="G367" t="inlineStr">
        <is>
          <t>HÖGSBY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45126</v>
      </c>
      <c r="E368" s="1" t="n">
        <v>46283</v>
      </c>
      <c r="F368" t="inlineStr">
        <is>
          <t>KALMAR LÄN</t>
        </is>
      </c>
      <c r="G368" t="inlineStr">
        <is>
          <t>HÖGSBY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9454-2023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44981</v>
      </c>
      <c r="E369" s="1" t="n">
        <v>46283</v>
      </c>
      <c r="F369" t="inlineStr">
        <is>
          <t>KALMAR LÄN</t>
        </is>
      </c>
      <c r="G369" t="inlineStr">
        <is>
          <t>HÖGSBY</t>
        </is>
      </c>
      <c r="H369" t="inlineStr">
        <is>
          <t>Övriga Aktiebolag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47797-2024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45588</v>
      </c>
      <c r="E370" s="1" t="n">
        <v>46283</v>
      </c>
      <c r="F370" t="inlineStr">
        <is>
          <t>KALMAR LÄN</t>
        </is>
      </c>
      <c r="G370" t="inlineStr">
        <is>
          <t>HÖGSBY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45692</v>
      </c>
      <c r="E371" s="1" t="n">
        <v>46283</v>
      </c>
      <c r="F371" t="inlineStr">
        <is>
          <t>KALMAR LÄN</t>
        </is>
      </c>
      <c r="G371" t="inlineStr">
        <is>
          <t>HÖGSBY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45239</v>
      </c>
      <c r="E372" s="1" t="n">
        <v>46283</v>
      </c>
      <c r="F372" t="inlineStr">
        <is>
          <t>KALMAR LÄN</t>
        </is>
      </c>
      <c r="G372" t="inlineStr">
        <is>
          <t>HÖGSBY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45337</v>
      </c>
      <c r="E373" s="1" t="n">
        <v>46283</v>
      </c>
      <c r="F373" t="inlineStr">
        <is>
          <t>KALMAR LÄN</t>
        </is>
      </c>
      <c r="G373" t="inlineStr">
        <is>
          <t>HÖGSBY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12757-2023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45001</v>
      </c>
      <c r="E374" s="1" t="n">
        <v>46283</v>
      </c>
      <c r="F374" t="inlineStr">
        <is>
          <t>KALMAR LÄN</t>
        </is>
      </c>
      <c r="G374" t="inlineStr">
        <is>
          <t>HÖGSBY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64130-2023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45279</v>
      </c>
      <c r="E375" s="1" t="n">
        <v>46283</v>
      </c>
      <c r="F375" t="inlineStr">
        <is>
          <t>KALMAR LÄN</t>
        </is>
      </c>
      <c r="G375" t="inlineStr">
        <is>
          <t>HÖGSBY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36573-2023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45153</v>
      </c>
      <c r="E376" s="1" t="n">
        <v>46283</v>
      </c>
      <c r="F376" t="inlineStr">
        <is>
          <t>KALMAR LÄN</t>
        </is>
      </c>
      <c r="G376" t="inlineStr">
        <is>
          <t>HÖGSBY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44623</v>
      </c>
      <c r="E377" s="1" t="n">
        <v>46283</v>
      </c>
      <c r="F377" t="inlineStr">
        <is>
          <t>KALMAR LÄN</t>
        </is>
      </c>
      <c r="G377" t="inlineStr">
        <is>
          <t>HÖGSBY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53328-2022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44879</v>
      </c>
      <c r="E378" s="1" t="n">
        <v>46283</v>
      </c>
      <c r="F378" t="inlineStr">
        <is>
          <t>KALMAR LÄN</t>
        </is>
      </c>
      <c r="G378" t="inlineStr">
        <is>
          <t>HÖGSBY</t>
        </is>
      </c>
      <c r="I378" t="n">
        <v>8.699999999999999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28650-2023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46283</v>
      </c>
      <c r="F379" t="inlineStr">
        <is>
          <t>KALMAR LÄN</t>
        </is>
      </c>
      <c r="G379" t="inlineStr">
        <is>
          <t>HÖGSBY</t>
        </is>
      </c>
      <c r="H379" t="inlineStr">
        <is>
          <t>Sveaskog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59408-2022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44907</v>
      </c>
      <c r="E380" s="1" t="n">
        <v>46283</v>
      </c>
      <c r="F380" t="inlineStr">
        <is>
          <t>KALMAR LÄN</t>
        </is>
      </c>
      <c r="G380" t="inlineStr">
        <is>
          <t>HÖGSBY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47502-2023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45203</v>
      </c>
      <c r="E381" s="1" t="n">
        <v>46283</v>
      </c>
      <c r="F381" t="inlineStr">
        <is>
          <t>KALMAR LÄN</t>
        </is>
      </c>
      <c r="G381" t="inlineStr">
        <is>
          <t>HÖGSBY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47571-2023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45203</v>
      </c>
      <c r="E382" s="1" t="n">
        <v>46283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7438-2023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46283</v>
      </c>
      <c r="F383" t="inlineStr">
        <is>
          <t>KALMAR LÄN</t>
        </is>
      </c>
      <c r="G383" t="inlineStr">
        <is>
          <t>HÖGSBY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55902-2024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46283</v>
      </c>
      <c r="F384" t="inlineStr">
        <is>
          <t>KALMAR LÄN</t>
        </is>
      </c>
      <c r="G384" t="inlineStr">
        <is>
          <t>HÖGSBY</t>
        </is>
      </c>
      <c r="I384" t="n">
        <v>8.9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17250-2024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45414</v>
      </c>
      <c r="E385" s="1" t="n">
        <v>46283</v>
      </c>
      <c r="F385" t="inlineStr">
        <is>
          <t>KALMAR LÄN</t>
        </is>
      </c>
      <c r="G385" t="inlineStr">
        <is>
          <t>HÖGSBY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34078-2024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45523</v>
      </c>
      <c r="E386" s="1" t="n">
        <v>46283</v>
      </c>
      <c r="F386" t="inlineStr">
        <is>
          <t>KALMAR LÄN</t>
        </is>
      </c>
      <c r="G386" t="inlineStr">
        <is>
          <t>HÖGSBY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21569-2025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45782</v>
      </c>
      <c r="E387" s="1" t="n">
        <v>46283</v>
      </c>
      <c r="F387" t="inlineStr">
        <is>
          <t>KALMAR LÄN</t>
        </is>
      </c>
      <c r="G387" t="inlineStr">
        <is>
          <t>HÖGSBY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40464-2023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46283</v>
      </c>
      <c r="F388" t="inlineStr">
        <is>
          <t>KALMAR LÄN</t>
        </is>
      </c>
      <c r="G388" t="inlineStr">
        <is>
          <t>HÖGSBY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40137-2024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45554</v>
      </c>
      <c r="E389" s="1" t="n">
        <v>46283</v>
      </c>
      <c r="F389" t="inlineStr">
        <is>
          <t>KALMAR LÄN</t>
        </is>
      </c>
      <c r="G389" t="inlineStr">
        <is>
          <t>HÖGSBY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  <c r="Z389">
        <f>HYPERLINK("https://klasma.github.io/Logging_0821/knärot/A 40137-2024 karta knärot.png", "A 40137-2024")</f>
        <v/>
      </c>
      <c r="AA389">
        <f>HYPERLINK("https://klasma.github.io/Logging_0821/klagomål/A 40137-2024 FSC-klagomål.docx", "A 40137-2024")</f>
        <v/>
      </c>
      <c r="AB389">
        <f>HYPERLINK("https://klasma.github.io/Logging_0821/klagomålsmail/A 40137-2024 FSC-klagomål mail.docx", "A 40137-2024")</f>
        <v/>
      </c>
      <c r="AC389">
        <f>HYPERLINK("https://klasma.github.io/Logging_0821/tillsyn/A 40137-2024 tillsynsbegäran.docx", "A 40137-2024")</f>
        <v/>
      </c>
      <c r="AD389">
        <f>HYPERLINK("https://klasma.github.io/Logging_0821/tillsynsmail/A 40137-2024 tillsynsbegäran mail.docx", "A 40137-2024")</f>
        <v/>
      </c>
    </row>
    <row r="390" ht="15" customHeight="1">
      <c r="A390" t="inlineStr">
        <is>
          <t>A 24013-2025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45796</v>
      </c>
      <c r="E390" s="1" t="n">
        <v>46283</v>
      </c>
      <c r="F390" t="inlineStr">
        <is>
          <t>KALMAR LÄN</t>
        </is>
      </c>
      <c r="G390" t="inlineStr">
        <is>
          <t>HÖGSBY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46283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46283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46283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46283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46283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46283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46283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46283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46283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46283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46283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46283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46283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46283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46283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46283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46283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46283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46283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46283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46283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46283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46283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46283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46283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2026-09-18T02:04:11Z</dcterms:created>
  <dcterms:modified xmlns:dcterms="http://purl.org/dc/terms/" xmlns:xsi="http://www.w3.org/2001/XMLSchema-instance" xsi:type="dcterms:W3CDTF">2026-09-18T02:04:12Z</dcterms:modified>
</cp:coreProperties>
</file>