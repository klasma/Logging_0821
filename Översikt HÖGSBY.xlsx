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46317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46317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46317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46317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46317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46317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46317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46317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46317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46317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46317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46317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46317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46317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46317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46317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46317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46317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46317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46317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46317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46317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46317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46317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46317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46317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46317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46317</v>
      </c>
      <c r="F31" t="inlineStr">
        <is>
          <t>KALMAR LÄN</t>
        </is>
      </c>
      <c r="G31" t="inlineStr">
        <is>
          <t>HÖGSBY</t>
        </is>
      </c>
      <c r="I31" t="n">
        <v>4.5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Ullticka
Spillkråka</t>
        </is>
      </c>
      <c r="W31">
        <f>HYPERLINK("https://klasma.github.io/Logging_0821/artfynd/A 62371-2023 artfynd.xlsx", "A 62371-2023")</f>
        <v/>
      </c>
      <c r="X31">
        <f>HYPERLINK("https://klasma.github.io/Logging_0821/kartor/A 62371-2023 karta.png", "A 62371-2023")</f>
        <v/>
      </c>
      <c r="Y31">
        <f>HYPERLINK("https://klasma.github.io/Logging_0821/kartor_geotiff/A 62371-2023 georefererad karta.tif", "A 62371-2023")</f>
        <v/>
      </c>
      <c r="Z31">
        <f>HYPERLINK("https://klasma.github.io/Logging_0821/knärot/A 62371-2023 karta knärot.png", "A 62371-2023")</f>
        <v/>
      </c>
      <c r="AA31">
        <f>HYPERLINK("https://klasma.github.io/Logging_0821/klagomål/A 62371-2023 FSC-klagomål.docx", "A 62371-2023")</f>
        <v/>
      </c>
      <c r="AB31">
        <f>HYPERLINK("https://klasma.github.io/Logging_0821/klagomålsmail/A 62371-2023 FSC-klagomål mail.docx", "A 62371-2023")</f>
        <v/>
      </c>
      <c r="AC31">
        <f>HYPERLINK("https://klasma.github.io/Logging_0821/tillsyn/A 62371-2023 tillsynsbegäran.docx", "A 62371-2023")</f>
        <v/>
      </c>
      <c r="AD31">
        <f>HYPERLINK("https://klasma.github.io/Logging_0821/tillsynsmail/A 62371-2023 tillsynsbegäran mail.docx", "A 62371-2023")</f>
        <v/>
      </c>
      <c r="AE31">
        <f>HYPERLINK("https://klasma.github.io/Logging_0821/fåglar/A 62371-2023 prioriterade fågelarter.docx", "A 62371-2023")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46317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46317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46317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30203-2023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45110</v>
      </c>
      <c r="E35" s="1" t="n">
        <v>46317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3.4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6</v>
      </c>
      <c r="U35" t="n">
        <v>1</v>
      </c>
      <c r="V35" s="2" t="inlineStr">
        <is>
          <t>Mistel
Gullviva</t>
        </is>
      </c>
      <c r="W35">
        <f>HYPERLINK("https://klasma.github.io/Logging_0821/artfynd/A 30203-2023 artfynd.xlsx", "A 30203-2023")</f>
        <v/>
      </c>
      <c r="X35">
        <f>HYPERLINK("https://klasma.github.io/Logging_0821/kartor/A 30203-2023 karta.png", "A 30203-2023")</f>
        <v/>
      </c>
      <c r="Y35">
        <f>HYPERLINK("https://klasma.github.io/Logging_0821/kartor_geotiff/A 30203-2023 georefererad karta.tif", "A 30203-2023")</f>
        <v/>
      </c>
      <c r="AA35">
        <f>HYPERLINK("https://klasma.github.io/Logging_0821/klagomål/A 30203-2023 FSC-klagomål.docx", "A 30203-2023")</f>
        <v/>
      </c>
      <c r="AB35">
        <f>HYPERLINK("https://klasma.github.io/Logging_0821/klagomålsmail/A 30203-2023 FSC-klagomål mail.docx", "A 30203-2023")</f>
        <v/>
      </c>
      <c r="AC35">
        <f>HYPERLINK("https://klasma.github.io/Logging_0821/tillsyn/A 30203-2023 tillsynsbegäran.docx", "A 30203-2023")</f>
        <v/>
      </c>
      <c r="AD35">
        <f>HYPERLINK("https://klasma.github.io/Logging_0821/tillsynsmail/A 30203-2023 tillsynsbegäran mail.docx", "A 30203-2023")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46317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Blåsippa</t>
        </is>
      </c>
      <c r="W36">
        <f>HYPERLINK("https://klasma.github.io/Logging_0821/artfynd/A 26775-2026 artfynd.xlsx", "A 26775-2026")</f>
        <v/>
      </c>
      <c r="X36">
        <f>HYPERLINK("https://klasma.github.io/Logging_0821/kartor/A 26775-2026 karta.png", "A 26775-2026")</f>
        <v/>
      </c>
      <c r="Y36">
        <f>HYPERLINK("https://klasma.github.io/Logging_0821/kartor_geotiff/A 26775-2026 georefererad karta.tif", "A 26775-2026")</f>
        <v/>
      </c>
      <c r="AA36">
        <f>HYPERLINK("https://klasma.github.io/Logging_0821/klagomål/A 26775-2026 FSC-klagomål.docx", "A 26775-2026")</f>
        <v/>
      </c>
      <c r="AB36">
        <f>HYPERLINK("https://klasma.github.io/Logging_0821/klagomålsmail/A 26775-2026 FSC-klagomål mail.docx", "A 26775-2026")</f>
        <v/>
      </c>
      <c r="AC36">
        <f>HYPERLINK("https://klasma.github.io/Logging_0821/tillsyn/A 26775-2026 tillsynsbegäran.docx", "A 26775-2026")</f>
        <v/>
      </c>
      <c r="AD36">
        <f>HYPERLINK("https://klasma.github.io/Logging_0821/tillsynsmail/A 26775-2026 tillsynsbegäran mail.docx", "A 26775-2026")</f>
        <v/>
      </c>
    </row>
    <row r="37" ht="15" customHeight="1">
      <c r="A37" t="inlineStr">
        <is>
          <t>A 26759-2026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46184</v>
      </c>
      <c r="E37" s="1" t="n">
        <v>46317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5.5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Kungsfågel</t>
        </is>
      </c>
      <c r="W37">
        <f>HYPERLINK("https://klasma.github.io/Logging_0821/artfynd/A 26759-2026 artfynd.xlsx", "A 26759-2026")</f>
        <v/>
      </c>
      <c r="X37">
        <f>HYPERLINK("https://klasma.github.io/Logging_0821/kartor/A 26759-2026 karta.png", "A 26759-2026")</f>
        <v/>
      </c>
      <c r="Y37">
        <f>HYPERLINK("https://klasma.github.io/Logging_0821/kartor_geotiff/A 26759-2026 georefererad karta.tif", "A 26759-2026")</f>
        <v/>
      </c>
      <c r="AA37">
        <f>HYPERLINK("https://klasma.github.io/Logging_0821/klagomål/A 26759-2026 FSC-klagomål.docx", "A 26759-2026")</f>
        <v/>
      </c>
      <c r="AB37">
        <f>HYPERLINK("https://klasma.github.io/Logging_0821/klagomålsmail/A 26759-2026 FSC-klagomål mail.docx", "A 26759-2026")</f>
        <v/>
      </c>
      <c r="AC37">
        <f>HYPERLINK("https://klasma.github.io/Logging_0821/tillsyn/A 26759-2026 tillsynsbegäran.docx", "A 26759-2026")</f>
        <v/>
      </c>
      <c r="AD37">
        <f>HYPERLINK("https://klasma.github.io/Logging_0821/tillsynsmail/A 26759-2026 tillsynsbegäran mail.docx", "A 26759-2026")</f>
        <v/>
      </c>
      <c r="AE37">
        <f>HYPERLINK("https://klasma.github.io/Logging_0821/fåglar/A 26759-2026 prioriterade fågelarter.docx", "A 26759-2026")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46317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46317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46317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46317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46317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38802-2024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45547</v>
      </c>
      <c r="E43" s="1" t="n">
        <v>46317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HYPERLINK("https://klasma.github.io/Logging_0821/artfynd/A 38802-2024 artfynd.xlsx", "A 38802-2024")</f>
        <v/>
      </c>
      <c r="X43">
        <f>HYPERLINK("https://klasma.github.io/Logging_0821/kartor/A 38802-2024 karta.png", "A 38802-2024")</f>
        <v/>
      </c>
      <c r="Y43">
        <f>HYPERLINK("https://klasma.github.io/Logging_0821/kartor_geotiff/A 38802-2024 georefererad karta.tif", "A 38802-2024")</f>
        <v/>
      </c>
      <c r="AA43">
        <f>HYPERLINK("https://klasma.github.io/Logging_0821/klagomål/A 38802-2024 FSC-klagomål.docx", "A 38802-2024")</f>
        <v/>
      </c>
      <c r="AB43">
        <f>HYPERLINK("https://klasma.github.io/Logging_0821/klagomålsmail/A 38802-2024 FSC-klagomål mail.docx", "A 38802-2024")</f>
        <v/>
      </c>
      <c r="AC43">
        <f>HYPERLINK("https://klasma.github.io/Logging_0821/tillsyn/A 38802-2024 tillsynsbegäran.docx", "A 38802-2024")</f>
        <v/>
      </c>
      <c r="AD43">
        <f>HYPERLINK("https://klasma.github.io/Logging_0821/tillsynsmail/A 38802-2024 tillsynsbegäran mail.docx", "A 38802-2024")</f>
        <v/>
      </c>
    </row>
    <row r="44" ht="15" customHeight="1">
      <c r="A44" t="inlineStr">
        <is>
          <t>A 52177-2022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46317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Nordfladdermus</t>
        </is>
      </c>
      <c r="W44">
        <f>HYPERLINK("https://klasma.github.io/Logging_0821/artfynd/A 52177-2022 artfynd.xlsx", "A 52177-2022")</f>
        <v/>
      </c>
      <c r="X44">
        <f>HYPERLINK("https://klasma.github.io/Logging_0821/kartor/A 52177-2022 karta.png", "A 52177-2022")</f>
        <v/>
      </c>
      <c r="Y44">
        <f>HYPERLINK("https://klasma.github.io/Logging_0821/kartor_geotiff/A 52177-2022 georefererad karta.tif", "A 52177-2022")</f>
        <v/>
      </c>
      <c r="AA44">
        <f>HYPERLINK("https://klasma.github.io/Logging_0821/klagomål/A 52177-2022 FSC-klagomål.docx", "A 52177-2022")</f>
        <v/>
      </c>
      <c r="AB44">
        <f>HYPERLINK("https://klasma.github.io/Logging_0821/klagomålsmail/A 52177-2022 FSC-klagomål mail.docx", "A 52177-2022")</f>
        <v/>
      </c>
      <c r="AC44">
        <f>HYPERLINK("https://klasma.github.io/Logging_0821/tillsyn/A 52177-2022 tillsynsbegäran.docx", "A 52177-2022")</f>
        <v/>
      </c>
      <c r="AD44">
        <f>HYPERLINK("https://klasma.github.io/Logging_0821/tillsynsmail/A 52177-2022 tillsynsbegäran mail.docx", "A 52177-2022")</f>
        <v/>
      </c>
    </row>
    <row r="45" ht="15" customHeight="1">
      <c r="A45" t="inlineStr">
        <is>
          <t>A 58792-2022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46317</v>
      </c>
      <c r="F45" t="inlineStr">
        <is>
          <t>KALMAR LÄN</t>
        </is>
      </c>
      <c r="G45" t="inlineStr">
        <is>
          <t>HÖGSBY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HYPERLINK("https://klasma.github.io/Logging_0821/artfynd/A 58792-2022 artfynd.xlsx", "A 58792-2022")</f>
        <v/>
      </c>
      <c r="X45">
        <f>HYPERLINK("https://klasma.github.io/Logging_0821/kartor/A 58792-2022 karta.png", "A 58792-2022")</f>
        <v/>
      </c>
      <c r="Y45">
        <f>HYPERLINK("https://klasma.github.io/Logging_0821/kartor_geotiff/A 58792-2022 georefererad karta.tif", "A 58792-2022")</f>
        <v/>
      </c>
      <c r="AA45">
        <f>HYPERLINK("https://klasma.github.io/Logging_0821/klagomål/A 58792-2022 FSC-klagomål.docx", "A 58792-2022")</f>
        <v/>
      </c>
      <c r="AB45">
        <f>HYPERLINK("https://klasma.github.io/Logging_0821/klagomålsmail/A 58792-2022 FSC-klagomål mail.docx", "A 58792-2022")</f>
        <v/>
      </c>
      <c r="AC45">
        <f>HYPERLINK("https://klasma.github.io/Logging_0821/tillsyn/A 58792-2022 tillsynsbegäran.docx", "A 58792-2022")</f>
        <v/>
      </c>
      <c r="AD45">
        <f>HYPERLINK("https://klasma.github.io/Logging_0821/tillsynsmail/A 58792-2022 tillsynsbegäran mail.docx", "A 58792-2022")</f>
        <v/>
      </c>
    </row>
    <row r="46" ht="15" customHeight="1">
      <c r="A46" t="inlineStr">
        <is>
          <t>A 19463-2026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46129</v>
      </c>
      <c r="E46" s="1" t="n">
        <v>46317</v>
      </c>
      <c r="F46" t="inlineStr">
        <is>
          <t>KALMAR LÄN</t>
        </is>
      </c>
      <c r="G46" t="inlineStr">
        <is>
          <t>HÖGSBY</t>
        </is>
      </c>
      <c r="I46" t="n">
        <v>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HYPERLINK("https://klasma.github.io/Logging_0821/artfynd/A 19463-2026 artfynd.xlsx", "A 19463-2026")</f>
        <v/>
      </c>
      <c r="X46">
        <f>HYPERLINK("https://klasma.github.io/Logging_0821/kartor/A 19463-2026 karta.png", "A 19463-2026")</f>
        <v/>
      </c>
      <c r="Y46">
        <f>HYPERLINK("https://klasma.github.io/Logging_0821/kartor_geotiff/A 19463-2026 georefererad karta.tif", "A 19463-2026")</f>
        <v/>
      </c>
      <c r="AA46">
        <f>HYPERLINK("https://klasma.github.io/Logging_0821/klagomål/A 19463-2026 FSC-klagomål.docx", "A 19463-2026")</f>
        <v/>
      </c>
      <c r="AB46">
        <f>HYPERLINK("https://klasma.github.io/Logging_0821/klagomålsmail/A 19463-2026 FSC-klagomål mail.docx", "A 19463-2026")</f>
        <v/>
      </c>
      <c r="AC46">
        <f>HYPERLINK("https://klasma.github.io/Logging_0821/tillsyn/A 19463-2026 tillsynsbegäran.docx", "A 19463-2026")</f>
        <v/>
      </c>
      <c r="AD46">
        <f>HYPERLINK("https://klasma.github.io/Logging_0821/tillsynsmail/A 19463-2026 tillsynsbegäran mail.docx", "A 19463-2026")</f>
        <v/>
      </c>
    </row>
    <row r="47" ht="15" customHeight="1">
      <c r="A47" t="inlineStr">
        <is>
          <t>A 19536-2026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46317</v>
      </c>
      <c r="F47" t="inlineStr">
        <is>
          <t>KALMAR LÄN</t>
        </is>
      </c>
      <c r="G47" t="inlineStr">
        <is>
          <t>HÖGSBY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19536-2026 artfynd.xlsx", "A 19536-2026")</f>
        <v/>
      </c>
      <c r="X47">
        <f>HYPERLINK("https://klasma.github.io/Logging_0821/kartor/A 19536-2026 karta.png", "A 19536-2026")</f>
        <v/>
      </c>
      <c r="Y47">
        <f>HYPERLINK("https://klasma.github.io/Logging_0821/kartor_geotiff/A 19536-2026 georefererad karta.tif", "A 19536-2026")</f>
        <v/>
      </c>
      <c r="AA47">
        <f>HYPERLINK("https://klasma.github.io/Logging_0821/klagomål/A 19536-2026 FSC-klagomål.docx", "A 19536-2026")</f>
        <v/>
      </c>
      <c r="AB47">
        <f>HYPERLINK("https://klasma.github.io/Logging_0821/klagomålsmail/A 19536-2026 FSC-klagomål mail.docx", "A 19536-2026")</f>
        <v/>
      </c>
      <c r="AC47">
        <f>HYPERLINK("https://klasma.github.io/Logging_0821/tillsyn/A 19536-2026 tillsynsbegäran.docx", "A 19536-2026")</f>
        <v/>
      </c>
      <c r="AD47">
        <f>HYPERLINK("https://klasma.github.io/Logging_0821/tillsynsmail/A 19536-2026 tillsynsbegäran mail.docx", "A 19536-2026")</f>
        <v/>
      </c>
      <c r="AE47">
        <f>HYPERLINK("https://klasma.github.io/Logging_0821/fåglar/A 19536-2026 prioriterade fågelarter.docx", "A 19536-2026")</f>
        <v/>
      </c>
    </row>
    <row r="48" ht="15" customHeight="1">
      <c r="A48" t="inlineStr">
        <is>
          <t>A 38267-2025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46317</v>
      </c>
      <c r="F48" t="inlineStr">
        <is>
          <t>KALMAR LÄN</t>
        </is>
      </c>
      <c r="G48" t="inlineStr">
        <is>
          <t>HÖGSBY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Flikig tallfibbla</t>
        </is>
      </c>
      <c r="W48">
        <f>HYPERLINK("https://klasma.github.io/Logging_0821/artfynd/A 38267-2025 artfynd.xlsx", "A 38267-2025")</f>
        <v/>
      </c>
      <c r="X48">
        <f>HYPERLINK("https://klasma.github.io/Logging_0821/kartor/A 38267-2025 karta.png", "A 38267-2025")</f>
        <v/>
      </c>
      <c r="Y48">
        <f>HYPERLINK("https://klasma.github.io/Logging_0821/kartor_geotiff/A 38267-2025 georefererad karta.tif", "A 38267-2025")</f>
        <v/>
      </c>
      <c r="AA48">
        <f>HYPERLINK("https://klasma.github.io/Logging_0821/klagomål/A 38267-2025 FSC-klagomål.docx", "A 38267-2025")</f>
        <v/>
      </c>
      <c r="AB48">
        <f>HYPERLINK("https://klasma.github.io/Logging_0821/klagomålsmail/A 38267-2025 FSC-klagomål mail.docx", "A 38267-2025")</f>
        <v/>
      </c>
      <c r="AC48">
        <f>HYPERLINK("https://klasma.github.io/Logging_0821/tillsyn/A 38267-2025 tillsynsbegäran.docx", "A 38267-2025")</f>
        <v/>
      </c>
      <c r="AD48">
        <f>HYPERLINK("https://klasma.github.io/Logging_0821/tillsynsmail/A 38267-2025 tillsynsbegäran mail.docx", "A 38267-2025")</f>
        <v/>
      </c>
    </row>
    <row r="49" ht="15" customHeight="1">
      <c r="A49" t="inlineStr">
        <is>
          <t>A 59407-2022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46317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Blåsippa</t>
        </is>
      </c>
      <c r="W49">
        <f>HYPERLINK("https://klasma.github.io/Logging_0821/artfynd/A 59407-2022 artfynd.xlsx", "A 59407-2022")</f>
        <v/>
      </c>
      <c r="X49">
        <f>HYPERLINK("https://klasma.github.io/Logging_0821/kartor/A 59407-2022 karta.png", "A 59407-2022")</f>
        <v/>
      </c>
      <c r="Y49">
        <f>HYPERLINK("https://klasma.github.io/Logging_0821/kartor_geotiff/A 59407-2022 georefererad karta.tif", "A 59407-2022")</f>
        <v/>
      </c>
      <c r="AA49">
        <f>HYPERLINK("https://klasma.github.io/Logging_0821/klagomål/A 59407-2022 FSC-klagomål.docx", "A 59407-2022")</f>
        <v/>
      </c>
      <c r="AB49">
        <f>HYPERLINK("https://klasma.github.io/Logging_0821/klagomålsmail/A 59407-2022 FSC-klagomål mail.docx", "A 59407-2022")</f>
        <v/>
      </c>
      <c r="AC49">
        <f>HYPERLINK("https://klasma.github.io/Logging_0821/tillsyn/A 59407-2022 tillsynsbegäran.docx", "A 59407-2022")</f>
        <v/>
      </c>
      <c r="AD49">
        <f>HYPERLINK("https://klasma.github.io/Logging_0821/tillsynsmail/A 59407-2022 tillsynsbegäran mail.docx", "A 59407-2022")</f>
        <v/>
      </c>
    </row>
    <row r="50" ht="15" customHeight="1">
      <c r="A50" t="inlineStr">
        <is>
          <t>A 35075-2023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46317</v>
      </c>
      <c r="F50" t="inlineStr">
        <is>
          <t>KALMAR LÄN</t>
        </is>
      </c>
      <c r="G50" t="inlineStr">
        <is>
          <t>HÖGSBY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35075-2023 artfynd.xlsx", "A 35075-2023")</f>
        <v/>
      </c>
      <c r="X50">
        <f>HYPERLINK("https://klasma.github.io/Logging_0821/kartor/A 35075-2023 karta.png", "A 35075-2023")</f>
        <v/>
      </c>
      <c r="Y50">
        <f>HYPERLINK("https://klasma.github.io/Logging_0821/kartor_geotiff/A 35075-2023 georefererad karta.tif", "A 35075-2023")</f>
        <v/>
      </c>
      <c r="AA50">
        <f>HYPERLINK("https://klasma.github.io/Logging_0821/klagomål/A 35075-2023 FSC-klagomål.docx", "A 35075-2023")</f>
        <v/>
      </c>
      <c r="AB50">
        <f>HYPERLINK("https://klasma.github.io/Logging_0821/klagomålsmail/A 35075-2023 FSC-klagomål mail.docx", "A 35075-2023")</f>
        <v/>
      </c>
      <c r="AC50">
        <f>HYPERLINK("https://klasma.github.io/Logging_0821/tillsyn/A 35075-2023 tillsynsbegäran.docx", "A 35075-2023")</f>
        <v/>
      </c>
      <c r="AD50">
        <f>HYPERLINK("https://klasma.github.io/Logging_0821/tillsynsmail/A 35075-2023 tillsynsbegäran mail.docx", "A 35075-2023")</f>
        <v/>
      </c>
    </row>
    <row r="51" ht="15" customHeight="1">
      <c r="A51" t="inlineStr">
        <is>
          <t>A 1519-2022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46317</v>
      </c>
      <c r="F51" t="inlineStr">
        <is>
          <t>KALMAR LÄN</t>
        </is>
      </c>
      <c r="G51" t="inlineStr">
        <is>
          <t>HÖGSBY</t>
        </is>
      </c>
      <c r="I51" t="n">
        <v>2.6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HYPERLINK("https://klasma.github.io/Logging_0821/artfynd/A 1519-2022 artfynd.xlsx", "A 1519-2022")</f>
        <v/>
      </c>
      <c r="X51">
        <f>HYPERLINK("https://klasma.github.io/Logging_0821/kartor/A 1519-2022 karta.png", "A 1519-2022")</f>
        <v/>
      </c>
      <c r="Y51">
        <f>HYPERLINK("https://klasma.github.io/Logging_0821/kartor_geotiff/A 1519-2022 georefererad karta.tif", "A 1519-2022")</f>
        <v/>
      </c>
      <c r="AA51">
        <f>HYPERLINK("https://klasma.github.io/Logging_0821/klagomål/A 1519-2022 FSC-klagomål.docx", "A 1519-2022")</f>
        <v/>
      </c>
      <c r="AB51">
        <f>HYPERLINK("https://klasma.github.io/Logging_0821/klagomålsmail/A 1519-2022 FSC-klagomål mail.docx", "A 1519-2022")</f>
        <v/>
      </c>
      <c r="AC51">
        <f>HYPERLINK("https://klasma.github.io/Logging_0821/tillsyn/A 1519-2022 tillsynsbegäran.docx", "A 1519-2022")</f>
        <v/>
      </c>
      <c r="AD51">
        <f>HYPERLINK("https://klasma.github.io/Logging_0821/tillsynsmail/A 1519-2022 tillsynsbegäran mail.docx", "A 1519-2022")</f>
        <v/>
      </c>
    </row>
    <row r="52" ht="15" customHeight="1">
      <c r="A52" t="inlineStr">
        <is>
          <t>A 22757-2026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46157</v>
      </c>
      <c r="E52" s="1" t="n">
        <v>46317</v>
      </c>
      <c r="F52" t="inlineStr">
        <is>
          <t>KALMAR LÄN</t>
        </is>
      </c>
      <c r="G52" t="inlineStr">
        <is>
          <t>HÖGSBY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4</v>
      </c>
      <c r="V52" s="2" t="inlineStr">
        <is>
          <t>Blåsippa</t>
        </is>
      </c>
      <c r="W52">
        <f>HYPERLINK("https://klasma.github.io/Logging_0821/artfynd/A 22757-2026 artfynd.xlsx", "A 22757-2026")</f>
        <v/>
      </c>
      <c r="X52">
        <f>HYPERLINK("https://klasma.github.io/Logging_0821/kartor/A 22757-2026 karta.png", "A 22757-2026")</f>
        <v/>
      </c>
      <c r="Y52">
        <f>HYPERLINK("https://klasma.github.io/Logging_0821/kartor_geotiff/A 22757-2026 georefererad karta.tif", "A 22757-2026")</f>
        <v/>
      </c>
      <c r="AA52">
        <f>HYPERLINK("https://klasma.github.io/Logging_0821/klagomål/A 22757-2026 FSC-klagomål.docx", "A 22757-2026")</f>
        <v/>
      </c>
      <c r="AB52">
        <f>HYPERLINK("https://klasma.github.io/Logging_0821/klagomålsmail/A 22757-2026 FSC-klagomål mail.docx", "A 22757-2026")</f>
        <v/>
      </c>
      <c r="AC52">
        <f>HYPERLINK("https://klasma.github.io/Logging_0821/tillsyn/A 22757-2026 tillsynsbegäran.docx", "A 22757-2026")</f>
        <v/>
      </c>
      <c r="AD52">
        <f>HYPERLINK("https://klasma.github.io/Logging_0821/tillsynsmail/A 22757-2026 tillsynsbegäran mail.docx", "A 22757-2026")</f>
        <v/>
      </c>
    </row>
    <row r="53" ht="15" customHeight="1">
      <c r="A53" t="inlineStr">
        <is>
          <t>A 23859-2026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46317</v>
      </c>
      <c r="F53" t="inlineStr">
        <is>
          <t>KALMAR LÄN</t>
        </is>
      </c>
      <c r="G53" t="inlineStr">
        <is>
          <t>HÖGSBY</t>
        </is>
      </c>
      <c r="I53" t="n">
        <v>3.8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Rödlånke</t>
        </is>
      </c>
      <c r="W53">
        <f>HYPERLINK("https://klasma.github.io/Logging_0821/artfynd/A 23859-2026 artfynd.xlsx", "A 23859-2026")</f>
        <v/>
      </c>
      <c r="X53">
        <f>HYPERLINK("https://klasma.github.io/Logging_0821/kartor/A 23859-2026 karta.png", "A 23859-2026")</f>
        <v/>
      </c>
      <c r="Y53">
        <f>HYPERLINK("https://klasma.github.io/Logging_0821/kartor_geotiff/A 23859-2026 georefererad karta.tif", "A 23859-2026")</f>
        <v/>
      </c>
      <c r="AA53">
        <f>HYPERLINK("https://klasma.github.io/Logging_0821/klagomål/A 23859-2026 FSC-klagomål.docx", "A 23859-2026")</f>
        <v/>
      </c>
      <c r="AB53">
        <f>HYPERLINK("https://klasma.github.io/Logging_0821/klagomålsmail/A 23859-2026 FSC-klagomål mail.docx", "A 23859-2026")</f>
        <v/>
      </c>
      <c r="AC53">
        <f>HYPERLINK("https://klasma.github.io/Logging_0821/tillsyn/A 23859-2026 tillsynsbegäran.docx", "A 23859-2026")</f>
        <v/>
      </c>
      <c r="AD53">
        <f>HYPERLINK("https://klasma.github.io/Logging_0821/tillsynsmail/A 23859-2026 tillsynsbegäran mail.docx", "A 23859-2026")</f>
        <v/>
      </c>
    </row>
    <row r="54" ht="15" customHeight="1">
      <c r="A54" t="inlineStr">
        <is>
          <t>A 35072-2023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46317</v>
      </c>
      <c r="F54" t="inlineStr">
        <is>
          <t>KALMAR LÄN</t>
        </is>
      </c>
      <c r="G54" t="inlineStr">
        <is>
          <t>HÖGSBY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HYPERLINK("https://klasma.github.io/Logging_0821/artfynd/A 35072-2023 artfynd.xlsx", "A 35072-2023")</f>
        <v/>
      </c>
      <c r="X54">
        <f>HYPERLINK("https://klasma.github.io/Logging_0821/kartor/A 35072-2023 karta.png", "A 35072-2023")</f>
        <v/>
      </c>
      <c r="Y54">
        <f>HYPERLINK("https://klasma.github.io/Logging_0821/kartor_geotiff/A 35072-2023 georefererad karta.tif", "A 35072-2023")</f>
        <v/>
      </c>
      <c r="AA54">
        <f>HYPERLINK("https://klasma.github.io/Logging_0821/klagomål/A 35072-2023 FSC-klagomål.docx", "A 35072-2023")</f>
        <v/>
      </c>
      <c r="AB54">
        <f>HYPERLINK("https://klasma.github.io/Logging_0821/klagomålsmail/A 35072-2023 FSC-klagomål mail.docx", "A 35072-2023")</f>
        <v/>
      </c>
      <c r="AC54">
        <f>HYPERLINK("https://klasma.github.io/Logging_0821/tillsyn/A 35072-2023 tillsynsbegäran.docx", "A 35072-2023")</f>
        <v/>
      </c>
      <c r="AD54">
        <f>HYPERLINK("https://klasma.github.io/Logging_0821/tillsynsmail/A 35072-2023 tillsynsbegäran mail.docx", "A 35072-2023")</f>
        <v/>
      </c>
    </row>
    <row r="55" ht="15" customHeight="1">
      <c r="A55" t="inlineStr">
        <is>
          <t>A 19519-2025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46317</v>
      </c>
      <c r="F55" t="inlineStr">
        <is>
          <t>KALMAR LÄN</t>
        </is>
      </c>
      <c r="G55" t="inlineStr">
        <is>
          <t>HÖGSBY</t>
        </is>
      </c>
      <c r="I55" t="n">
        <v>3.5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HYPERLINK("https://klasma.github.io/Logging_0821/artfynd/A 19519-2025 artfynd.xlsx", "A 19519-2025")</f>
        <v/>
      </c>
      <c r="X55">
        <f>HYPERLINK("https://klasma.github.io/Logging_0821/kartor/A 19519-2025 karta.png", "A 19519-2025")</f>
        <v/>
      </c>
      <c r="Y55">
        <f>HYPERLINK("https://klasma.github.io/Logging_0821/kartor_geotiff/A 19519-2025 georefererad karta.tif", "A 19519-2025")</f>
        <v/>
      </c>
      <c r="AA55">
        <f>HYPERLINK("https://klasma.github.io/Logging_0821/klagomål/A 19519-2025 FSC-klagomål.docx", "A 19519-2025")</f>
        <v/>
      </c>
      <c r="AB55">
        <f>HYPERLINK("https://klasma.github.io/Logging_0821/klagomålsmail/A 19519-2025 FSC-klagomål mail.docx", "A 19519-2025")</f>
        <v/>
      </c>
      <c r="AC55">
        <f>HYPERLINK("https://klasma.github.io/Logging_0821/tillsyn/A 19519-2025 tillsynsbegäran.docx", "A 19519-2025")</f>
        <v/>
      </c>
      <c r="AD55">
        <f>HYPERLINK("https://klasma.github.io/Logging_0821/tillsynsmail/A 19519-2025 tillsynsbegäran mail.docx", "A 19519-2025")</f>
        <v/>
      </c>
    </row>
    <row r="56" ht="15" customHeight="1">
      <c r="A56" t="inlineStr">
        <is>
          <t>A 26145-2026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46317</v>
      </c>
      <c r="F56" t="inlineStr">
        <is>
          <t>KALMAR LÄN</t>
        </is>
      </c>
      <c r="G56" t="inlineStr">
        <is>
          <t>HÖGSBY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Gullviva</t>
        </is>
      </c>
      <c r="W56">
        <f>HYPERLINK("https://klasma.github.io/Logging_0821/artfynd/A 26145-2026 artfynd.xlsx", "A 26145-2026")</f>
        <v/>
      </c>
      <c r="X56">
        <f>HYPERLINK("https://klasma.github.io/Logging_0821/kartor/A 26145-2026 karta.png", "A 26145-2026")</f>
        <v/>
      </c>
      <c r="Y56">
        <f>HYPERLINK("https://klasma.github.io/Logging_0821/kartor_geotiff/A 26145-2026 georefererad karta.tif", "A 26145-2026")</f>
        <v/>
      </c>
      <c r="AA56">
        <f>HYPERLINK("https://klasma.github.io/Logging_0821/klagomål/A 26145-2026 FSC-klagomål.docx", "A 26145-2026")</f>
        <v/>
      </c>
      <c r="AB56">
        <f>HYPERLINK("https://klasma.github.io/Logging_0821/klagomålsmail/A 26145-2026 FSC-klagomål mail.docx", "A 26145-2026")</f>
        <v/>
      </c>
      <c r="AC56">
        <f>HYPERLINK("https://klasma.github.io/Logging_0821/tillsyn/A 26145-2026 tillsynsbegäran.docx", "A 26145-2026")</f>
        <v/>
      </c>
      <c r="AD56">
        <f>HYPERLINK("https://klasma.github.io/Logging_0821/tillsynsmail/A 26145-2026 tillsynsbegäran mail.docx", "A 26145-2026")</f>
        <v/>
      </c>
    </row>
    <row r="57" ht="15" customHeight="1">
      <c r="A57" t="inlineStr">
        <is>
          <t>A 27366-2026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46317</v>
      </c>
      <c r="F57" t="inlineStr">
        <is>
          <t>KALMAR LÄN</t>
        </is>
      </c>
      <c r="G57" t="inlineStr">
        <is>
          <t>HÖGSBY</t>
        </is>
      </c>
      <c r="I57" t="n">
        <v>4.4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Nattviol</t>
        </is>
      </c>
      <c r="W57">
        <f>HYPERLINK("https://klasma.github.io/Logging_0821/artfynd/A 27366-2026 artfynd.xlsx", "A 27366-2026")</f>
        <v/>
      </c>
      <c r="X57">
        <f>HYPERLINK("https://klasma.github.io/Logging_0821/kartor/A 27366-2026 karta.png", "A 27366-2026")</f>
        <v/>
      </c>
      <c r="Y57">
        <f>HYPERLINK("https://klasma.github.io/Logging_0821/kartor_geotiff/A 27366-2026 georefererad karta.tif", "A 27366-2026")</f>
        <v/>
      </c>
      <c r="AA57">
        <f>HYPERLINK("https://klasma.github.io/Logging_0821/klagomål/A 27366-2026 FSC-klagomål.docx", "A 27366-2026")</f>
        <v/>
      </c>
      <c r="AB57">
        <f>HYPERLINK("https://klasma.github.io/Logging_0821/klagomålsmail/A 27366-2026 FSC-klagomål mail.docx", "A 27366-2026")</f>
        <v/>
      </c>
      <c r="AC57">
        <f>HYPERLINK("https://klasma.github.io/Logging_0821/tillsyn/A 27366-2026 tillsynsbegäran.docx", "A 27366-2026")</f>
        <v/>
      </c>
      <c r="AD57">
        <f>HYPERLINK("https://klasma.github.io/Logging_0821/tillsynsmail/A 27366-2026 tillsynsbegäran mail.docx", "A 27366-2026")</f>
        <v/>
      </c>
    </row>
    <row r="58" ht="15" customHeight="1">
      <c r="A58" t="inlineStr">
        <is>
          <t>A 28894-2026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46317</v>
      </c>
      <c r="F58" t="inlineStr">
        <is>
          <t>KALMAR LÄN</t>
        </is>
      </c>
      <c r="G58" t="inlineStr">
        <is>
          <t>HÖGSBY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HYPERLINK("https://klasma.github.io/Logging_0821/artfynd/A 28894-2026 artfynd.xlsx", "A 28894-2026")</f>
        <v/>
      </c>
      <c r="X58">
        <f>HYPERLINK("https://klasma.github.io/Logging_0821/kartor/A 28894-2026 karta.png", "A 28894-2026")</f>
        <v/>
      </c>
      <c r="Y58">
        <f>HYPERLINK("https://klasma.github.io/Logging_0821/kartor_geotiff/A 28894-2026 georefererad karta.tif", "A 28894-2026")</f>
        <v/>
      </c>
      <c r="AA58">
        <f>HYPERLINK("https://klasma.github.io/Logging_0821/klagomål/A 28894-2026 FSC-klagomål.docx", "A 28894-2026")</f>
        <v/>
      </c>
      <c r="AB58">
        <f>HYPERLINK("https://klasma.github.io/Logging_0821/klagomålsmail/A 28894-2026 FSC-klagomål mail.docx", "A 28894-2026")</f>
        <v/>
      </c>
      <c r="AC58">
        <f>HYPERLINK("https://klasma.github.io/Logging_0821/tillsyn/A 28894-2026 tillsynsbegäran.docx", "A 28894-2026")</f>
        <v/>
      </c>
      <c r="AD58">
        <f>HYPERLINK("https://klasma.github.io/Logging_0821/tillsynsmail/A 28894-2026 tillsynsbegäran mail.docx", "A 28894-2026")</f>
        <v/>
      </c>
      <c r="AE58">
        <f>HYPERLINK("https://klasma.github.io/Logging_0821/fåglar/A 28894-2026 prioriterade fågelarter.docx", "A 28894-2026")</f>
        <v/>
      </c>
    </row>
    <row r="59" ht="15" customHeight="1">
      <c r="A59" t="inlineStr">
        <is>
          <t>A 30186-2026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46206</v>
      </c>
      <c r="E59" s="1" t="n">
        <v>46317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Gullklöver</t>
        </is>
      </c>
      <c r="W59">
        <f>HYPERLINK("https://klasma.github.io/Logging_0821/artfynd/A 30186-2026 artfynd.xlsx", "A 30186-2026")</f>
        <v/>
      </c>
      <c r="X59">
        <f>HYPERLINK("https://klasma.github.io/Logging_0821/kartor/A 30186-2026 karta.png", "A 30186-2026")</f>
        <v/>
      </c>
      <c r="Y59">
        <f>HYPERLINK("https://klasma.github.io/Logging_0821/kartor_geotiff/A 30186-2026 georefererad karta.tif", "A 30186-2026")</f>
        <v/>
      </c>
      <c r="AA59">
        <f>HYPERLINK("https://klasma.github.io/Logging_0821/klagomål/A 30186-2026 FSC-klagomål.docx", "A 30186-2026")</f>
        <v/>
      </c>
      <c r="AB59">
        <f>HYPERLINK("https://klasma.github.io/Logging_0821/klagomålsmail/A 30186-2026 FSC-klagomål mail.docx", "A 30186-2026")</f>
        <v/>
      </c>
      <c r="AC59">
        <f>HYPERLINK("https://klasma.github.io/Logging_0821/tillsyn/A 30186-2026 tillsynsbegäran.docx", "A 30186-2026")</f>
        <v/>
      </c>
      <c r="AD59">
        <f>HYPERLINK("https://klasma.github.io/Logging_0821/tillsynsmail/A 30186-2026 tillsynsbegäran mail.docx", "A 30186-2026")</f>
        <v/>
      </c>
    </row>
    <row r="60" ht="15" customHeight="1">
      <c r="A60" t="inlineStr">
        <is>
          <t>A 59700-2023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45256</v>
      </c>
      <c r="E60" s="1" t="n">
        <v>46317</v>
      </c>
      <c r="F60" t="inlineStr">
        <is>
          <t>KALMAR LÄN</t>
        </is>
      </c>
      <c r="G60" t="inlineStr">
        <is>
          <t>HÖGSBY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HYPERLINK("https://klasma.github.io/Logging_0821/artfynd/A 59700-2023 artfynd.xlsx", "A 59700-2023")</f>
        <v/>
      </c>
      <c r="X60">
        <f>HYPERLINK("https://klasma.github.io/Logging_0821/kartor/A 59700-2023 karta.png", "A 59700-2023")</f>
        <v/>
      </c>
      <c r="Y60">
        <f>HYPERLINK("https://klasma.github.io/Logging_0821/kartor_geotiff/A 59700-2023 georefererad karta.tif", "A 59700-2023")</f>
        <v/>
      </c>
      <c r="AA60">
        <f>HYPERLINK("https://klasma.github.io/Logging_0821/klagomål/A 59700-2023 FSC-klagomål.docx", "A 59700-2023")</f>
        <v/>
      </c>
      <c r="AB60">
        <f>HYPERLINK("https://klasma.github.io/Logging_0821/klagomålsmail/A 59700-2023 FSC-klagomål mail.docx", "A 59700-2023")</f>
        <v/>
      </c>
      <c r="AC60">
        <f>HYPERLINK("https://klasma.github.io/Logging_0821/tillsyn/A 59700-2023 tillsynsbegäran.docx", "A 59700-2023")</f>
        <v/>
      </c>
      <c r="AD60">
        <f>HYPERLINK("https://klasma.github.io/Logging_0821/tillsynsmail/A 59700-2023 tillsynsbegäran mail.docx", "A 59700-2023")</f>
        <v/>
      </c>
      <c r="AE60">
        <f>HYPERLINK("https://klasma.github.io/Logging_0821/fåglar/A 59700-2023 prioriterade fågelarter.docx", "A 59700-2023")</f>
        <v/>
      </c>
    </row>
    <row r="61" ht="15" customHeight="1">
      <c r="A61" t="inlineStr">
        <is>
          <t>A 30800-2026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46317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HYPERLINK("https://klasma.github.io/Logging_0821/artfynd/A 30800-2026 artfynd.xlsx", "A 30800-2026")</f>
        <v/>
      </c>
      <c r="X61">
        <f>HYPERLINK("https://klasma.github.io/Logging_0821/kartor/A 30800-2026 karta.png", "A 30800-2026")</f>
        <v/>
      </c>
      <c r="Y61">
        <f>HYPERLINK("https://klasma.github.io/Logging_0821/kartor_geotiff/A 30800-2026 georefererad karta.tif", "A 30800-2026")</f>
        <v/>
      </c>
      <c r="AA61">
        <f>HYPERLINK("https://klasma.github.io/Logging_0821/klagomål/A 30800-2026 FSC-klagomål.docx", "A 30800-2026")</f>
        <v/>
      </c>
      <c r="AB61">
        <f>HYPERLINK("https://klasma.github.io/Logging_0821/klagomålsmail/A 30800-2026 FSC-klagomål mail.docx", "A 30800-2026")</f>
        <v/>
      </c>
      <c r="AC61">
        <f>HYPERLINK("https://klasma.github.io/Logging_0821/tillsyn/A 30800-2026 tillsynsbegäran.docx", "A 30800-2026")</f>
        <v/>
      </c>
      <c r="AD61">
        <f>HYPERLINK("https://klasma.github.io/Logging_0821/tillsynsmail/A 30800-2026 tillsynsbegäran mail.docx", "A 30800-2026")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46317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46317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46317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46317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46317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46317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46317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46317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46317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46317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46317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46317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46317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46317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46317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46317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46317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46317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46317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46317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46317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46317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46317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46317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46317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46317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46317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46317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46317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46317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46317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46317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46317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46317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46317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46317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46317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46317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46317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46317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44809</v>
      </c>
      <c r="E102" s="1" t="n">
        <v>46317</v>
      </c>
      <c r="F102" t="inlineStr">
        <is>
          <t>KALMAR LÄN</t>
        </is>
      </c>
      <c r="G102" t="inlineStr">
        <is>
          <t>HÖGSBY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45391</v>
      </c>
      <c r="E103" s="1" t="n">
        <v>46317</v>
      </c>
      <c r="F103" t="inlineStr">
        <is>
          <t>KALMAR LÄN</t>
        </is>
      </c>
      <c r="G103" t="inlineStr">
        <is>
          <t>HÖGSBY</t>
        </is>
      </c>
      <c r="H103" t="inlineStr">
        <is>
          <t>Sveaskog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46317</v>
      </c>
      <c r="F104" t="inlineStr">
        <is>
          <t>KALMAR LÄN</t>
        </is>
      </c>
      <c r="G104" t="inlineStr">
        <is>
          <t>HÖGSBY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46317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HYPERLINK("https://klasma.github.io/Logging_0821/knärot/A 40137-2024 karta knärot.png", "A 40137-2024")</f>
        <v/>
      </c>
      <c r="AA105">
        <f>HYPERLINK("https://klasma.github.io/Logging_0821/klagomål/A 40137-2024 FSC-klagomål.docx", "A 40137-2024")</f>
        <v/>
      </c>
      <c r="AB105">
        <f>HYPERLINK("https://klasma.github.io/Logging_0821/klagomålsmail/A 40137-2024 FSC-klagomål mail.docx", "A 40137-2024")</f>
        <v/>
      </c>
      <c r="AC105">
        <f>HYPERLINK("https://klasma.github.io/Logging_0821/tillsyn/A 40137-2024 tillsynsbegäran.docx", "A 40137-2024")</f>
        <v/>
      </c>
      <c r="AD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62720-2025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46008</v>
      </c>
      <c r="E106" s="1" t="n">
        <v>46317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62722-2025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46008</v>
      </c>
      <c r="E107" s="1" t="n">
        <v>46317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46317</v>
      </c>
      <c r="F108" t="inlineStr">
        <is>
          <t>KALMAR LÄN</t>
        </is>
      </c>
      <c r="G108" t="inlineStr">
        <is>
          <t>HÖGSBY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44866</v>
      </c>
      <c r="E109" s="1" t="n">
        <v>46317</v>
      </c>
      <c r="F109" t="inlineStr">
        <is>
          <t>KALMAR LÄN</t>
        </is>
      </c>
      <c r="G109" t="inlineStr">
        <is>
          <t>HÖGSBY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46317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62918-2025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46317</v>
      </c>
      <c r="F111" t="inlineStr">
        <is>
          <t>KALMAR LÄN</t>
        </is>
      </c>
      <c r="G111" t="inlineStr">
        <is>
          <t>HÖGSBY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45320</v>
      </c>
      <c r="E112" s="1" t="n">
        <v>46317</v>
      </c>
      <c r="F112" t="inlineStr">
        <is>
          <t>KALMAR LÄN</t>
        </is>
      </c>
      <c r="G112" t="inlineStr">
        <is>
          <t>HÖGSBY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45838</v>
      </c>
      <c r="E113" s="1" t="n">
        <v>46317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45797</v>
      </c>
      <c r="E114" s="1" t="n">
        <v>46317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46317</v>
      </c>
      <c r="F115" t="inlineStr">
        <is>
          <t>KALMAR LÄN</t>
        </is>
      </c>
      <c r="G115" t="inlineStr">
        <is>
          <t>HÖGSBY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44886</v>
      </c>
      <c r="E116" s="1" t="n">
        <v>46317</v>
      </c>
      <c r="F116" t="inlineStr">
        <is>
          <t>KALMAR LÄN</t>
        </is>
      </c>
      <c r="G116" t="inlineStr">
        <is>
          <t>HÖGSBY</t>
        </is>
      </c>
      <c r="H116" t="inlineStr">
        <is>
          <t>Kyrkan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46317</v>
      </c>
      <c r="F117" t="inlineStr">
        <is>
          <t>KALMAR LÄN</t>
        </is>
      </c>
      <c r="G117" t="inlineStr">
        <is>
          <t>HÖGSBY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46317</v>
      </c>
      <c r="F118" t="inlineStr">
        <is>
          <t>KALMAR LÄN</t>
        </is>
      </c>
      <c r="G118" t="inlineStr">
        <is>
          <t>HÖGSBY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46317</v>
      </c>
      <c r="F119" t="inlineStr">
        <is>
          <t>KALMAR LÄN</t>
        </is>
      </c>
      <c r="G119" t="inlineStr">
        <is>
          <t>HÖGSBY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46317</v>
      </c>
      <c r="F120" t="inlineStr">
        <is>
          <t>KALMAR LÄN</t>
        </is>
      </c>
      <c r="G120" t="inlineStr">
        <is>
          <t>HÖGSBY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46317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46317</v>
      </c>
      <c r="F122" t="inlineStr">
        <is>
          <t>KALMAR LÄN</t>
        </is>
      </c>
      <c r="G122" t="inlineStr">
        <is>
          <t>HÖGSBY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45847</v>
      </c>
      <c r="E123" s="1" t="n">
        <v>46317</v>
      </c>
      <c r="F123" t="inlineStr">
        <is>
          <t>KALMAR LÄN</t>
        </is>
      </c>
      <c r="G123" t="inlineStr">
        <is>
          <t>HÖGSBY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46317</v>
      </c>
      <c r="F124" t="inlineStr">
        <is>
          <t>KALMAR LÄN</t>
        </is>
      </c>
      <c r="G124" t="inlineStr">
        <is>
          <t>HÖGSBY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46317</v>
      </c>
      <c r="F125" t="inlineStr">
        <is>
          <t>KALMAR LÄN</t>
        </is>
      </c>
      <c r="G125" t="inlineStr">
        <is>
          <t>HÖGSBY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46317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46317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46317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46317</v>
      </c>
      <c r="F129" t="inlineStr">
        <is>
          <t>KALMAR LÄN</t>
        </is>
      </c>
      <c r="G129" t="inlineStr">
        <is>
          <t>HÖGSBY</t>
        </is>
      </c>
      <c r="I129" t="n">
        <v>12.8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52575-2025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46317</v>
      </c>
      <c r="F130" t="inlineStr">
        <is>
          <t>KALMAR LÄN</t>
        </is>
      </c>
      <c r="G130" t="inlineStr">
        <is>
          <t>HÖGSBY</t>
        </is>
      </c>
      <c r="H130" t="inlineStr">
        <is>
          <t>Kyrkan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46317</v>
      </c>
      <c r="F131" t="inlineStr">
        <is>
          <t>KALMAR LÄN</t>
        </is>
      </c>
      <c r="G131" t="inlineStr">
        <is>
          <t>HÖGSBY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52545-2025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46317</v>
      </c>
      <c r="F132" t="inlineStr">
        <is>
          <t>KALMAR LÄN</t>
        </is>
      </c>
      <c r="G132" t="inlineStr">
        <is>
          <t>HÖGSBY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38068-2025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45882</v>
      </c>
      <c r="E133" s="1" t="n">
        <v>46317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46317</v>
      </c>
      <c r="F134" t="inlineStr">
        <is>
          <t>KALMAR LÄN</t>
        </is>
      </c>
      <c r="G134" t="inlineStr">
        <is>
          <t>HÖGSBY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46317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45320</v>
      </c>
      <c r="E136" s="1" t="n">
        <v>46317</v>
      </c>
      <c r="F136" t="inlineStr">
        <is>
          <t>KALMAR LÄN</t>
        </is>
      </c>
      <c r="G136" t="inlineStr">
        <is>
          <t>HÖGSBY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46317</v>
      </c>
      <c r="F137" t="inlineStr">
        <is>
          <t>KALMAR LÄN</t>
        </is>
      </c>
      <c r="G137" t="inlineStr">
        <is>
          <t>HÖGSBY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46317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46317</v>
      </c>
      <c r="F139" t="inlineStr">
        <is>
          <t>KALMAR LÄN</t>
        </is>
      </c>
      <c r="G139" t="inlineStr">
        <is>
          <t>HÖGSBY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46317</v>
      </c>
      <c r="F140" t="inlineStr">
        <is>
          <t>KALMAR LÄN</t>
        </is>
      </c>
      <c r="G140" t="inlineStr">
        <is>
          <t>HÖGSBY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46317</v>
      </c>
      <c r="F141" t="inlineStr">
        <is>
          <t>KALMAR LÄN</t>
        </is>
      </c>
      <c r="G141" t="inlineStr">
        <is>
          <t>HÖGSBY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45707</v>
      </c>
      <c r="E142" s="1" t="n">
        <v>46317</v>
      </c>
      <c r="F142" t="inlineStr">
        <is>
          <t>KALMAR LÄN</t>
        </is>
      </c>
      <c r="G142" t="inlineStr">
        <is>
          <t>HÖGSBY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46317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25223-2022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44729</v>
      </c>
      <c r="E144" s="1" t="n">
        <v>46317</v>
      </c>
      <c r="F144" t="inlineStr">
        <is>
          <t>KALMAR LÄN</t>
        </is>
      </c>
      <c r="G144" t="inlineStr">
        <is>
          <t>HÖGSBY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46317</v>
      </c>
      <c r="F145" t="inlineStr">
        <is>
          <t>KALMAR LÄN</t>
        </is>
      </c>
      <c r="G145" t="inlineStr">
        <is>
          <t>HÖGSBY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65130-2023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45288</v>
      </c>
      <c r="E146" s="1" t="n">
        <v>46317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46317</v>
      </c>
      <c r="F147" t="inlineStr">
        <is>
          <t>KALMAR LÄN</t>
        </is>
      </c>
      <c r="G147" t="inlineStr">
        <is>
          <t>HÖGSBY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57000-2024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45626</v>
      </c>
      <c r="E148" s="1" t="n">
        <v>46317</v>
      </c>
      <c r="F148" t="inlineStr">
        <is>
          <t>KALMAR LÄN</t>
        </is>
      </c>
      <c r="G148" t="inlineStr">
        <is>
          <t>HÖGSBY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46317</v>
      </c>
      <c r="F149" t="inlineStr">
        <is>
          <t>KALMAR LÄN</t>
        </is>
      </c>
      <c r="G149" t="inlineStr">
        <is>
          <t>HÖGSBY</t>
        </is>
      </c>
      <c r="I149" t="n">
        <v>11.6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45979</v>
      </c>
      <c r="E150" s="1" t="n">
        <v>46317</v>
      </c>
      <c r="F150" t="inlineStr">
        <is>
          <t>KALMAR LÄN</t>
        </is>
      </c>
      <c r="G150" t="inlineStr">
        <is>
          <t>HÖGSBY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44496</v>
      </c>
      <c r="E151" s="1" t="n">
        <v>46317</v>
      </c>
      <c r="F151" t="inlineStr">
        <is>
          <t>KALMAR LÄN</t>
        </is>
      </c>
      <c r="G151" t="inlineStr">
        <is>
          <t>HÖGSBY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46317</v>
      </c>
      <c r="F152" t="inlineStr">
        <is>
          <t>KALMAR LÄN</t>
        </is>
      </c>
      <c r="G152" t="inlineStr">
        <is>
          <t>HÖGSBY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45988</v>
      </c>
      <c r="E153" s="1" t="n">
        <v>46317</v>
      </c>
      <c r="F153" t="inlineStr">
        <is>
          <t>KALMAR LÄN</t>
        </is>
      </c>
      <c r="G153" t="inlineStr">
        <is>
          <t>HÖGSBY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46317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32049-2023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45119</v>
      </c>
      <c r="E155" s="1" t="n">
        <v>46317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45608</v>
      </c>
      <c r="E156" s="1" t="n">
        <v>46317</v>
      </c>
      <c r="F156" t="inlineStr">
        <is>
          <t>KALMAR LÄN</t>
        </is>
      </c>
      <c r="G156" t="inlineStr">
        <is>
          <t>HÖGSBY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45999</v>
      </c>
      <c r="E157" s="1" t="n">
        <v>46317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46317</v>
      </c>
      <c r="F158" t="inlineStr">
        <is>
          <t>KALMAR LÄN</t>
        </is>
      </c>
      <c r="G158" t="inlineStr">
        <is>
          <t>HÖGSBY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45999</v>
      </c>
      <c r="E159" s="1" t="n">
        <v>46317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18.4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46317</v>
      </c>
      <c r="F160" t="inlineStr">
        <is>
          <t>KALMAR LÄN</t>
        </is>
      </c>
      <c r="G160" t="inlineStr">
        <is>
          <t>HÖGSBY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46317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46317</v>
      </c>
      <c r="F162" t="inlineStr">
        <is>
          <t>KALMAR LÄN</t>
        </is>
      </c>
      <c r="G162" t="inlineStr">
        <is>
          <t>HÖGSBY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46317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10.9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61029-2025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46317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46058</v>
      </c>
      <c r="E165" s="1" t="n">
        <v>46317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7443-2026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46059</v>
      </c>
      <c r="E166" s="1" t="n">
        <v>46317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46317</v>
      </c>
      <c r="F167" t="inlineStr">
        <is>
          <t>KALMAR LÄN</t>
        </is>
      </c>
      <c r="G167" t="inlineStr">
        <is>
          <t>HÖGSBY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46317</v>
      </c>
      <c r="F168" t="inlineStr">
        <is>
          <t>KALMAR LÄN</t>
        </is>
      </c>
      <c r="G168" t="inlineStr">
        <is>
          <t>HÖGSBY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46317</v>
      </c>
      <c r="F169" t="inlineStr">
        <is>
          <t>KALMAR LÄN</t>
        </is>
      </c>
      <c r="G169" t="inlineStr">
        <is>
          <t>HÖGSBY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46317</v>
      </c>
      <c r="F170" t="inlineStr">
        <is>
          <t>KALMAR LÄN</t>
        </is>
      </c>
      <c r="G170" t="inlineStr">
        <is>
          <t>HÖGSBY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44987</v>
      </c>
      <c r="E171" s="1" t="n">
        <v>46317</v>
      </c>
      <c r="F171" t="inlineStr">
        <is>
          <t>KALMAR LÄN</t>
        </is>
      </c>
      <c r="G171" t="inlineStr">
        <is>
          <t>HÖGSBY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46317</v>
      </c>
      <c r="F172" t="inlineStr">
        <is>
          <t>KALMAR LÄN</t>
        </is>
      </c>
      <c r="G172" t="inlineStr">
        <is>
          <t>HÖGSBY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45228</v>
      </c>
      <c r="E173" s="1" t="n">
        <v>46317</v>
      </c>
      <c r="F173" t="inlineStr">
        <is>
          <t>KALMAR LÄN</t>
        </is>
      </c>
      <c r="G173" t="inlineStr">
        <is>
          <t>HÖGSBY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46317</v>
      </c>
      <c r="F174" t="inlineStr">
        <is>
          <t>KALMAR LÄN</t>
        </is>
      </c>
      <c r="G174" t="inlineStr">
        <is>
          <t>HÖGSBY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46317</v>
      </c>
      <c r="F175" t="inlineStr">
        <is>
          <t>KALMAR LÄN</t>
        </is>
      </c>
      <c r="G175" t="inlineStr">
        <is>
          <t>HÖGSBY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46317</v>
      </c>
      <c r="F176" t="inlineStr">
        <is>
          <t>KALMAR LÄN</t>
        </is>
      </c>
      <c r="G176" t="inlineStr">
        <is>
          <t>HÖGSBY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44879</v>
      </c>
      <c r="E177" s="1" t="n">
        <v>46317</v>
      </c>
      <c r="F177" t="inlineStr">
        <is>
          <t>KALMAR LÄN</t>
        </is>
      </c>
      <c r="G177" t="inlineStr">
        <is>
          <t>HÖGSBY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45247</v>
      </c>
      <c r="E178" s="1" t="n">
        <v>46317</v>
      </c>
      <c r="F178" t="inlineStr">
        <is>
          <t>KALMAR LÄN</t>
        </is>
      </c>
      <c r="G178" t="inlineStr">
        <is>
          <t>HÖGSBY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46317</v>
      </c>
      <c r="F179" t="inlineStr">
        <is>
          <t>KALMAR LÄN</t>
        </is>
      </c>
      <c r="G179" t="inlineStr">
        <is>
          <t>HÖGSBY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46317</v>
      </c>
      <c r="F180" t="inlineStr">
        <is>
          <t>KALMAR LÄN</t>
        </is>
      </c>
      <c r="G180" t="inlineStr">
        <is>
          <t>HÖGSBY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46317</v>
      </c>
      <c r="F181" t="inlineStr">
        <is>
          <t>KALMAR LÄN</t>
        </is>
      </c>
      <c r="G181" t="inlineStr">
        <is>
          <t>HÖGSBY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46093</v>
      </c>
      <c r="E182" s="1" t="n">
        <v>46317</v>
      </c>
      <c r="F182" t="inlineStr">
        <is>
          <t>KALMAR LÄN</t>
        </is>
      </c>
      <c r="G182" t="inlineStr">
        <is>
          <t>HÖGSBY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45532</v>
      </c>
      <c r="E183" s="1" t="n">
        <v>46317</v>
      </c>
      <c r="F183" t="inlineStr">
        <is>
          <t>KALMAR LÄN</t>
        </is>
      </c>
      <c r="G183" t="inlineStr">
        <is>
          <t>HÖGSBY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46317</v>
      </c>
      <c r="F184" t="inlineStr">
        <is>
          <t>KALMAR LÄN</t>
        </is>
      </c>
      <c r="G184" t="inlineStr">
        <is>
          <t>HÖGSBY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14894-2025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45743</v>
      </c>
      <c r="E185" s="1" t="n">
        <v>46317</v>
      </c>
      <c r="F185" t="inlineStr">
        <is>
          <t>KALMAR LÄN</t>
        </is>
      </c>
      <c r="G185" t="inlineStr">
        <is>
          <t>HÖGSBY</t>
        </is>
      </c>
      <c r="H185" t="inlineStr">
        <is>
          <t>Kommuner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46317</v>
      </c>
      <c r="F186" t="inlineStr">
        <is>
          <t>KALMAR LÄN</t>
        </is>
      </c>
      <c r="G186" t="inlineStr">
        <is>
          <t>HÖGSBY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46317</v>
      </c>
      <c r="F187" t="inlineStr">
        <is>
          <t>KALMAR LÄN</t>
        </is>
      </c>
      <c r="G187" t="inlineStr">
        <is>
          <t>HÖGSBY</t>
        </is>
      </c>
      <c r="H187" t="inlineStr">
        <is>
          <t>Övriga Aktiebolag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46107</v>
      </c>
      <c r="E188" s="1" t="n">
        <v>46317</v>
      </c>
      <c r="F188" t="inlineStr">
        <is>
          <t>KALMAR LÄN</t>
        </is>
      </c>
      <c r="G188" t="inlineStr">
        <is>
          <t>HÖGSBY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46317</v>
      </c>
      <c r="F189" t="inlineStr">
        <is>
          <t>KALMAR LÄN</t>
        </is>
      </c>
      <c r="G189" t="inlineStr">
        <is>
          <t>HÖGSBY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46317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46317</v>
      </c>
      <c r="F191" t="inlineStr">
        <is>
          <t>KALMAR LÄN</t>
        </is>
      </c>
      <c r="G191" t="inlineStr">
        <is>
          <t>HÖGSBY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44904</v>
      </c>
      <c r="E192" s="1" t="n">
        <v>46317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46114</v>
      </c>
      <c r="E193" s="1" t="n">
        <v>46317</v>
      </c>
      <c r="F193" t="inlineStr">
        <is>
          <t>KALMAR LÄN</t>
        </is>
      </c>
      <c r="G193" t="inlineStr">
        <is>
          <t>HÖGSBY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44939</v>
      </c>
      <c r="E194" s="1" t="n">
        <v>46317</v>
      </c>
      <c r="F194" t="inlineStr">
        <is>
          <t>KALMAR LÄN</t>
        </is>
      </c>
      <c r="G194" t="inlineStr">
        <is>
          <t>HÖGSBY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50367-2022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46317</v>
      </c>
      <c r="F195" t="inlineStr">
        <is>
          <t>KALMAR LÄN</t>
        </is>
      </c>
      <c r="G195" t="inlineStr">
        <is>
          <t>HÖGSBY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37811-2024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45544</v>
      </c>
      <c r="E196" s="1" t="n">
        <v>46317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28648-2023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45103</v>
      </c>
      <c r="E197" s="1" t="n">
        <v>46317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46122</v>
      </c>
      <c r="E198" s="1" t="n">
        <v>46317</v>
      </c>
      <c r="F198" t="inlineStr">
        <is>
          <t>KALMAR LÄN</t>
        </is>
      </c>
      <c r="G198" t="inlineStr">
        <is>
          <t>HÖGSBY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46122</v>
      </c>
      <c r="E199" s="1" t="n">
        <v>46317</v>
      </c>
      <c r="F199" t="inlineStr">
        <is>
          <t>KALMAR LÄN</t>
        </is>
      </c>
      <c r="G199" t="inlineStr">
        <is>
          <t>HÖGSBY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46317</v>
      </c>
      <c r="F200" t="inlineStr">
        <is>
          <t>KALMAR LÄN</t>
        </is>
      </c>
      <c r="G200" t="inlineStr">
        <is>
          <t>HÖGSBY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46317</v>
      </c>
      <c r="F201" t="inlineStr">
        <is>
          <t>KALMAR LÄN</t>
        </is>
      </c>
      <c r="G201" t="inlineStr">
        <is>
          <t>HÖGSBY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46317</v>
      </c>
      <c r="F202" t="inlineStr">
        <is>
          <t>KALMAR LÄN</t>
        </is>
      </c>
      <c r="G202" t="inlineStr">
        <is>
          <t>HÖGSBY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46317</v>
      </c>
      <c r="F203" t="inlineStr">
        <is>
          <t>KALMAR LÄN</t>
        </is>
      </c>
      <c r="G203" t="inlineStr">
        <is>
          <t>HÖGSBY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44907</v>
      </c>
      <c r="E204" s="1" t="n">
        <v>46317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45624</v>
      </c>
      <c r="E205" s="1" t="n">
        <v>46317</v>
      </c>
      <c r="F205" t="inlineStr">
        <is>
          <t>KALMAR LÄN</t>
        </is>
      </c>
      <c r="G205" t="inlineStr">
        <is>
          <t>HÖGSBY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46134</v>
      </c>
      <c r="E206" s="1" t="n">
        <v>46317</v>
      </c>
      <c r="F206" t="inlineStr">
        <is>
          <t>KALMAR LÄN</t>
        </is>
      </c>
      <c r="G206" t="inlineStr">
        <is>
          <t>HÖGSBY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46317</v>
      </c>
      <c r="F207" t="inlineStr">
        <is>
          <t>KALMAR LÄN</t>
        </is>
      </c>
      <c r="G207" t="inlineStr">
        <is>
          <t>HÖGSBY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45307</v>
      </c>
      <c r="E208" s="1" t="n">
        <v>46317</v>
      </c>
      <c r="F208" t="inlineStr">
        <is>
          <t>KALMAR LÄN</t>
        </is>
      </c>
      <c r="G208" t="inlineStr">
        <is>
          <t>HÖGSBY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45114</v>
      </c>
      <c r="E209" s="1" t="n">
        <v>46317</v>
      </c>
      <c r="F209" t="inlineStr">
        <is>
          <t>KALMAR LÄN</t>
        </is>
      </c>
      <c r="G209" t="inlineStr">
        <is>
          <t>HÖGSBY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60555-2021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44496</v>
      </c>
      <c r="E210" s="1" t="n">
        <v>46317</v>
      </c>
      <c r="F210" t="inlineStr">
        <is>
          <t>KALMAR LÄN</t>
        </is>
      </c>
      <c r="G210" t="inlineStr">
        <is>
          <t>HÖGSBY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45727</v>
      </c>
      <c r="E211" s="1" t="n">
        <v>46317</v>
      </c>
      <c r="F211" t="inlineStr">
        <is>
          <t>KALMAR LÄN</t>
        </is>
      </c>
      <c r="G211" t="inlineStr">
        <is>
          <t>HÖGSBY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46317</v>
      </c>
      <c r="F212" t="inlineStr">
        <is>
          <t>KALMAR LÄN</t>
        </is>
      </c>
      <c r="G212" t="inlineStr">
        <is>
          <t>HÖGSBY</t>
        </is>
      </c>
      <c r="H212" t="inlineStr">
        <is>
          <t>Kommuner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46317</v>
      </c>
      <c r="F213" t="inlineStr">
        <is>
          <t>KALMAR LÄN</t>
        </is>
      </c>
      <c r="G213" t="inlineStr">
        <is>
          <t>HÖGSBY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46317</v>
      </c>
      <c r="F214" t="inlineStr">
        <is>
          <t>KALMAR LÄN</t>
        </is>
      </c>
      <c r="G214" t="inlineStr">
        <is>
          <t>HÖGSBY</t>
        </is>
      </c>
      <c r="H214" t="inlineStr">
        <is>
          <t>Kommuner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45793</v>
      </c>
      <c r="E215" s="1" t="n">
        <v>46317</v>
      </c>
      <c r="F215" t="inlineStr">
        <is>
          <t>KALMAR LÄN</t>
        </is>
      </c>
      <c r="G215" t="inlineStr">
        <is>
          <t>HÖGSBY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46317</v>
      </c>
      <c r="F216" t="inlineStr">
        <is>
          <t>KALMAR LÄN</t>
        </is>
      </c>
      <c r="G216" t="inlineStr">
        <is>
          <t>HÖGSBY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46317</v>
      </c>
      <c r="F217" t="inlineStr">
        <is>
          <t>KALMAR LÄN</t>
        </is>
      </c>
      <c r="G217" t="inlineStr">
        <is>
          <t>HÖGSBY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46317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46317</v>
      </c>
      <c r="F219" t="inlineStr">
        <is>
          <t>KALMAR LÄN</t>
        </is>
      </c>
      <c r="G219" t="inlineStr">
        <is>
          <t>HÖGSBY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41619-2025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46317</v>
      </c>
      <c r="F220" t="inlineStr">
        <is>
          <t>KALMAR LÄN</t>
        </is>
      </c>
      <c r="G220" t="inlineStr">
        <is>
          <t>HÖGSBY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46317</v>
      </c>
      <c r="F221" t="inlineStr">
        <is>
          <t>KALMAR LÄN</t>
        </is>
      </c>
      <c r="G221" t="inlineStr">
        <is>
          <t>HÖGSBY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46317</v>
      </c>
      <c r="F222" t="inlineStr">
        <is>
          <t>KALMAR LÄN</t>
        </is>
      </c>
      <c r="G222" t="inlineStr">
        <is>
          <t>HÖGSBY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73709-2021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46317</v>
      </c>
      <c r="F223" t="inlineStr">
        <is>
          <t>KALMAR LÄN</t>
        </is>
      </c>
      <c r="G223" t="inlineStr">
        <is>
          <t>HÖGSBY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45393</v>
      </c>
      <c r="E224" s="1" t="n">
        <v>46317</v>
      </c>
      <c r="F224" t="inlineStr">
        <is>
          <t>KALMAR LÄN</t>
        </is>
      </c>
      <c r="G224" t="inlineStr">
        <is>
          <t>HÖGSBY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46317</v>
      </c>
      <c r="F225" t="inlineStr">
        <is>
          <t>KALMAR LÄN</t>
        </is>
      </c>
      <c r="G225" t="inlineStr">
        <is>
          <t>HÖGSBY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46317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46317</v>
      </c>
      <c r="F227" t="inlineStr">
        <is>
          <t>KALMAR LÄN</t>
        </is>
      </c>
      <c r="G227" t="inlineStr">
        <is>
          <t>HÖGSBY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46317</v>
      </c>
      <c r="F228" t="inlineStr">
        <is>
          <t>KALMAR LÄN</t>
        </is>
      </c>
      <c r="G228" t="inlineStr">
        <is>
          <t>HÖGSBY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46317</v>
      </c>
      <c r="F229" t="inlineStr">
        <is>
          <t>KALMAR LÄN</t>
        </is>
      </c>
      <c r="G229" t="inlineStr">
        <is>
          <t>HÖGSBY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44972</v>
      </c>
      <c r="E230" s="1" t="n">
        <v>46317</v>
      </c>
      <c r="F230" t="inlineStr">
        <is>
          <t>KALMAR LÄN</t>
        </is>
      </c>
      <c r="G230" t="inlineStr">
        <is>
          <t>HÖGSBY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9592-2024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45360</v>
      </c>
      <c r="E231" s="1" t="n">
        <v>46317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46317</v>
      </c>
      <c r="F232" t="inlineStr">
        <is>
          <t>KALMAR LÄN</t>
        </is>
      </c>
      <c r="G232" t="inlineStr">
        <is>
          <t>HÖGSBY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45175</v>
      </c>
      <c r="E233" s="1" t="n">
        <v>46317</v>
      </c>
      <c r="F233" t="inlineStr">
        <is>
          <t>KALMAR LÄN</t>
        </is>
      </c>
      <c r="G233" t="inlineStr">
        <is>
          <t>HÖGSBY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45614</v>
      </c>
      <c r="E234" s="1" t="n">
        <v>46317</v>
      </c>
      <c r="F234" t="inlineStr">
        <is>
          <t>KALMAR LÄN</t>
        </is>
      </c>
      <c r="G234" t="inlineStr">
        <is>
          <t>HÖGSBY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46317</v>
      </c>
      <c r="F235" t="inlineStr">
        <is>
          <t>KALMAR LÄN</t>
        </is>
      </c>
      <c r="G235" t="inlineStr">
        <is>
          <t>HÖGSBY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46317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46317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46317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46317</v>
      </c>
      <c r="F239" t="inlineStr">
        <is>
          <t>KALMAR LÄN</t>
        </is>
      </c>
      <c r="G239" t="inlineStr">
        <is>
          <t>HÖGSBY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45553</v>
      </c>
      <c r="E240" s="1" t="n">
        <v>46317</v>
      </c>
      <c r="F240" t="inlineStr">
        <is>
          <t>KALMAR LÄN</t>
        </is>
      </c>
      <c r="G240" t="inlineStr">
        <is>
          <t>HÖGSBY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46317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46317</v>
      </c>
      <c r="F242" t="inlineStr">
        <is>
          <t>KALMAR LÄN</t>
        </is>
      </c>
      <c r="G242" t="inlineStr">
        <is>
          <t>HÖGSBY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45162</v>
      </c>
      <c r="E243" s="1" t="n">
        <v>46317</v>
      </c>
      <c r="F243" t="inlineStr">
        <is>
          <t>KALMAR LÄN</t>
        </is>
      </c>
      <c r="G243" t="inlineStr">
        <is>
          <t>HÖGSBY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45348</v>
      </c>
      <c r="E244" s="1" t="n">
        <v>46317</v>
      </c>
      <c r="F244" t="inlineStr">
        <is>
          <t>KALMAR LÄN</t>
        </is>
      </c>
      <c r="G244" t="inlineStr">
        <is>
          <t>HÖGSBY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45239</v>
      </c>
      <c r="E245" s="1" t="n">
        <v>46317</v>
      </c>
      <c r="F245" t="inlineStr">
        <is>
          <t>KALMAR LÄN</t>
        </is>
      </c>
      <c r="G245" t="inlineStr">
        <is>
          <t>HÖGSBY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46317</v>
      </c>
      <c r="F246" t="inlineStr">
        <is>
          <t>KALMAR LÄN</t>
        </is>
      </c>
      <c r="G246" t="inlineStr">
        <is>
          <t>HÖGSBY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7325-2025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45702</v>
      </c>
      <c r="E247" s="1" t="n">
        <v>46317</v>
      </c>
      <c r="F247" t="inlineStr">
        <is>
          <t>KALMAR LÄN</t>
        </is>
      </c>
      <c r="G247" t="inlineStr">
        <is>
          <t>HÖGSBY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44625</v>
      </c>
      <c r="E248" s="1" t="n">
        <v>46317</v>
      </c>
      <c r="F248" t="inlineStr">
        <is>
          <t>KALMAR LÄN</t>
        </is>
      </c>
      <c r="G248" t="inlineStr">
        <is>
          <t>HÖGSBY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44625</v>
      </c>
      <c r="E249" s="1" t="n">
        <v>46317</v>
      </c>
      <c r="F249" t="inlineStr">
        <is>
          <t>KALMAR LÄN</t>
        </is>
      </c>
      <c r="G249" t="inlineStr">
        <is>
          <t>HÖGSBY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45203</v>
      </c>
      <c r="E250" s="1" t="n">
        <v>46317</v>
      </c>
      <c r="F250" t="inlineStr">
        <is>
          <t>KALMAR LÄN</t>
        </is>
      </c>
      <c r="G250" t="inlineStr">
        <is>
          <t>HÖGSBY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46317</v>
      </c>
      <c r="F251" t="inlineStr">
        <is>
          <t>KALMAR LÄN</t>
        </is>
      </c>
      <c r="G251" t="inlineStr">
        <is>
          <t>HÖGSBY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45650-2023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45194</v>
      </c>
      <c r="E252" s="1" t="n">
        <v>46317</v>
      </c>
      <c r="F252" t="inlineStr">
        <is>
          <t>KALMAR LÄN</t>
        </is>
      </c>
      <c r="G252" t="inlineStr">
        <is>
          <t>HÖGSBY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45168</v>
      </c>
      <c r="E253" s="1" t="n">
        <v>46317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46317</v>
      </c>
      <c r="F254" t="inlineStr">
        <is>
          <t>KALMAR LÄN</t>
        </is>
      </c>
      <c r="G254" t="inlineStr">
        <is>
          <t>HÖGSBY</t>
        </is>
      </c>
      <c r="H254" t="inlineStr">
        <is>
          <t>Kyrkan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38797-2024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45547</v>
      </c>
      <c r="E255" s="1" t="n">
        <v>46317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22562-2026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46155</v>
      </c>
      <c r="E256" s="1" t="n">
        <v>46317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22564-2026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46155</v>
      </c>
      <c r="E257" s="1" t="n">
        <v>46317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46157</v>
      </c>
      <c r="E258" s="1" t="n">
        <v>46317</v>
      </c>
      <c r="F258" t="inlineStr">
        <is>
          <t>KALMAR LÄN</t>
        </is>
      </c>
      <c r="G258" t="inlineStr">
        <is>
          <t>HÖGSBY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46317</v>
      </c>
      <c r="F259" t="inlineStr">
        <is>
          <t>KALMAR LÄN</t>
        </is>
      </c>
      <c r="G259" t="inlineStr">
        <is>
          <t>HÖGSBY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45638</v>
      </c>
      <c r="E260" s="1" t="n">
        <v>46317</v>
      </c>
      <c r="F260" t="inlineStr">
        <is>
          <t>KALMAR LÄN</t>
        </is>
      </c>
      <c r="G260" t="inlineStr">
        <is>
          <t>HÖGSBY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46317</v>
      </c>
      <c r="F261" t="inlineStr">
        <is>
          <t>KALMAR LÄN</t>
        </is>
      </c>
      <c r="G261" t="inlineStr">
        <is>
          <t>HÖGSBY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46317</v>
      </c>
      <c r="F262" t="inlineStr">
        <is>
          <t>KALMAR LÄN</t>
        </is>
      </c>
      <c r="G262" t="inlineStr">
        <is>
          <t>HÖGSBY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45160</v>
      </c>
      <c r="E263" s="1" t="n">
        <v>46317</v>
      </c>
      <c r="F263" t="inlineStr">
        <is>
          <t>KALMAR LÄN</t>
        </is>
      </c>
      <c r="G263" t="inlineStr">
        <is>
          <t>HÖGSBY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44677</v>
      </c>
      <c r="E264" s="1" t="n">
        <v>46317</v>
      </c>
      <c r="F264" t="inlineStr">
        <is>
          <t>KALMAR LÄN</t>
        </is>
      </c>
      <c r="G264" t="inlineStr">
        <is>
          <t>HÖGSBY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45190</v>
      </c>
      <c r="E265" s="1" t="n">
        <v>46317</v>
      </c>
      <c r="F265" t="inlineStr">
        <is>
          <t>KALMAR LÄN</t>
        </is>
      </c>
      <c r="G265" t="inlineStr">
        <is>
          <t>HÖGSBY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45700</v>
      </c>
      <c r="E266" s="1" t="n">
        <v>46317</v>
      </c>
      <c r="F266" t="inlineStr">
        <is>
          <t>KALMAR LÄN</t>
        </is>
      </c>
      <c r="G266" t="inlineStr">
        <is>
          <t>HÖGSBY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46317</v>
      </c>
      <c r="F267" t="inlineStr">
        <is>
          <t>KALMAR LÄN</t>
        </is>
      </c>
      <c r="G267" t="inlineStr">
        <is>
          <t>HÖGSBY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46317</v>
      </c>
      <c r="F268" t="inlineStr">
        <is>
          <t>KALMAR LÄN</t>
        </is>
      </c>
      <c r="G268" t="inlineStr">
        <is>
          <t>HÖGSBY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46317</v>
      </c>
      <c r="F269" t="inlineStr">
        <is>
          <t>KALMAR LÄN</t>
        </is>
      </c>
      <c r="G269" t="inlineStr">
        <is>
          <t>HÖGSBY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23937-2026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46167</v>
      </c>
      <c r="E270" s="1" t="n">
        <v>46317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58045-2023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45247</v>
      </c>
      <c r="E271" s="1" t="n">
        <v>46317</v>
      </c>
      <c r="F271" t="inlineStr">
        <is>
          <t>KALMAR LÄN</t>
        </is>
      </c>
      <c r="G271" t="inlineStr">
        <is>
          <t>HÖGSBY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45145</v>
      </c>
      <c r="E272" s="1" t="n">
        <v>46317</v>
      </c>
      <c r="F272" t="inlineStr">
        <is>
          <t>KALMAR LÄN</t>
        </is>
      </c>
      <c r="G272" t="inlineStr">
        <is>
          <t>HÖGSBY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45274</v>
      </c>
      <c r="E273" s="1" t="n">
        <v>46317</v>
      </c>
      <c r="F273" t="inlineStr">
        <is>
          <t>KALMAR LÄN</t>
        </is>
      </c>
      <c r="G273" t="inlineStr">
        <is>
          <t>HÖGSBY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45154</v>
      </c>
      <c r="E274" s="1" t="n">
        <v>46317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46317</v>
      </c>
      <c r="F275" t="inlineStr">
        <is>
          <t>KALMAR LÄN</t>
        </is>
      </c>
      <c r="G275" t="inlineStr">
        <is>
          <t>HÖGSBY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30294-2022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44760</v>
      </c>
      <c r="E276" s="1" t="n">
        <v>46317</v>
      </c>
      <c r="F276" t="inlineStr">
        <is>
          <t>KALMAR LÄN</t>
        </is>
      </c>
      <c r="G276" t="inlineStr">
        <is>
          <t>HÖGSBY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24601-2024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45460</v>
      </c>
      <c r="E277" s="1" t="n">
        <v>46317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14.7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45259</v>
      </c>
      <c r="E278" s="1" t="n">
        <v>46317</v>
      </c>
      <c r="F278" t="inlineStr">
        <is>
          <t>KALMAR LÄN</t>
        </is>
      </c>
      <c r="G278" t="inlineStr">
        <is>
          <t>HÖGSBY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46317</v>
      </c>
      <c r="F279" t="inlineStr">
        <is>
          <t>KALMAR LÄN</t>
        </is>
      </c>
      <c r="G279" t="inlineStr">
        <is>
          <t>HÖGSBY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26151-2026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46181</v>
      </c>
      <c r="E280" s="1" t="n">
        <v>46317</v>
      </c>
      <c r="F280" t="inlineStr">
        <is>
          <t>KALMAR LÄN</t>
        </is>
      </c>
      <c r="G280" t="inlineStr">
        <is>
          <t>HÖGSBY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45306</v>
      </c>
      <c r="E281" s="1" t="n">
        <v>46317</v>
      </c>
      <c r="F281" t="inlineStr">
        <is>
          <t>KALMAR LÄN</t>
        </is>
      </c>
      <c r="G281" t="inlineStr">
        <is>
          <t>HÖGSBY</t>
        </is>
      </c>
      <c r="H281" t="inlineStr">
        <is>
          <t>Övriga Aktiebolag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46317</v>
      </c>
      <c r="F282" t="inlineStr">
        <is>
          <t>KALMAR LÄN</t>
        </is>
      </c>
      <c r="G282" t="inlineStr">
        <is>
          <t>HÖGSBY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27367-2026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46317</v>
      </c>
      <c r="F283" t="inlineStr">
        <is>
          <t>KALMAR LÄN</t>
        </is>
      </c>
      <c r="G283" t="inlineStr">
        <is>
          <t>HÖGSBY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46317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46317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46317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7.7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46317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46317</v>
      </c>
      <c r="F288" t="inlineStr">
        <is>
          <t>KALMAR LÄN</t>
        </is>
      </c>
      <c r="G288" t="inlineStr">
        <is>
          <t>HÖGSBY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74478-2021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44559</v>
      </c>
      <c r="E289" s="1" t="n">
        <v>46317</v>
      </c>
      <c r="F289" t="inlineStr">
        <is>
          <t>KALMAR LÄN</t>
        </is>
      </c>
      <c r="G289" t="inlineStr">
        <is>
          <t>HÖGSBY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27812-2026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46317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54735-2025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46317</v>
      </c>
      <c r="F291" t="inlineStr">
        <is>
          <t>KALMAR LÄN</t>
        </is>
      </c>
      <c r="G291" t="inlineStr">
        <is>
          <t>HÖGSBY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46317</v>
      </c>
      <c r="F292" t="inlineStr">
        <is>
          <t>KALMAR LÄN</t>
        </is>
      </c>
      <c r="G292" t="inlineStr">
        <is>
          <t>HÖGSBY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38824-2024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45547</v>
      </c>
      <c r="E293" s="1" t="n">
        <v>46317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46197</v>
      </c>
      <c r="E294" s="1" t="n">
        <v>46317</v>
      </c>
      <c r="F294" t="inlineStr">
        <is>
          <t>KALMAR LÄN</t>
        </is>
      </c>
      <c r="G294" t="inlineStr">
        <is>
          <t>HÖGSBY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46317</v>
      </c>
      <c r="F295" t="inlineStr">
        <is>
          <t>KALMAR LÄN</t>
        </is>
      </c>
      <c r="G295" t="inlineStr">
        <is>
          <t>HÖGSBY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45329</v>
      </c>
      <c r="E296" s="1" t="n">
        <v>46317</v>
      </c>
      <c r="F296" t="inlineStr">
        <is>
          <t>KALMAR LÄN</t>
        </is>
      </c>
      <c r="G296" t="inlineStr">
        <is>
          <t>HÖGSBY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46317</v>
      </c>
      <c r="F297" t="inlineStr">
        <is>
          <t>KALMAR LÄN</t>
        </is>
      </c>
      <c r="G297" t="inlineStr">
        <is>
          <t>HÖGSBY</t>
        </is>
      </c>
      <c r="H297" t="inlineStr">
        <is>
          <t>Kommuner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28702-2026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46198</v>
      </c>
      <c r="E298" s="1" t="n">
        <v>46317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28692-2026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46317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28713-2026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46317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29038-2026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46199</v>
      </c>
      <c r="E301" s="1" t="n">
        <v>46317</v>
      </c>
      <c r="F301" t="inlineStr">
        <is>
          <t>KALMAR LÄN</t>
        </is>
      </c>
      <c r="G301" t="inlineStr">
        <is>
          <t>HÖGSBY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46317</v>
      </c>
      <c r="F302" t="inlineStr">
        <is>
          <t>KALMAR LÄN</t>
        </is>
      </c>
      <c r="G302" t="inlineStr">
        <is>
          <t>HÖGSBY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46199</v>
      </c>
      <c r="E303" s="1" t="n">
        <v>46317</v>
      </c>
      <c r="F303" t="inlineStr">
        <is>
          <t>KALMAR LÄN</t>
        </is>
      </c>
      <c r="G303" t="inlineStr">
        <is>
          <t>HÖGSBY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46198</v>
      </c>
      <c r="E304" s="1" t="n">
        <v>46317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28691-2026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46198</v>
      </c>
      <c r="E305" s="1" t="n">
        <v>46317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28697-2026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46198</v>
      </c>
      <c r="E306" s="1" t="n">
        <v>46317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46202</v>
      </c>
      <c r="E307" s="1" t="n">
        <v>46317</v>
      </c>
      <c r="F307" t="inlineStr">
        <is>
          <t>KALMAR LÄN</t>
        </is>
      </c>
      <c r="G307" t="inlineStr">
        <is>
          <t>HÖGSBY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49486-2022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46317</v>
      </c>
      <c r="F308" t="inlineStr">
        <is>
          <t>KALMAR LÄN</t>
        </is>
      </c>
      <c r="G308" t="inlineStr">
        <is>
          <t>HÖGSBY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45093</v>
      </c>
      <c r="E309" s="1" t="n">
        <v>46317</v>
      </c>
      <c r="F309" t="inlineStr">
        <is>
          <t>KALMAR LÄN</t>
        </is>
      </c>
      <c r="G309" t="inlineStr">
        <is>
          <t>HÖGSBY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71635-2021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44543</v>
      </c>
      <c r="E310" s="1" t="n">
        <v>46317</v>
      </c>
      <c r="F310" t="inlineStr">
        <is>
          <t>KALMAR LÄN</t>
        </is>
      </c>
      <c r="G310" t="inlineStr">
        <is>
          <t>HÖGSBY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8613-2022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44613</v>
      </c>
      <c r="E311" s="1" t="n">
        <v>46317</v>
      </c>
      <c r="F311" t="inlineStr">
        <is>
          <t>KALMAR LÄN</t>
        </is>
      </c>
      <c r="G311" t="inlineStr">
        <is>
          <t>HÖGSBY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46317</v>
      </c>
      <c r="F312" t="inlineStr">
        <is>
          <t>KALMAR LÄN</t>
        </is>
      </c>
      <c r="G312" t="inlineStr">
        <is>
          <t>HÖGSBY</t>
        </is>
      </c>
      <c r="H312" t="inlineStr">
        <is>
          <t>Övriga Aktiebolag</t>
        </is>
      </c>
      <c r="I312" t="n">
        <v>15.2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46206</v>
      </c>
      <c r="E313" s="1" t="n">
        <v>46317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12.7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44601</v>
      </c>
      <c r="E314" s="1" t="n">
        <v>46317</v>
      </c>
      <c r="F314" t="inlineStr">
        <is>
          <t>KALMAR LÄN</t>
        </is>
      </c>
      <c r="G314" t="inlineStr">
        <is>
          <t>HÖGSBY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30180-2026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46317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46317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46206</v>
      </c>
      <c r="E317" s="1" t="n">
        <v>46317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46317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45447</v>
      </c>
      <c r="E319" s="1" t="n">
        <v>46317</v>
      </c>
      <c r="F319" t="inlineStr">
        <is>
          <t>KALMAR LÄN</t>
        </is>
      </c>
      <c r="G319" t="inlineStr">
        <is>
          <t>HÖGSBY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46317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45015</v>
      </c>
      <c r="E321" s="1" t="n">
        <v>46317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58753-2022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44903</v>
      </c>
      <c r="E322" s="1" t="n">
        <v>46317</v>
      </c>
      <c r="F322" t="inlineStr">
        <is>
          <t>KALMAR LÄN</t>
        </is>
      </c>
      <c r="G322" t="inlineStr">
        <is>
          <t>HÖGSBY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46317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50727-2023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45217</v>
      </c>
      <c r="E324" s="1" t="n">
        <v>46317</v>
      </c>
      <c r="F324" t="inlineStr">
        <is>
          <t>KALMAR LÄN</t>
        </is>
      </c>
      <c r="G324" t="inlineStr">
        <is>
          <t>HÖGSBY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45222</v>
      </c>
      <c r="E325" s="1" t="n">
        <v>46317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44725</v>
      </c>
      <c r="E326" s="1" t="n">
        <v>46317</v>
      </c>
      <c r="F326" t="inlineStr">
        <is>
          <t>KALMAR LÄN</t>
        </is>
      </c>
      <c r="G326" t="inlineStr">
        <is>
          <t>HÖGSBY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37335-2026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46275</v>
      </c>
      <c r="E327" s="1" t="n">
        <v>46317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11.2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46275</v>
      </c>
      <c r="E328" s="1" t="n">
        <v>46317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9427-2023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44981</v>
      </c>
      <c r="E329" s="1" t="n">
        <v>46317</v>
      </c>
      <c r="F329" t="inlineStr">
        <is>
          <t>KALMAR LÄN</t>
        </is>
      </c>
      <c r="G329" t="inlineStr">
        <is>
          <t>HÖGSBY</t>
        </is>
      </c>
      <c r="H329" t="inlineStr">
        <is>
          <t>Övriga Aktiebolag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45183</v>
      </c>
      <c r="E330" s="1" t="n">
        <v>46317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32228-2026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46237</v>
      </c>
      <c r="E331" s="1" t="n">
        <v>46317</v>
      </c>
      <c r="F331" t="inlineStr">
        <is>
          <t>KALMAR LÄN</t>
        </is>
      </c>
      <c r="G331" t="inlineStr">
        <is>
          <t>HÖGSBY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44950</v>
      </c>
      <c r="E332" s="1" t="n">
        <v>46317</v>
      </c>
      <c r="F332" t="inlineStr">
        <is>
          <t>KALMAR LÄN</t>
        </is>
      </c>
      <c r="G332" t="inlineStr">
        <is>
          <t>HÖGSBY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44436-2023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46317</v>
      </c>
      <c r="F333" t="inlineStr">
        <is>
          <t>KALMAR LÄN</t>
        </is>
      </c>
      <c r="G333" t="inlineStr">
        <is>
          <t>HÖGSBY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46281</v>
      </c>
      <c r="E334" s="1" t="n">
        <v>46317</v>
      </c>
      <c r="F334" t="inlineStr">
        <is>
          <t>KALMAR LÄN</t>
        </is>
      </c>
      <c r="G334" t="inlineStr">
        <is>
          <t>HÖGSBY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46317</v>
      </c>
      <c r="F335" t="inlineStr">
        <is>
          <t>KALMAR LÄN</t>
        </is>
      </c>
      <c r="G335" t="inlineStr">
        <is>
          <t>HÖGSBY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14394-2023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46317</v>
      </c>
      <c r="F336" t="inlineStr">
        <is>
          <t>KALMAR LÄN</t>
        </is>
      </c>
      <c r="G336" t="inlineStr">
        <is>
          <t>HÖGSBY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45126</v>
      </c>
      <c r="E337" s="1" t="n">
        <v>46317</v>
      </c>
      <c r="F337" t="inlineStr">
        <is>
          <t>KALMAR LÄN</t>
        </is>
      </c>
      <c r="G337" t="inlineStr">
        <is>
          <t>HÖGSBY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46287</v>
      </c>
      <c r="E338" s="1" t="n">
        <v>46317</v>
      </c>
      <c r="F338" t="inlineStr">
        <is>
          <t>KALMAR LÄN</t>
        </is>
      </c>
      <c r="G338" t="inlineStr">
        <is>
          <t>HÖGSBY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44981</v>
      </c>
      <c r="E339" s="1" t="n">
        <v>46317</v>
      </c>
      <c r="F339" t="inlineStr">
        <is>
          <t>KALMAR LÄN</t>
        </is>
      </c>
      <c r="G339" t="inlineStr">
        <is>
          <t>HÖGSBY</t>
        </is>
      </c>
      <c r="H339" t="inlineStr">
        <is>
          <t>Övriga Aktiebolag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46317</v>
      </c>
      <c r="F340" t="inlineStr">
        <is>
          <t>KALMAR LÄN</t>
        </is>
      </c>
      <c r="G340" t="inlineStr">
        <is>
          <t>HÖGSBY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45692</v>
      </c>
      <c r="E341" s="1" t="n">
        <v>46317</v>
      </c>
      <c r="F341" t="inlineStr">
        <is>
          <t>KALMAR LÄN</t>
        </is>
      </c>
      <c r="G341" t="inlineStr">
        <is>
          <t>HÖGSBY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46317</v>
      </c>
      <c r="F342" t="inlineStr">
        <is>
          <t>KALMAR LÄN</t>
        </is>
      </c>
      <c r="G342" t="inlineStr">
        <is>
          <t>HÖGSBY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45337</v>
      </c>
      <c r="E343" s="1" t="n">
        <v>46317</v>
      </c>
      <c r="F343" t="inlineStr">
        <is>
          <t>KALMAR LÄN</t>
        </is>
      </c>
      <c r="G343" t="inlineStr">
        <is>
          <t>HÖGSBY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45001</v>
      </c>
      <c r="E344" s="1" t="n">
        <v>46317</v>
      </c>
      <c r="F344" t="inlineStr">
        <is>
          <t>KALMAR LÄN</t>
        </is>
      </c>
      <c r="G344" t="inlineStr">
        <is>
          <t>HÖGSBY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64130-2023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45279</v>
      </c>
      <c r="E345" s="1" t="n">
        <v>46317</v>
      </c>
      <c r="F345" t="inlineStr">
        <is>
          <t>KALMAR LÄN</t>
        </is>
      </c>
      <c r="G345" t="inlineStr">
        <is>
          <t>HÖGSBY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36573-2023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45153</v>
      </c>
      <c r="E346" s="1" t="n">
        <v>46317</v>
      </c>
      <c r="F346" t="inlineStr">
        <is>
          <t>KALMAR LÄN</t>
        </is>
      </c>
      <c r="G346" t="inlineStr">
        <is>
          <t>HÖGSBY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10412-2022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44623</v>
      </c>
      <c r="E347" s="1" t="n">
        <v>46317</v>
      </c>
      <c r="F347" t="inlineStr">
        <is>
          <t>KALMAR LÄN</t>
        </is>
      </c>
      <c r="G347" t="inlineStr">
        <is>
          <t>HÖGSBY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53328-2022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44879</v>
      </c>
      <c r="E348" s="1" t="n">
        <v>46317</v>
      </c>
      <c r="F348" t="inlineStr">
        <is>
          <t>KALMAR LÄN</t>
        </is>
      </c>
      <c r="G348" t="inlineStr">
        <is>
          <t>HÖGSBY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46317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44907</v>
      </c>
      <c r="E350" s="1" t="n">
        <v>46317</v>
      </c>
      <c r="F350" t="inlineStr">
        <is>
          <t>KALMAR LÄN</t>
        </is>
      </c>
      <c r="G350" t="inlineStr">
        <is>
          <t>HÖGSBY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47502-2023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45203</v>
      </c>
      <c r="E351" s="1" t="n">
        <v>46317</v>
      </c>
      <c r="F351" t="inlineStr">
        <is>
          <t>KALMAR LÄN</t>
        </is>
      </c>
      <c r="G351" t="inlineStr">
        <is>
          <t>HÖGSBY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47571-2023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45203</v>
      </c>
      <c r="E352" s="1" t="n">
        <v>46317</v>
      </c>
      <c r="F352" t="inlineStr">
        <is>
          <t>KALMAR LÄN</t>
        </is>
      </c>
      <c r="G352" t="inlineStr">
        <is>
          <t>HÖGSBY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7438-2023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46317</v>
      </c>
      <c r="F353" t="inlineStr">
        <is>
          <t>KALMAR LÄN</t>
        </is>
      </c>
      <c r="G353" t="inlineStr">
        <is>
          <t>HÖGSBY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33788-2026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46251</v>
      </c>
      <c r="E354" s="1" t="n">
        <v>46317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45622</v>
      </c>
      <c r="E355" s="1" t="n">
        <v>46317</v>
      </c>
      <c r="F355" t="inlineStr">
        <is>
          <t>KALMAR LÄN</t>
        </is>
      </c>
      <c r="G355" t="inlineStr">
        <is>
          <t>HÖGSBY</t>
        </is>
      </c>
      <c r="I355" t="n">
        <v>8.9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46317</v>
      </c>
      <c r="F356" t="inlineStr">
        <is>
          <t>KALMAR LÄN</t>
        </is>
      </c>
      <c r="G356" t="inlineStr">
        <is>
          <t>HÖGSBY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25352-2026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46176</v>
      </c>
      <c r="E357" s="1" t="n">
        <v>46317</v>
      </c>
      <c r="F357" t="inlineStr">
        <is>
          <t>KALMAR LÄN</t>
        </is>
      </c>
      <c r="G357" t="inlineStr">
        <is>
          <t>HÖGSBY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46297</v>
      </c>
      <c r="E358" s="1" t="n">
        <v>46317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34078-2024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45523</v>
      </c>
      <c r="E359" s="1" t="n">
        <v>46317</v>
      </c>
      <c r="F359" t="inlineStr">
        <is>
          <t>KALMAR LÄN</t>
        </is>
      </c>
      <c r="G359" t="inlineStr">
        <is>
          <t>HÖGSBY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45782</v>
      </c>
      <c r="E360" s="1" t="n">
        <v>46317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41021-2026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46297</v>
      </c>
      <c r="E361" s="1" t="n">
        <v>46317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41018-2026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46297</v>
      </c>
      <c r="E362" s="1" t="n">
        <v>46317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46293</v>
      </c>
      <c r="E363" s="1" t="n">
        <v>46317</v>
      </c>
      <c r="F363" t="inlineStr">
        <is>
          <t>KALMAR LÄN</t>
        </is>
      </c>
      <c r="G363" t="inlineStr">
        <is>
          <t>HÖGSBY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46317</v>
      </c>
      <c r="F364" t="inlineStr">
        <is>
          <t>KALMAR LÄN</t>
        </is>
      </c>
      <c r="G364" t="inlineStr">
        <is>
          <t>HÖGSBY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46317</v>
      </c>
      <c r="F365" t="inlineStr">
        <is>
          <t>KALMAR LÄN</t>
        </is>
      </c>
      <c r="G365" t="inlineStr">
        <is>
          <t>HÖGSBY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28160-2026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46195</v>
      </c>
      <c r="E366" s="1" t="n">
        <v>46317</v>
      </c>
      <c r="F366" t="inlineStr">
        <is>
          <t>KALMAR LÄN</t>
        </is>
      </c>
      <c r="G366" t="inlineStr">
        <is>
          <t>HÖGSBY</t>
        </is>
      </c>
      <c r="H366" t="inlineStr">
        <is>
          <t>Kommuner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46317</v>
      </c>
      <c r="F367" t="inlineStr">
        <is>
          <t>KALMAR LÄN</t>
        </is>
      </c>
      <c r="G367" t="inlineStr">
        <is>
          <t>HÖGSBY</t>
        </is>
      </c>
      <c r="H367" t="inlineStr">
        <is>
          <t>Kommuner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46317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46317</v>
      </c>
      <c r="F369" t="inlineStr">
        <is>
          <t>KALMAR LÄN</t>
        </is>
      </c>
      <c r="G369" t="inlineStr">
        <is>
          <t>HÖGSBY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21801-2026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46317</v>
      </c>
      <c r="F370" t="inlineStr">
        <is>
          <t>KALMAR LÄN</t>
        </is>
      </c>
      <c r="G370" t="inlineStr">
        <is>
          <t>HÖGSBY</t>
        </is>
      </c>
      <c r="H370" t="inlineStr">
        <is>
          <t>Kommuner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25355-2026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46176</v>
      </c>
      <c r="E371" s="1" t="n">
        <v>46317</v>
      </c>
      <c r="F371" t="inlineStr">
        <is>
          <t>KALMAR LÄN</t>
        </is>
      </c>
      <c r="G371" t="inlineStr">
        <is>
          <t>HÖGSBY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46317</v>
      </c>
      <c r="F372" t="inlineStr">
        <is>
          <t>KALMAR LÄN</t>
        </is>
      </c>
      <c r="G372" t="inlineStr">
        <is>
          <t>HÖGSBY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41118-2026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46300</v>
      </c>
      <c r="E373" s="1" t="n">
        <v>46317</v>
      </c>
      <c r="F373" t="inlineStr">
        <is>
          <t>KALMAR LÄN</t>
        </is>
      </c>
      <c r="G373" t="inlineStr">
        <is>
          <t>HÖGSBY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46309</v>
      </c>
      <c r="E374" s="1" t="n">
        <v>46317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46268</v>
      </c>
      <c r="E375" s="1" t="n">
        <v>46317</v>
      </c>
      <c r="F375" t="inlineStr">
        <is>
          <t>KALMAR LÄN</t>
        </is>
      </c>
      <c r="G375" t="inlineStr">
        <is>
          <t>HÖGSBY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46309</v>
      </c>
      <c r="E376" s="1" t="n">
        <v>46317</v>
      </c>
      <c r="F376" t="inlineStr">
        <is>
          <t>KALMAR LÄN</t>
        </is>
      </c>
      <c r="G376" t="inlineStr">
        <is>
          <t>HÖGSBY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46317</v>
      </c>
      <c r="F377" t="inlineStr">
        <is>
          <t>KALMAR LÄN</t>
        </is>
      </c>
      <c r="G377" t="inlineStr">
        <is>
          <t>HÖGSBY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46309</v>
      </c>
      <c r="E378" s="1" t="n">
        <v>46317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46309</v>
      </c>
      <c r="E379" s="1" t="n">
        <v>46317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42708-2026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46309</v>
      </c>
      <c r="E380" s="1" t="n">
        <v>46317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46317</v>
      </c>
      <c r="F381" t="inlineStr">
        <is>
          <t>KALMAR LÄN</t>
        </is>
      </c>
      <c r="G381" t="inlineStr">
        <is>
          <t>HÖGSBY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46317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46266</v>
      </c>
      <c r="E383" s="1" t="n">
        <v>46317</v>
      </c>
      <c r="F383" t="inlineStr">
        <is>
          <t>KALMAR LÄN</t>
        </is>
      </c>
      <c r="G383" t="inlineStr">
        <is>
          <t>HÖGSBY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46267</v>
      </c>
      <c r="E384" s="1" t="n">
        <v>46317</v>
      </c>
      <c r="F384" t="inlineStr">
        <is>
          <t>KALMAR LÄN</t>
        </is>
      </c>
      <c r="G384" t="inlineStr">
        <is>
          <t>HÖGSBY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46310</v>
      </c>
      <c r="E385" s="1" t="n">
        <v>46317</v>
      </c>
      <c r="F385" t="inlineStr">
        <is>
          <t>KALMAR LÄN</t>
        </is>
      </c>
      <c r="G385" t="inlineStr">
        <is>
          <t>HÖGSBY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46310</v>
      </c>
      <c r="E386" s="1" t="n">
        <v>46317</v>
      </c>
      <c r="F386" t="inlineStr">
        <is>
          <t>KALMAR LÄN</t>
        </is>
      </c>
      <c r="G386" t="inlineStr">
        <is>
          <t>HÖGSBY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46317</v>
      </c>
      <c r="F387" t="inlineStr">
        <is>
          <t>KALMAR LÄN</t>
        </is>
      </c>
      <c r="G387" t="inlineStr">
        <is>
          <t>HÖGSBY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46311</v>
      </c>
      <c r="E388" s="1" t="n">
        <v>46317</v>
      </c>
      <c r="F388" t="inlineStr">
        <is>
          <t>KALMAR LÄN</t>
        </is>
      </c>
      <c r="G388" t="inlineStr">
        <is>
          <t>HÖGSBY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46311</v>
      </c>
      <c r="E389" s="1" t="n">
        <v>46317</v>
      </c>
      <c r="F389" t="inlineStr">
        <is>
          <t>KALMAR LÄN</t>
        </is>
      </c>
      <c r="G389" t="inlineStr">
        <is>
          <t>HÖGSBY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46269</v>
      </c>
      <c r="E390" s="1" t="n">
        <v>46317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43092-2026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46311</v>
      </c>
      <c r="E391" s="1" t="n">
        <v>46317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46269</v>
      </c>
      <c r="E392" s="1" t="n">
        <v>46317</v>
      </c>
      <c r="F392" t="inlineStr">
        <is>
          <t>KALMAR LÄN</t>
        </is>
      </c>
      <c r="G392" t="inlineStr">
        <is>
          <t>HÖGSBY</t>
        </is>
      </c>
      <c r="H392" t="inlineStr">
        <is>
          <t>Sveaskog</t>
        </is>
      </c>
      <c r="I392" t="n">
        <v>24.4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43036-2026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46311</v>
      </c>
      <c r="E393" s="1" t="n">
        <v>46317</v>
      </c>
      <c r="F393" t="inlineStr">
        <is>
          <t>KALMAR LÄN</t>
        </is>
      </c>
      <c r="G393" t="inlineStr">
        <is>
          <t>HÖGSBY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46274</v>
      </c>
      <c r="E394" s="1" t="n">
        <v>46317</v>
      </c>
      <c r="F394" t="inlineStr">
        <is>
          <t>KALMAR LÄN</t>
        </is>
      </c>
      <c r="G394" t="inlineStr">
        <is>
          <t>HÖGSBY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46274</v>
      </c>
      <c r="E395" s="1" t="n">
        <v>46317</v>
      </c>
      <c r="F395" t="inlineStr">
        <is>
          <t>KALMAR LÄN</t>
        </is>
      </c>
      <c r="G395" t="inlineStr">
        <is>
          <t>HÖGSBY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566-2022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46317</v>
      </c>
      <c r="F396" t="inlineStr">
        <is>
          <t>KALMAR LÄN</t>
        </is>
      </c>
      <c r="G396" t="inlineStr">
        <is>
          <t>HÖGSBY</t>
        </is>
      </c>
      <c r="I396" t="n">
        <v>15.1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561-2022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44592</v>
      </c>
      <c r="E397" s="1" t="n">
        <v>46317</v>
      </c>
      <c r="F397" t="inlineStr">
        <is>
          <t>KALMAR LÄN</t>
        </is>
      </c>
      <c r="G397" t="inlineStr">
        <is>
          <t>HÖGSBY</t>
        </is>
      </c>
      <c r="I397" t="n">
        <v>30.3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513-2023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46317</v>
      </c>
      <c r="F398" t="inlineStr">
        <is>
          <t>KALMAR LÄN</t>
        </is>
      </c>
      <c r="G398" t="inlineStr">
        <is>
          <t>HÖGSBY</t>
        </is>
      </c>
      <c r="I398" t="n">
        <v>12.4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4463-2022</t>
        </is>
      </c>
      <c r="B399" t="inlineStr">
        <is>
          <t>samrådsanmälan</t>
        </is>
      </c>
      <c r="C399" t="inlineStr">
        <is>
          <t>Åtgärd i nyckelbiotop</t>
        </is>
      </c>
      <c r="D399" s="1" t="n">
        <v>44788</v>
      </c>
      <c r="E399" s="1" t="n">
        <v>46317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3208-2024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45524</v>
      </c>
      <c r="E400" s="1" t="n">
        <v>46317</v>
      </c>
      <c r="F400" t="inlineStr">
        <is>
          <t>KALMAR LÄN</t>
        </is>
      </c>
      <c r="G400" t="inlineStr">
        <is>
          <t>HÖGSBY</t>
        </is>
      </c>
      <c r="I400" t="n">
        <v>23.3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7006-2022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44903</v>
      </c>
      <c r="E401" s="1" t="n">
        <v>46317</v>
      </c>
      <c r="F401" t="inlineStr">
        <is>
          <t>KALMAR LÄN</t>
        </is>
      </c>
      <c r="G401" t="inlineStr">
        <is>
          <t>HÖGSBY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514-2023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44966</v>
      </c>
      <c r="E402" s="1" t="n">
        <v>46317</v>
      </c>
      <c r="F402" t="inlineStr">
        <is>
          <t>KALMAR LÄN</t>
        </is>
      </c>
      <c r="G402" t="inlineStr">
        <is>
          <t>HÖGSBY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512-2023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44966</v>
      </c>
      <c r="E403" s="1" t="n">
        <v>46317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2564-2023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45140</v>
      </c>
      <c r="E404" s="1" t="n">
        <v>46317</v>
      </c>
      <c r="F404" t="inlineStr">
        <is>
          <t>KALMAR LÄN</t>
        </is>
      </c>
      <c r="G404" t="inlineStr">
        <is>
          <t>HÖGSBY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2563-2023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45140</v>
      </c>
      <c r="E405" s="1" t="n">
        <v>46317</v>
      </c>
      <c r="F405" t="inlineStr">
        <is>
          <t>KALMAR LÄN</t>
        </is>
      </c>
      <c r="G405" t="inlineStr">
        <is>
          <t>HÖGSBY</t>
        </is>
      </c>
      <c r="I405" t="n">
        <v>28.7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5035-2024</t>
        </is>
      </c>
      <c r="B406" t="inlineStr">
        <is>
          <t>samrådsanmälan</t>
        </is>
      </c>
      <c r="C406" t="inlineStr">
        <is>
          <t>Stubbskörd</t>
        </is>
      </c>
      <c r="D406" s="1" t="n">
        <v>45636</v>
      </c>
      <c r="E406" s="1" t="n">
        <v>46317</v>
      </c>
      <c r="F406" t="inlineStr">
        <is>
          <t>KALMAR LÄN</t>
        </is>
      </c>
      <c r="G406" t="inlineStr">
        <is>
          <t>HÖGSBY</t>
        </is>
      </c>
      <c r="I406" t="n">
        <v>14.2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2021-2025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45835</v>
      </c>
      <c r="E407" s="1" t="n">
        <v>46317</v>
      </c>
      <c r="F407" t="inlineStr">
        <is>
          <t>KALMAR LÄN</t>
        </is>
      </c>
      <c r="G407" t="inlineStr">
        <is>
          <t>HÖGSBY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379-2023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44958</v>
      </c>
      <c r="E408" s="1" t="n">
        <v>46317</v>
      </c>
      <c r="F408" t="inlineStr">
        <is>
          <t>KALMAR LÄN</t>
        </is>
      </c>
      <c r="G408" t="inlineStr">
        <is>
          <t>HÖGSBY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351-2023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46317</v>
      </c>
      <c r="F409" t="inlineStr">
        <is>
          <t>KALMAR LÄN</t>
        </is>
      </c>
      <c r="G409" t="inlineStr">
        <is>
          <t>HÖGSBY</t>
        </is>
      </c>
      <c r="I409" t="n">
        <v>21.3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2809-2025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45938</v>
      </c>
      <c r="E410" s="1" t="n">
        <v>46317</v>
      </c>
      <c r="F410" t="inlineStr">
        <is>
          <t>KALMAR LÄN</t>
        </is>
      </c>
      <c r="G410" t="inlineStr">
        <is>
          <t>HÖGSBY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1031-2026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46125</v>
      </c>
      <c r="E411" s="1" t="n">
        <v>46317</v>
      </c>
      <c r="F411" t="inlineStr">
        <is>
          <t>KALMAR LÄN</t>
        </is>
      </c>
      <c r="G411" t="inlineStr">
        <is>
          <t>HÖGSBY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1417-2026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46155</v>
      </c>
      <c r="E412" s="1" t="n">
        <v>46317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46317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1846-2026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46198</v>
      </c>
      <c r="E414" s="1" t="n">
        <v>46317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46199</v>
      </c>
      <c r="E415" s="1" t="n">
        <v>46317</v>
      </c>
      <c r="F415" t="inlineStr">
        <is>
          <t>KALMAR LÄN</t>
        </is>
      </c>
      <c r="G415" t="inlineStr">
        <is>
          <t>HÖGSBY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1848-2026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46198</v>
      </c>
      <c r="E416" s="1" t="n">
        <v>46317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1847-2026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46317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1938-2026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46203</v>
      </c>
      <c r="E418" s="1" t="n">
        <v>46317</v>
      </c>
      <c r="F418" t="inlineStr">
        <is>
          <t>KALMAR LÄN</t>
        </is>
      </c>
      <c r="G418" t="inlineStr">
        <is>
          <t>HÖGSBY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2165-2026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46251</v>
      </c>
      <c r="E419" s="1" t="n">
        <v>46317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2589-2026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46297</v>
      </c>
      <c r="E420" s="1" t="n">
        <v>46317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2026-10-22T01:56:16Z</dcterms:created>
  <dcterms:modified xmlns:dcterms="http://purl.org/dc/terms/" xmlns:xsi="http://www.w3.org/2001/XMLSchema-instance" xsi:type="dcterms:W3CDTF">2026-10-22T01:56:16Z</dcterms:modified>
</cp:coreProperties>
</file>