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46266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46266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46266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46266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50746-2022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44867</v>
      </c>
      <c r="E7" s="1" t="n">
        <v>46266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5.4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13</v>
      </c>
      <c r="U7" t="n">
        <v>13</v>
      </c>
      <c r="V7" s="2" t="inlineStr">
        <is>
          <t>Mindre hackspett
Sädesärla
Talltita
Blåsippa
Skogsduva
Svartvit flugsnappare
Ärtsångare</t>
        </is>
      </c>
      <c r="W7">
        <f>HYPERLINK("https://klasma.github.io/Logging_0821/artfynd/A 50746-2022 artfynd.xlsx", "A 50746-2022")</f>
        <v/>
      </c>
      <c r="X7">
        <f>HYPERLINK("https://klasma.github.io/Logging_0821/kartor/A 50746-2022 karta.png", "A 50746-2022")</f>
        <v/>
      </c>
      <c r="Y7">
        <f>HYPERLINK("https://klasma.github.io/Logging_0821/kartor_geotiff/A 50746-2022 georefererad karta.tif", "A 50746-2022")</f>
        <v/>
      </c>
      <c r="AA7">
        <f>HYPERLINK("https://klasma.github.io/Logging_0821/klagomål/A 50746-2022 FSC-klagomål.docx", "A 50746-2022")</f>
        <v/>
      </c>
      <c r="AB7">
        <f>HYPERLINK("https://klasma.github.io/Logging_0821/klagomålsmail/A 50746-2022 FSC-klagomål mail.docx", "A 50746-2022")</f>
        <v/>
      </c>
      <c r="AC7">
        <f>HYPERLINK("https://klasma.github.io/Logging_0821/tillsyn/A 50746-2022 tillsynsbegäran.docx", "A 50746-2022")</f>
        <v/>
      </c>
      <c r="AD7">
        <f>HYPERLINK("https://klasma.github.io/Logging_0821/tillsynsmail/A 50746-2022 tillsynsbegäran mail.docx", "A 50746-2022")</f>
        <v/>
      </c>
      <c r="AE7">
        <f>HYPERLINK("https://klasma.github.io/Logging_0821/fåglar/A 50746-2022 prioriterade fågelarter.docx", "A 50746-2022")</f>
        <v/>
      </c>
    </row>
    <row r="8" ht="15" customHeight="1">
      <c r="A8" t="inlineStr">
        <is>
          <t>S 2201-2022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44679</v>
      </c>
      <c r="E8" s="1" t="n">
        <v>46266</v>
      </c>
      <c r="F8" t="inlineStr">
        <is>
          <t>KALMAR LÄN</t>
        </is>
      </c>
      <c r="G8" t="inlineStr">
        <is>
          <t>HÖGSBY</t>
        </is>
      </c>
      <c r="I8" t="n">
        <v>0.7</v>
      </c>
      <c r="J8" t="n">
        <v>0</v>
      </c>
      <c r="K8" t="n">
        <v>0</v>
      </c>
      <c r="L8" t="n">
        <v>5</v>
      </c>
      <c r="M8" t="n">
        <v>0</v>
      </c>
      <c r="N8" t="n">
        <v>2</v>
      </c>
      <c r="O8" t="n">
        <v>0</v>
      </c>
      <c r="P8" t="n">
        <v>0</v>
      </c>
      <c r="Q8" t="n">
        <v>7</v>
      </c>
      <c r="R8" t="n">
        <v>2</v>
      </c>
      <c r="S8" t="n">
        <v>7</v>
      </c>
      <c r="T8" t="n">
        <v>21</v>
      </c>
      <c r="U8" t="n">
        <v>0</v>
      </c>
      <c r="V8" s="2" t="inlineStr">
        <is>
          <t>Koppartaggsvamp
Raggtaggsvamp
Fjällig taggsvamp s.str.
Luddfingersvamp
Orange taggsvamp
Skarp dropptaggsvamp
Tjockfotad fingersvamp</t>
        </is>
      </c>
      <c r="W8">
        <f>HYPERLINK("https://klasma.github.io/Logging_0821/artfynd/S 2201-2022 artfynd.xlsx", "S 2201-2022")</f>
        <v/>
      </c>
      <c r="X8">
        <f>HYPERLINK("https://klasma.github.io/Logging_0821/kartor/S 2201-2022 karta.png", "S 2201-2022")</f>
        <v/>
      </c>
      <c r="Y8">
        <f>HYPERLINK("https://klasma.github.io/Logging_0821/kartor_geotiff/S 2201-2022 georefererad karta.tif", "S 2201-2022")</f>
        <v/>
      </c>
      <c r="AA8">
        <f>HYPERLINK("https://klasma.github.io/Logging_0821/klagomål/S 2201-2022 FSC-klagomål.docx", "S 2201-2022")</f>
        <v/>
      </c>
      <c r="AB8">
        <f>HYPERLINK("https://klasma.github.io/Logging_0821/klagomålsmail/S 2201-2022 FSC-klagomål mail.docx", "S 2201-2022")</f>
        <v/>
      </c>
      <c r="AC8">
        <f>HYPERLINK("https://klasma.github.io/Logging_0821/tillsyn/S 2201-2022 tillsynsbegäran.docx", "S 2201-2022")</f>
        <v/>
      </c>
      <c r="AD8">
        <f>HYPERLINK("https://klasma.github.io/Logging_0821/tillsynsmail/S 2201-2022 tillsynsbegäran mail.docx", "S 2201-2022")</f>
        <v/>
      </c>
    </row>
    <row r="9" ht="15" customHeight="1">
      <c r="A9" t="inlineStr">
        <is>
          <t>S 5036-2024</t>
        </is>
      </c>
      <c r="B9" t="inlineStr">
        <is>
          <t>samrådsanmälan</t>
        </is>
      </c>
      <c r="C9" t="inlineStr">
        <is>
          <t>Stubbskörd</t>
        </is>
      </c>
      <c r="D9" s="1" t="n">
        <v>45636</v>
      </c>
      <c r="E9" s="1" t="n">
        <v>46266</v>
      </c>
      <c r="F9" t="inlineStr">
        <is>
          <t>KALMAR LÄN</t>
        </is>
      </c>
      <c r="G9" t="inlineStr">
        <is>
          <t>HÖGSBY</t>
        </is>
      </c>
      <c r="H9" t="inlineStr">
        <is>
          <t>Övriga Aktiebolag</t>
        </is>
      </c>
      <c r="I9" t="n">
        <v>13.4</v>
      </c>
      <c r="J9" t="n">
        <v>5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27</v>
      </c>
      <c r="U9" t="n">
        <v>0</v>
      </c>
      <c r="V9" s="2" t="inlineStr">
        <is>
          <t>Knärot
Slåtterfibbla
Tallticka
Ekoxe
Blåsippa
Spillkråka
Gullviva</t>
        </is>
      </c>
      <c r="W9">
        <f>HYPERLINK("https://klasma.github.io/Logging_0821/artfynd/S 5036-2024 artfynd.xlsx", "S 5036-2024")</f>
        <v/>
      </c>
      <c r="X9">
        <f>HYPERLINK("https://klasma.github.io/Logging_0821/kartor/S 5036-2024 karta.png", "S 5036-2024")</f>
        <v/>
      </c>
      <c r="Y9">
        <f>HYPERLINK("https://klasma.github.io/Logging_0821/kartor_geotiff/S 5036-2024 georefererad karta.tif", "S 5036-2024")</f>
        <v/>
      </c>
      <c r="Z9">
        <f>HYPERLINK("https://klasma.github.io/Logging_0821/knärot/S 5036-2024 karta knärot.png", "S 5036-2024")</f>
        <v/>
      </c>
      <c r="AA9">
        <f>HYPERLINK("https://klasma.github.io/Logging_0821/klagomål/S 5036-2024 FSC-klagomål.docx", "S 5036-2024")</f>
        <v/>
      </c>
      <c r="AB9">
        <f>HYPERLINK("https://klasma.github.io/Logging_0821/klagomålsmail/S 5036-2024 FSC-klagomål mail.docx", "S 5036-2024")</f>
        <v/>
      </c>
      <c r="AC9">
        <f>HYPERLINK("https://klasma.github.io/Logging_0821/tillsyn/S 5036-2024 tillsynsbegäran.docx", "S 5036-2024")</f>
        <v/>
      </c>
      <c r="AD9">
        <f>HYPERLINK("https://klasma.github.io/Logging_0821/tillsynsmail/S 5036-2024 tillsynsbegäran mail.docx", "S 5036-2024")</f>
        <v/>
      </c>
      <c r="AE9">
        <f>HYPERLINK("https://klasma.github.io/Logging_0821/fåglar/S 5036-2024 prioriterade fågelarter.docx", "S 5036-2024")</f>
        <v/>
      </c>
    </row>
    <row r="10" ht="15" customHeight="1">
      <c r="A10" t="inlineStr">
        <is>
          <t>A 50623-2022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44866</v>
      </c>
      <c r="E10" s="1" t="n">
        <v>46266</v>
      </c>
      <c r="F10" t="inlineStr">
        <is>
          <t>KALMAR LÄN</t>
        </is>
      </c>
      <c r="G10" t="inlineStr">
        <is>
          <t>HÖGSBY</t>
        </is>
      </c>
      <c r="H10" t="inlineStr">
        <is>
          <t>Sveaskog</t>
        </is>
      </c>
      <c r="I10" t="n">
        <v>2.9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Mindre hackspett
Sädesärla
Skogsduva
Svartvit flugsnappare
Ärtsångare</t>
        </is>
      </c>
      <c r="W10">
        <f>HYPERLINK("https://klasma.github.io/Logging_0821/artfynd/A 50623-2022 artfynd.xlsx", "A 50623-2022")</f>
        <v/>
      </c>
      <c r="X10">
        <f>HYPERLINK("https://klasma.github.io/Logging_0821/kartor/A 50623-2022 karta.png", "A 50623-2022")</f>
        <v/>
      </c>
      <c r="Y10">
        <f>HYPERLINK("https://klasma.github.io/Logging_0821/kartor_geotiff/A 50623-2022 georefererad karta.tif", "A 50623-2022")</f>
        <v/>
      </c>
      <c r="AA10">
        <f>HYPERLINK("https://klasma.github.io/Logging_0821/klagomål/A 50623-2022 FSC-klagomål.docx", "A 50623-2022")</f>
        <v/>
      </c>
      <c r="AB10">
        <f>HYPERLINK("https://klasma.github.io/Logging_0821/klagomålsmail/A 50623-2022 FSC-klagomål mail.docx", "A 50623-2022")</f>
        <v/>
      </c>
      <c r="AC10">
        <f>HYPERLINK("https://klasma.github.io/Logging_0821/tillsyn/A 50623-2022 tillsynsbegäran.docx", "A 50623-2022")</f>
        <v/>
      </c>
      <c r="AD10">
        <f>HYPERLINK("https://klasma.github.io/Logging_0821/tillsynsmail/A 50623-2022 tillsynsbegäran mail.docx", "A 50623-2022")</f>
        <v/>
      </c>
      <c r="AE10">
        <f>HYPERLINK("https://klasma.github.io/Logging_0821/fåglar/A 50623-2022 prioriterade fågelarter.docx", "A 50623-2022")</f>
        <v/>
      </c>
    </row>
    <row r="11" ht="15" customHeight="1">
      <c r="A11" t="inlineStr">
        <is>
          <t>A 54942-2022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44886</v>
      </c>
      <c r="E11" s="1" t="n">
        <v>46266</v>
      </c>
      <c r="F11" t="inlineStr">
        <is>
          <t>KALMAR LÄN</t>
        </is>
      </c>
      <c r="G11" t="inlineStr">
        <is>
          <t>HÖGSBY</t>
        </is>
      </c>
      <c r="I11" t="n">
        <v>0.6</v>
      </c>
      <c r="J11" t="n">
        <v>1</v>
      </c>
      <c r="K11" t="n">
        <v>0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5</v>
      </c>
      <c r="T11" t="n">
        <v>6</v>
      </c>
      <c r="U11" t="n">
        <v>0</v>
      </c>
      <c r="V11" s="2" t="inlineStr">
        <is>
          <t>Mindre bastardsvärmare
Slåttergubbe
Jungfrulin
Solvända
Gullviva</t>
        </is>
      </c>
      <c r="W11">
        <f>HYPERLINK("https://klasma.github.io/Logging_0821/artfynd/A 54942-2022 artfynd.xlsx", "A 54942-2022")</f>
        <v/>
      </c>
      <c r="X11">
        <f>HYPERLINK("https://klasma.github.io/Logging_0821/kartor/A 54942-2022 karta.png", "A 54942-2022")</f>
        <v/>
      </c>
      <c r="Y11">
        <f>HYPERLINK("https://klasma.github.io/Logging_0821/kartor_geotiff/A 54942-2022 georefererad karta.tif", "A 54942-2022")</f>
        <v/>
      </c>
      <c r="AA11">
        <f>HYPERLINK("https://klasma.github.io/Logging_0821/klagomål/A 54942-2022 FSC-klagomål.docx", "A 54942-2022")</f>
        <v/>
      </c>
      <c r="AB11">
        <f>HYPERLINK("https://klasma.github.io/Logging_0821/klagomålsmail/A 54942-2022 FSC-klagomål mail.docx", "A 54942-2022")</f>
        <v/>
      </c>
      <c r="AC11">
        <f>HYPERLINK("https://klasma.github.io/Logging_0821/tillsyn/A 54942-2022 tillsynsbegäran.docx", "A 54942-2022")</f>
        <v/>
      </c>
      <c r="AD11">
        <f>HYPERLINK("https://klasma.github.io/Logging_0821/tillsynsmail/A 54942-2022 tillsynsbegäran mail.docx", "A 54942-2022")</f>
        <v/>
      </c>
    </row>
    <row r="12" ht="15" customHeight="1">
      <c r="A12" t="inlineStr">
        <is>
          <t>A 62412-2023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46266</v>
      </c>
      <c r="F12" t="inlineStr">
        <is>
          <t>KALMAR LÄN</t>
        </is>
      </c>
      <c r="G12" t="inlineStr">
        <is>
          <t>HÖGSBY</t>
        </is>
      </c>
      <c r="I12" t="n">
        <v>7.7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Vedtrappmossa
Bronshjon
Flagellkvastmossa
Vågbandad barkbock
Tjäder</t>
        </is>
      </c>
      <c r="W12">
        <f>HYPERLINK("https://klasma.github.io/Logging_0821/artfynd/A 62412-2023 artfynd.xlsx", "A 62412-2023")</f>
        <v/>
      </c>
      <c r="X12">
        <f>HYPERLINK("https://klasma.github.io/Logging_0821/kartor/A 62412-2023 karta.png", "A 62412-2023")</f>
        <v/>
      </c>
      <c r="Y12">
        <f>HYPERLINK("https://klasma.github.io/Logging_0821/kartor_geotiff/A 62412-2023 georefererad karta.tif", "A 62412-2023")</f>
        <v/>
      </c>
      <c r="AA12">
        <f>HYPERLINK("https://klasma.github.io/Logging_0821/klagomål/A 62412-2023 FSC-klagomål.docx", "A 62412-2023")</f>
        <v/>
      </c>
      <c r="AB12">
        <f>HYPERLINK("https://klasma.github.io/Logging_0821/klagomålsmail/A 62412-2023 FSC-klagomål mail.docx", "A 62412-2023")</f>
        <v/>
      </c>
      <c r="AC12">
        <f>HYPERLINK("https://klasma.github.io/Logging_0821/tillsyn/A 62412-2023 tillsynsbegäran.docx", "A 62412-2023")</f>
        <v/>
      </c>
      <c r="AD12">
        <f>HYPERLINK("https://klasma.github.io/Logging_0821/tillsynsmail/A 62412-2023 tillsynsbegäran mail.docx", "A 62412-2023")</f>
        <v/>
      </c>
      <c r="AE12">
        <f>HYPERLINK("https://klasma.github.io/Logging_0821/fåglar/A 62412-2023 prioriterade fågelarter.docx", "A 62412-2023")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46266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S 1426-2025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45783</v>
      </c>
      <c r="E14" s="1" t="n">
        <v>46266</v>
      </c>
      <c r="F14" t="inlineStr">
        <is>
          <t>KALMAR LÄN</t>
        </is>
      </c>
      <c r="G14" t="inlineStr">
        <is>
          <t>HÖGSBY</t>
        </is>
      </c>
      <c r="I14" t="n">
        <v>2.1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17</v>
      </c>
      <c r="U14" t="n">
        <v>0</v>
      </c>
      <c r="V14" s="2" t="inlineStr">
        <is>
          <t>Kopparspindling
Fjällig taggsvamp s.str.
Persiljespindling
Skarp dropptaggsvamp
Tjockfotad fingersvamp</t>
        </is>
      </c>
      <c r="W14">
        <f>HYPERLINK("https://klasma.github.io/Logging_0821/artfynd/S 1426-2025 artfynd.xlsx", "S 1426-2025")</f>
        <v/>
      </c>
      <c r="X14">
        <f>HYPERLINK("https://klasma.github.io/Logging_0821/kartor/S 1426-2025 karta.png", "S 1426-2025")</f>
        <v/>
      </c>
      <c r="Y14">
        <f>HYPERLINK("https://klasma.github.io/Logging_0821/kartor_geotiff/S 1426-2025 georefererad karta.tif", "S 1426-2025")</f>
        <v/>
      </c>
      <c r="AA14">
        <f>HYPERLINK("https://klasma.github.io/Logging_0821/klagomål/S 1426-2025 FSC-klagomål.docx", "S 1426-2025")</f>
        <v/>
      </c>
      <c r="AB14">
        <f>HYPERLINK("https://klasma.github.io/Logging_0821/klagomålsmail/S 1426-2025 FSC-klagomål mail.docx", "S 1426-2025")</f>
        <v/>
      </c>
      <c r="AC14">
        <f>HYPERLINK("https://klasma.github.io/Logging_0821/tillsyn/S 1426-2025 tillsynsbegäran.docx", "S 1426-2025")</f>
        <v/>
      </c>
      <c r="AD14">
        <f>HYPERLINK("https://klasma.github.io/Logging_0821/tillsynsmail/S 1426-2025 tillsynsbegäran mail.docx", "S 1426-2025")</f>
        <v/>
      </c>
    </row>
    <row r="15" ht="15" customHeight="1">
      <c r="A15" t="inlineStr">
        <is>
          <t>A 17959-2026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46266</v>
      </c>
      <c r="F15" t="inlineStr">
        <is>
          <t>KALMAR LÄN</t>
        </is>
      </c>
      <c r="G15" t="inlineStr">
        <is>
          <t>HÖGSBY</t>
        </is>
      </c>
      <c r="I15" t="n">
        <v>1.2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Mindre hackspett
Fällmossa
Källpraktmossa
Skogsknipprot</t>
        </is>
      </c>
      <c r="W15">
        <f>HYPERLINK("https://klasma.github.io/Logging_0821/artfynd/A 17959-2026 artfynd.xlsx", "A 17959-2026")</f>
        <v/>
      </c>
      <c r="X15">
        <f>HYPERLINK("https://klasma.github.io/Logging_0821/kartor/A 17959-2026 karta.png", "A 17959-2026")</f>
        <v/>
      </c>
      <c r="Y15">
        <f>HYPERLINK("https://klasma.github.io/Logging_0821/kartor_geotiff/A 17959-2026 georefererad karta.tif", "A 17959-2026")</f>
        <v/>
      </c>
      <c r="AA15">
        <f>HYPERLINK("https://klasma.github.io/Logging_0821/klagomål/A 17959-2026 FSC-klagomål.docx", "A 17959-2026")</f>
        <v/>
      </c>
      <c r="AB15">
        <f>HYPERLINK("https://klasma.github.io/Logging_0821/klagomålsmail/A 17959-2026 FSC-klagomål mail.docx", "A 17959-2026")</f>
        <v/>
      </c>
      <c r="AC15">
        <f>HYPERLINK("https://klasma.github.io/Logging_0821/tillsyn/A 17959-2026 tillsynsbegäran.docx", "A 17959-2026")</f>
        <v/>
      </c>
      <c r="AD15">
        <f>HYPERLINK("https://klasma.github.io/Logging_0821/tillsynsmail/A 17959-2026 tillsynsbegäran mail.docx", "A 17959-2026")</f>
        <v/>
      </c>
      <c r="AE15">
        <f>HYPERLINK("https://klasma.github.io/Logging_0821/fåglar/A 17959-2026 prioriterade fågelarter.docx", "A 17959-2026")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46266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46266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46266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48263-2022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44853</v>
      </c>
      <c r="E19" s="1" t="n">
        <v>46266</v>
      </c>
      <c r="F19" t="inlineStr">
        <is>
          <t>KALMAR LÄN</t>
        </is>
      </c>
      <c r="G19" t="inlineStr">
        <is>
          <t>HÖGSBY</t>
        </is>
      </c>
      <c r="I19" t="n">
        <v>8.199999999999999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Spillkråka
Kungsfågel</t>
        </is>
      </c>
      <c r="W19">
        <f>HYPERLINK("https://klasma.github.io/Logging_0821/artfynd/A 48263-2022 artfynd.xlsx", "A 48263-2022")</f>
        <v/>
      </c>
      <c r="X19">
        <f>HYPERLINK("https://klasma.github.io/Logging_0821/kartor/A 48263-2022 karta.png", "A 48263-2022")</f>
        <v/>
      </c>
      <c r="Y19">
        <f>HYPERLINK("https://klasma.github.io/Logging_0821/kartor_geotiff/A 48263-2022 georefererad karta.tif", "A 48263-2022")</f>
        <v/>
      </c>
      <c r="AA19">
        <f>HYPERLINK("https://klasma.github.io/Logging_0821/klagomål/A 48263-2022 FSC-klagomål.docx", "A 48263-2022")</f>
        <v/>
      </c>
      <c r="AB19">
        <f>HYPERLINK("https://klasma.github.io/Logging_0821/klagomålsmail/A 48263-2022 FSC-klagomål mail.docx", "A 48263-2022")</f>
        <v/>
      </c>
      <c r="AC19">
        <f>HYPERLINK("https://klasma.github.io/Logging_0821/tillsyn/A 48263-2022 tillsynsbegäran.docx", "A 48263-2022")</f>
        <v/>
      </c>
      <c r="AD19">
        <f>HYPERLINK("https://klasma.github.io/Logging_0821/tillsynsmail/A 48263-2022 tillsynsbegäran mail.docx", "A 48263-2022")</f>
        <v/>
      </c>
      <c r="AE19">
        <f>HYPERLINK("https://klasma.github.io/Logging_0821/fåglar/A 48263-2022 prioriterade fågelarter.docx", "A 48263-2022")</f>
        <v/>
      </c>
    </row>
    <row r="20" ht="15" customHeight="1">
      <c r="A20" t="inlineStr">
        <is>
          <t>A 47236-2023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45202</v>
      </c>
      <c r="E20" s="1" t="n">
        <v>46266</v>
      </c>
      <c r="F20" t="inlineStr">
        <is>
          <t>KALMAR LÄN</t>
        </is>
      </c>
      <c r="G20" t="inlineStr">
        <is>
          <t>HÖGSBY</t>
        </is>
      </c>
      <c r="I20" t="n">
        <v>13.2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Backklöver
Nötkråka
Revlummer</t>
        </is>
      </c>
      <c r="W20">
        <f>HYPERLINK("https://klasma.github.io/Logging_0821/artfynd/A 47236-2023 artfynd.xlsx", "A 47236-2023")</f>
        <v/>
      </c>
      <c r="X20">
        <f>HYPERLINK("https://klasma.github.io/Logging_0821/kartor/A 47236-2023 karta.png", "A 47236-2023")</f>
        <v/>
      </c>
      <c r="Y20">
        <f>HYPERLINK("https://klasma.github.io/Logging_0821/kartor_geotiff/A 47236-2023 georefererad karta.tif", "A 47236-2023")</f>
        <v/>
      </c>
      <c r="AA20">
        <f>HYPERLINK("https://klasma.github.io/Logging_0821/klagomål/A 47236-2023 FSC-klagomål.docx", "A 47236-2023")</f>
        <v/>
      </c>
      <c r="AB20">
        <f>HYPERLINK("https://klasma.github.io/Logging_0821/klagomålsmail/A 47236-2023 FSC-klagomål mail.docx", "A 47236-2023")</f>
        <v/>
      </c>
      <c r="AC20">
        <f>HYPERLINK("https://klasma.github.io/Logging_0821/tillsyn/A 47236-2023 tillsynsbegäran.docx", "A 47236-2023")</f>
        <v/>
      </c>
      <c r="AD20">
        <f>HYPERLINK("https://klasma.github.io/Logging_0821/tillsynsmail/A 47236-2023 tillsynsbegäran mail.docx", "A 47236-2023")</f>
        <v/>
      </c>
      <c r="AE20">
        <f>HYPERLINK("https://klasma.github.io/Logging_0821/fåglar/A 47236-2023 prioriterade fågelarter.docx", "A 47236-2023")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46266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55060-2023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46266</v>
      </c>
      <c r="F22" t="inlineStr">
        <is>
          <t>KALMAR LÄN</t>
        </is>
      </c>
      <c r="G22" t="inlineStr">
        <is>
          <t>HÖGSBY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Tallticka
Blodticka
Spillkråka</t>
        </is>
      </c>
      <c r="W22">
        <f>HYPERLINK("https://klasma.github.io/Logging_0821/artfynd/A 55060-2023 artfynd.xlsx", "A 55060-2023")</f>
        <v/>
      </c>
      <c r="X22">
        <f>HYPERLINK("https://klasma.github.io/Logging_0821/kartor/A 55060-2023 karta.png", "A 55060-2023")</f>
        <v/>
      </c>
      <c r="Y22">
        <f>HYPERLINK("https://klasma.github.io/Logging_0821/kartor_geotiff/A 55060-2023 georefererad karta.tif", "A 55060-2023")</f>
        <v/>
      </c>
      <c r="AA22">
        <f>HYPERLINK("https://klasma.github.io/Logging_0821/klagomål/A 55060-2023 FSC-klagomål.docx", "A 55060-2023")</f>
        <v/>
      </c>
      <c r="AB22">
        <f>HYPERLINK("https://klasma.github.io/Logging_0821/klagomålsmail/A 55060-2023 FSC-klagomål mail.docx", "A 55060-2023")</f>
        <v/>
      </c>
      <c r="AC22">
        <f>HYPERLINK("https://klasma.github.io/Logging_0821/tillsyn/A 55060-2023 tillsynsbegäran.docx", "A 55060-2023")</f>
        <v/>
      </c>
      <c r="AD22">
        <f>HYPERLINK("https://klasma.github.io/Logging_0821/tillsynsmail/A 55060-2023 tillsynsbegäran mail.docx", "A 55060-2023")</f>
        <v/>
      </c>
      <c r="AE22">
        <f>HYPERLINK("https://klasma.github.io/Logging_0821/fåglar/A 55060-2023 prioriterade fågelarter.docx", "A 55060-2023")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46266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46266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S 620-2024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45352</v>
      </c>
      <c r="E25" s="1" t="n">
        <v>46266</v>
      </c>
      <c r="F25" t="inlineStr">
        <is>
          <t>KALMAR LÄN</t>
        </is>
      </c>
      <c r="G25" t="inlineStr">
        <is>
          <t>HÖGSBY</t>
        </is>
      </c>
      <c r="I25" t="n">
        <v>14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Större flatbagge
Fällmossa
Jättesvampmal</t>
        </is>
      </c>
      <c r="W25">
        <f>HYPERLINK("https://klasma.github.io/Logging_0821/artfynd/S 620-2024 artfynd.xlsx", "S 620-2024")</f>
        <v/>
      </c>
      <c r="X25">
        <f>HYPERLINK("https://klasma.github.io/Logging_0821/kartor/S 620-2024 karta.png", "S 620-2024")</f>
        <v/>
      </c>
      <c r="Y25">
        <f>HYPERLINK("https://klasma.github.io/Logging_0821/kartor_geotiff/S 620-2024 georefererad karta.tif", "S 620-2024")</f>
        <v/>
      </c>
      <c r="AA25">
        <f>HYPERLINK("https://klasma.github.io/Logging_0821/klagomål/S 620-2024 FSC-klagomål.docx", "S 620-2024")</f>
        <v/>
      </c>
      <c r="AB25">
        <f>HYPERLINK("https://klasma.github.io/Logging_0821/klagomålsmail/S 620-2024 FSC-klagomål mail.docx", "S 620-2024")</f>
        <v/>
      </c>
      <c r="AC25">
        <f>HYPERLINK("https://klasma.github.io/Logging_0821/tillsyn/S 620-2024 tillsynsbegäran.docx", "S 620-2024")</f>
        <v/>
      </c>
      <c r="AD25">
        <f>HYPERLINK("https://klasma.github.io/Logging_0821/tillsynsmail/S 620-2024 tillsynsbegäran mail.docx", "S 620-2024")</f>
        <v/>
      </c>
    </row>
    <row r="26" ht="15" customHeight="1">
      <c r="A26" t="inlineStr">
        <is>
          <t>S 922-2026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46111</v>
      </c>
      <c r="E26" s="1" t="n">
        <v>46266</v>
      </c>
      <c r="F26" t="inlineStr">
        <is>
          <t>KALMAR LÄN</t>
        </is>
      </c>
      <c r="G26" t="inlineStr">
        <is>
          <t>HÖGSBY</t>
        </is>
      </c>
      <c r="I26" t="n">
        <v>25.8</v>
      </c>
      <c r="J26" t="n">
        <v>1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Ekoxe
Spindelbock</t>
        </is>
      </c>
      <c r="W26">
        <f>HYPERLINK("https://klasma.github.io/Logging_0821/artfynd/S 922-2026 artfynd.xlsx", "S 922-2026")</f>
        <v/>
      </c>
      <c r="X26">
        <f>HYPERLINK("https://klasma.github.io/Logging_0821/kartor/S 922-2026 karta.png", "S 922-2026")</f>
        <v/>
      </c>
      <c r="Y26">
        <f>HYPERLINK("https://klasma.github.io/Logging_0821/kartor_geotiff/S 922-2026 georefererad karta.tif", "S 922-2026")</f>
        <v/>
      </c>
      <c r="AA26">
        <f>HYPERLINK("https://klasma.github.io/Logging_0821/klagomål/S 922-2026 FSC-klagomål.docx", "S 922-2026")</f>
        <v/>
      </c>
      <c r="AB26">
        <f>HYPERLINK("https://klasma.github.io/Logging_0821/klagomålsmail/S 922-2026 FSC-klagomål mail.docx", "S 922-2026")</f>
        <v/>
      </c>
      <c r="AC26">
        <f>HYPERLINK("https://klasma.github.io/Logging_0821/tillsyn/S 922-2026 tillsynsbegäran.docx", "S 922-2026")</f>
        <v/>
      </c>
      <c r="AD26">
        <f>HYPERLINK("https://klasma.github.io/Logging_0821/tillsynsmail/S 922-2026 tillsynsbegäran mail.docx", "S 922-2026")</f>
        <v/>
      </c>
    </row>
    <row r="27" ht="15" customHeight="1">
      <c r="A27" t="inlineStr">
        <is>
          <t>S 1414-2026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46155</v>
      </c>
      <c r="E27" s="1" t="n">
        <v>46266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Svartoxe
Talltita
Kärrviol</t>
        </is>
      </c>
      <c r="W27">
        <f>HYPERLINK("https://klasma.github.io/Logging_0821/artfynd/S 1414-2026 artfynd.xlsx", "S 1414-2026")</f>
        <v/>
      </c>
      <c r="X27">
        <f>HYPERLINK("https://klasma.github.io/Logging_0821/kartor/S 1414-2026 karta.png", "S 1414-2026")</f>
        <v/>
      </c>
      <c r="Y27">
        <f>HYPERLINK("https://klasma.github.io/Logging_0821/kartor_geotiff/S 1414-2026 georefererad karta.tif", "S 1414-2026")</f>
        <v/>
      </c>
      <c r="AA27">
        <f>HYPERLINK("https://klasma.github.io/Logging_0821/klagomål/S 1414-2026 FSC-klagomål.docx", "S 1414-2026")</f>
        <v/>
      </c>
      <c r="AB27">
        <f>HYPERLINK("https://klasma.github.io/Logging_0821/klagomålsmail/S 1414-2026 FSC-klagomål mail.docx", "S 1414-2026")</f>
        <v/>
      </c>
      <c r="AC27">
        <f>HYPERLINK("https://klasma.github.io/Logging_0821/tillsyn/S 1414-2026 tillsynsbegäran.docx", "S 1414-2026")</f>
        <v/>
      </c>
      <c r="AD27">
        <f>HYPERLINK("https://klasma.github.io/Logging_0821/tillsynsmail/S 1414-2026 tillsynsbegäran mail.docx", "S 1414-2026")</f>
        <v/>
      </c>
      <c r="AE27">
        <f>HYPERLINK("https://klasma.github.io/Logging_0821/fåglar/S 1414-2026 prioriterade fågelarter.docx", "S 1414-2026")</f>
        <v/>
      </c>
    </row>
    <row r="28" ht="15" customHeight="1">
      <c r="A28" t="inlineStr">
        <is>
          <t>A 62371-2023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45268</v>
      </c>
      <c r="E28" s="1" t="n">
        <v>46266</v>
      </c>
      <c r="F28" t="inlineStr">
        <is>
          <t>KALMAR LÄN</t>
        </is>
      </c>
      <c r="G28" t="inlineStr">
        <is>
          <t>HÖGSBY</t>
        </is>
      </c>
      <c r="I28" t="n">
        <v>4.5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Spillkråka</t>
        </is>
      </c>
      <c r="W28">
        <f>HYPERLINK("https://klasma.github.io/Logging_0821/artfynd/A 62371-2023 artfynd.xlsx", "A 62371-2023")</f>
        <v/>
      </c>
      <c r="X28">
        <f>HYPERLINK("https://klasma.github.io/Logging_0821/kartor/A 62371-2023 karta.png", "A 62371-2023")</f>
        <v/>
      </c>
      <c r="Y28">
        <f>HYPERLINK("https://klasma.github.io/Logging_0821/kartor_geotiff/A 62371-2023 georefererad karta.tif", "A 62371-2023")</f>
        <v/>
      </c>
      <c r="Z28">
        <f>HYPERLINK("https://klasma.github.io/Logging_0821/knärot/A 62371-2023 karta knärot.png", "A 62371-2023")</f>
        <v/>
      </c>
      <c r="AA28">
        <f>HYPERLINK("https://klasma.github.io/Logging_0821/klagomål/A 62371-2023 FSC-klagomål.docx", "A 62371-2023")</f>
        <v/>
      </c>
      <c r="AB28">
        <f>HYPERLINK("https://klasma.github.io/Logging_0821/klagomålsmail/A 62371-2023 FSC-klagomål mail.docx", "A 62371-2023")</f>
        <v/>
      </c>
      <c r="AC28">
        <f>HYPERLINK("https://klasma.github.io/Logging_0821/tillsyn/A 62371-2023 tillsynsbegäran.docx", "A 62371-2023")</f>
        <v/>
      </c>
      <c r="AD28">
        <f>HYPERLINK("https://klasma.github.io/Logging_0821/tillsynsmail/A 62371-2023 tillsynsbegäran mail.docx", "A 62371-2023")</f>
        <v/>
      </c>
      <c r="AE28">
        <f>HYPERLINK("https://klasma.github.io/Logging_0821/fåglar/A 62371-2023 prioriterade fågelarter.docx", "A 62371-2023")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46266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46266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46266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46266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46266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46266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46266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46266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46266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46266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19519-2025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46266</v>
      </c>
      <c r="F39" t="inlineStr">
        <is>
          <t>KALMAR LÄN</t>
        </is>
      </c>
      <c r="G39" t="inlineStr">
        <is>
          <t>HÖGSBY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Dropptaggsvamp</t>
        </is>
      </c>
      <c r="W39">
        <f>HYPERLINK("https://klasma.github.io/Logging_0821/artfynd/A 19519-2025 artfynd.xlsx", "A 19519-2025")</f>
        <v/>
      </c>
      <c r="X39">
        <f>HYPERLINK("https://klasma.github.io/Logging_0821/kartor/A 19519-2025 karta.png", "A 19519-2025")</f>
        <v/>
      </c>
      <c r="Y39">
        <f>HYPERLINK("https://klasma.github.io/Logging_0821/kartor_geotiff/A 19519-2025 georefererad karta.tif", "A 19519-2025")</f>
        <v/>
      </c>
      <c r="AA39">
        <f>HYPERLINK("https://klasma.github.io/Logging_0821/klagomål/A 19519-2025 FSC-klagomål.docx", "A 19519-2025")</f>
        <v/>
      </c>
      <c r="AB39">
        <f>HYPERLINK("https://klasma.github.io/Logging_0821/klagomålsmail/A 19519-2025 FSC-klagomål mail.docx", "A 19519-2025")</f>
        <v/>
      </c>
      <c r="AC39">
        <f>HYPERLINK("https://klasma.github.io/Logging_0821/tillsyn/A 19519-2025 tillsynsbegäran.docx", "A 19519-2025")</f>
        <v/>
      </c>
      <c r="AD39">
        <f>HYPERLINK("https://klasma.github.io/Logging_0821/tillsynsmail/A 19519-2025 tillsynsbegäran mail.docx", "A 19519-2025")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46266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46266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46266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46266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24911-2023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46266</v>
      </c>
      <c r="F44" t="inlineStr">
        <is>
          <t>KALMAR LÄN</t>
        </is>
      </c>
      <c r="G44" t="inlineStr">
        <is>
          <t>HÖGSBY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Sotlav</t>
        </is>
      </c>
      <c r="W44">
        <f>HYPERLINK("https://klasma.github.io/Logging_0821/artfynd/A 24911-2023 artfynd.xlsx", "A 24911-2023")</f>
        <v/>
      </c>
      <c r="X44">
        <f>HYPERLINK("https://klasma.github.io/Logging_0821/kartor/A 24911-2023 karta.png", "A 24911-2023")</f>
        <v/>
      </c>
      <c r="Y44">
        <f>HYPERLINK("https://klasma.github.io/Logging_0821/kartor_geotiff/A 24911-2023 georefererad karta.tif", "A 24911-2023")</f>
        <v/>
      </c>
      <c r="AA44">
        <f>HYPERLINK("https://klasma.github.io/Logging_0821/klagomål/A 24911-2023 FSC-klagomål.docx", "A 24911-2023")</f>
        <v/>
      </c>
      <c r="AB44">
        <f>HYPERLINK("https://klasma.github.io/Logging_0821/klagomålsmail/A 24911-2023 FSC-klagomål mail.docx", "A 24911-2023")</f>
        <v/>
      </c>
      <c r="AC44">
        <f>HYPERLINK("https://klasma.github.io/Logging_0821/tillsyn/A 24911-2023 tillsynsbegäran.docx", "A 24911-2023")</f>
        <v/>
      </c>
      <c r="AD44">
        <f>HYPERLINK("https://klasma.github.io/Logging_0821/tillsynsmail/A 24911-2023 tillsynsbegäran mail.docx", "A 24911-2023")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46266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46266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59700-2023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45256</v>
      </c>
      <c r="E47" s="1" t="n">
        <v>46266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59700-2023 artfynd.xlsx", "A 59700-2023")</f>
        <v/>
      </c>
      <c r="X47">
        <f>HYPERLINK("https://klasma.github.io/Logging_0821/kartor/A 59700-2023 karta.png", "A 59700-2023")</f>
        <v/>
      </c>
      <c r="Y47">
        <f>HYPERLINK("https://klasma.github.io/Logging_0821/kartor_geotiff/A 59700-2023 georefererad karta.tif", "A 59700-2023")</f>
        <v/>
      </c>
      <c r="AA47">
        <f>HYPERLINK("https://klasma.github.io/Logging_0821/klagomål/A 59700-2023 FSC-klagomål.docx", "A 59700-2023")</f>
        <v/>
      </c>
      <c r="AB47">
        <f>HYPERLINK("https://klasma.github.io/Logging_0821/klagomålsmail/A 59700-2023 FSC-klagomål mail.docx", "A 59700-2023")</f>
        <v/>
      </c>
      <c r="AC47">
        <f>HYPERLINK("https://klasma.github.io/Logging_0821/tillsyn/A 59700-2023 tillsynsbegäran.docx", "A 59700-2023")</f>
        <v/>
      </c>
      <c r="AD47">
        <f>HYPERLINK("https://klasma.github.io/Logging_0821/tillsynsmail/A 59700-2023 tillsynsbegäran mail.docx", "A 59700-2023")</f>
        <v/>
      </c>
      <c r="AE47">
        <f>HYPERLINK("https://klasma.github.io/Logging_0821/fåglar/A 59700-2023 prioriterade fågelarter.docx", "A 59700-2023")</f>
        <v/>
      </c>
    </row>
    <row r="48" ht="15" customHeight="1">
      <c r="A48" t="inlineStr">
        <is>
          <t>A 35072-2023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46266</v>
      </c>
      <c r="F48" t="inlineStr">
        <is>
          <t>KALMAR LÄN</t>
        </is>
      </c>
      <c r="G48" t="inlineStr">
        <is>
          <t>HÖGSBY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35072-2023 artfynd.xlsx", "A 35072-2023")</f>
        <v/>
      </c>
      <c r="X48">
        <f>HYPERLINK("https://klasma.github.io/Logging_0821/kartor/A 35072-2023 karta.png", "A 35072-2023")</f>
        <v/>
      </c>
      <c r="Y48">
        <f>HYPERLINK("https://klasma.github.io/Logging_0821/kartor_geotiff/A 35072-2023 georefererad karta.tif", "A 35072-2023")</f>
        <v/>
      </c>
      <c r="AA48">
        <f>HYPERLINK("https://klasma.github.io/Logging_0821/klagomål/A 35072-2023 FSC-klagomål.docx", "A 35072-2023")</f>
        <v/>
      </c>
      <c r="AB48">
        <f>HYPERLINK("https://klasma.github.io/Logging_0821/klagomålsmail/A 35072-2023 FSC-klagomål mail.docx", "A 35072-2023")</f>
        <v/>
      </c>
      <c r="AC48">
        <f>HYPERLINK("https://klasma.github.io/Logging_0821/tillsyn/A 35072-2023 tillsynsbegäran.docx", "A 35072-2023")</f>
        <v/>
      </c>
      <c r="AD48">
        <f>HYPERLINK("https://klasma.github.io/Logging_0821/tillsynsmail/A 35072-2023 tillsynsbegäran mail.docx", "A 35072-2023")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46266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52177-2022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46266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Nordfladdermus</t>
        </is>
      </c>
      <c r="W50">
        <f>HYPERLINK("https://klasma.github.io/Logging_0821/artfynd/A 52177-2022 artfynd.xlsx", "A 52177-2022")</f>
        <v/>
      </c>
      <c r="X50">
        <f>HYPERLINK("https://klasma.github.io/Logging_0821/kartor/A 52177-2022 karta.png", "A 52177-2022")</f>
        <v/>
      </c>
      <c r="Y50">
        <f>HYPERLINK("https://klasma.github.io/Logging_0821/kartor_geotiff/A 52177-2022 georefererad karta.tif", "A 52177-2022")</f>
        <v/>
      </c>
      <c r="AA50">
        <f>HYPERLINK("https://klasma.github.io/Logging_0821/klagomål/A 52177-2022 FSC-klagomål.docx", "A 52177-2022")</f>
        <v/>
      </c>
      <c r="AB50">
        <f>HYPERLINK("https://klasma.github.io/Logging_0821/klagomålsmail/A 52177-2022 FSC-klagomål mail.docx", "A 52177-2022")</f>
        <v/>
      </c>
      <c r="AC50">
        <f>HYPERLINK("https://klasma.github.io/Logging_0821/tillsyn/A 52177-2022 tillsynsbegäran.docx", "A 52177-2022")</f>
        <v/>
      </c>
      <c r="AD50">
        <f>HYPERLINK("https://klasma.github.io/Logging_0821/tillsynsmail/A 52177-2022 tillsynsbegäran mail.docx", "A 52177-2022")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46266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46266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27366-2026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46266</v>
      </c>
      <c r="F53" t="inlineStr">
        <is>
          <t>KALMAR LÄN</t>
        </is>
      </c>
      <c r="G53" t="inlineStr">
        <is>
          <t>HÖGSBY</t>
        </is>
      </c>
      <c r="I53" t="n">
        <v>4.4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Nattviol</t>
        </is>
      </c>
      <c r="W53">
        <f>HYPERLINK("https://klasma.github.io/Logging_0821/artfynd/A 27366-2026 artfynd.xlsx", "A 27366-2026")</f>
        <v/>
      </c>
      <c r="X53">
        <f>HYPERLINK("https://klasma.github.io/Logging_0821/kartor/A 27366-2026 karta.png", "A 27366-2026")</f>
        <v/>
      </c>
      <c r="Y53">
        <f>HYPERLINK("https://klasma.github.io/Logging_0821/kartor_geotiff/A 27366-2026 georefererad karta.tif", "A 27366-2026")</f>
        <v/>
      </c>
      <c r="AA53">
        <f>HYPERLINK("https://klasma.github.io/Logging_0821/klagomål/A 27366-2026 FSC-klagomål.docx", "A 27366-2026")</f>
        <v/>
      </c>
      <c r="AB53">
        <f>HYPERLINK("https://klasma.github.io/Logging_0821/klagomålsmail/A 27366-2026 FSC-klagomål mail.docx", "A 27366-2026")</f>
        <v/>
      </c>
      <c r="AC53">
        <f>HYPERLINK("https://klasma.github.io/Logging_0821/tillsyn/A 27366-2026 tillsynsbegäran.docx", "A 27366-2026")</f>
        <v/>
      </c>
      <c r="AD53">
        <f>HYPERLINK("https://klasma.github.io/Logging_0821/tillsynsmail/A 27366-2026 tillsynsbegäran mail.docx", "A 27366-2026")</f>
        <v/>
      </c>
    </row>
    <row r="54" ht="15" customHeight="1">
      <c r="A54" t="inlineStr">
        <is>
          <t>A 59407-2022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46266</v>
      </c>
      <c r="F54" t="inlineStr">
        <is>
          <t>KALMAR LÄN</t>
        </is>
      </c>
      <c r="G54" t="inlineStr">
        <is>
          <t>HÖGSBY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Blåsippa</t>
        </is>
      </c>
      <c r="W54">
        <f>HYPERLINK("https://klasma.github.io/Logging_0821/artfynd/A 59407-2022 artfynd.xlsx", "A 59407-2022")</f>
        <v/>
      </c>
      <c r="X54">
        <f>HYPERLINK("https://klasma.github.io/Logging_0821/kartor/A 59407-2022 karta.png", "A 59407-2022")</f>
        <v/>
      </c>
      <c r="Y54">
        <f>HYPERLINK("https://klasma.github.io/Logging_0821/kartor_geotiff/A 59407-2022 georefererad karta.tif", "A 59407-2022")</f>
        <v/>
      </c>
      <c r="AA54">
        <f>HYPERLINK("https://klasma.github.io/Logging_0821/klagomål/A 59407-2022 FSC-klagomål.docx", "A 59407-2022")</f>
        <v/>
      </c>
      <c r="AB54">
        <f>HYPERLINK("https://klasma.github.io/Logging_0821/klagomålsmail/A 59407-2022 FSC-klagomål mail.docx", "A 59407-2022")</f>
        <v/>
      </c>
      <c r="AC54">
        <f>HYPERLINK("https://klasma.github.io/Logging_0821/tillsyn/A 59407-2022 tillsynsbegäran.docx", "A 59407-2022")</f>
        <v/>
      </c>
      <c r="AD54">
        <f>HYPERLINK("https://klasma.github.io/Logging_0821/tillsynsmail/A 59407-2022 tillsynsbegäran mail.docx", "A 59407-2022")</f>
        <v/>
      </c>
    </row>
    <row r="55" ht="15" customHeight="1">
      <c r="A55" t="inlineStr">
        <is>
          <t>A 28894-2026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46266</v>
      </c>
      <c r="F55" t="inlineStr">
        <is>
          <t>KALMAR LÄN</t>
        </is>
      </c>
      <c r="G55" t="inlineStr">
        <is>
          <t>HÖGSBY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HYPERLINK("https://klasma.github.io/Logging_0821/artfynd/A 28894-2026 artfynd.xlsx", "A 28894-2026")</f>
        <v/>
      </c>
      <c r="X55">
        <f>HYPERLINK("https://klasma.github.io/Logging_0821/kartor/A 28894-2026 karta.png", "A 28894-2026")</f>
        <v/>
      </c>
      <c r="Y55">
        <f>HYPERLINK("https://klasma.github.io/Logging_0821/kartor_geotiff/A 28894-2026 georefererad karta.tif", "A 28894-2026")</f>
        <v/>
      </c>
      <c r="AA55">
        <f>HYPERLINK("https://klasma.github.io/Logging_0821/klagomål/A 28894-2026 FSC-klagomål.docx", "A 28894-2026")</f>
        <v/>
      </c>
      <c r="AB55">
        <f>HYPERLINK("https://klasma.github.io/Logging_0821/klagomålsmail/A 28894-2026 FSC-klagomål mail.docx", "A 28894-2026")</f>
        <v/>
      </c>
      <c r="AC55">
        <f>HYPERLINK("https://klasma.github.io/Logging_0821/tillsyn/A 28894-2026 tillsynsbegäran.docx", "A 28894-2026")</f>
        <v/>
      </c>
      <c r="AD55">
        <f>HYPERLINK("https://klasma.github.io/Logging_0821/tillsynsmail/A 28894-2026 tillsynsbegäran mail.docx", "A 28894-2026")</f>
        <v/>
      </c>
      <c r="AE55">
        <f>HYPERLINK("https://klasma.github.io/Logging_0821/fåglar/A 28894-2026 prioriterade fågelarter.docx", "A 28894-2026")</f>
        <v/>
      </c>
    </row>
    <row r="56" ht="15" customHeight="1">
      <c r="A56" t="inlineStr">
        <is>
          <t>A 33784-2026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46251</v>
      </c>
      <c r="E56" s="1" t="n">
        <v>46266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8.699999999999999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33784-2026 artfynd.xlsx", "A 33784-2026")</f>
        <v/>
      </c>
      <c r="X56">
        <f>HYPERLINK("https://klasma.github.io/Logging_0821/kartor/A 33784-2026 karta.png", "A 33784-2026")</f>
        <v/>
      </c>
      <c r="Y56">
        <f>HYPERLINK("https://klasma.github.io/Logging_0821/kartor_geotiff/A 33784-2026 georefererad karta.tif", "A 33784-2026")</f>
        <v/>
      </c>
      <c r="AA56">
        <f>HYPERLINK("https://klasma.github.io/Logging_0821/klagomål/A 33784-2026 FSC-klagomål.docx", "A 33784-2026")</f>
        <v/>
      </c>
      <c r="AB56">
        <f>HYPERLINK("https://klasma.github.io/Logging_0821/klagomålsmail/A 33784-2026 FSC-klagomål mail.docx", "A 33784-2026")</f>
        <v/>
      </c>
      <c r="AC56">
        <f>HYPERLINK("https://klasma.github.io/Logging_0821/tillsyn/A 33784-2026 tillsynsbegäran.docx", "A 33784-2026")</f>
        <v/>
      </c>
      <c r="AD56">
        <f>HYPERLINK("https://klasma.github.io/Logging_0821/tillsynsmail/A 33784-2026 tillsynsbegäran mail.docx", "A 33784-2026")</f>
        <v/>
      </c>
      <c r="AE56">
        <f>HYPERLINK("https://klasma.github.io/Logging_0821/fåglar/A 33784-2026 prioriterade fågelarter.docx", "A 33784-2026")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46266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46266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46266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46266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46266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46266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46266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46266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46266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46266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46266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46266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46266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50361-2021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46266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46266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46266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46266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46266</v>
      </c>
      <c r="F74" t="inlineStr">
        <is>
          <t>KALMAR LÄN</t>
        </is>
      </c>
      <c r="G74" t="inlineStr">
        <is>
          <t>HÖGSBY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46266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46266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46266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46266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46266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46266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46266</v>
      </c>
      <c r="F81" t="inlineStr">
        <is>
          <t>KALMAR LÄN</t>
        </is>
      </c>
      <c r="G81" t="inlineStr">
        <is>
          <t>HÖGSBY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46266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46266</v>
      </c>
      <c r="F83" t="inlineStr">
        <is>
          <t>KALMAR LÄN</t>
        </is>
      </c>
      <c r="G83" t="inlineStr">
        <is>
          <t>HÖGSBY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46266</v>
      </c>
      <c r="F84" t="inlineStr">
        <is>
          <t>KALMAR LÄN</t>
        </is>
      </c>
      <c r="G84" t="inlineStr">
        <is>
          <t>HÖGSBY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46266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46266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46266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46266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46266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46266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46266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46266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46266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46266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46266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46266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46266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46266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46266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46266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46266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46266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46266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46266</v>
      </c>
      <c r="F104" t="inlineStr">
        <is>
          <t>KALMAR LÄN</t>
        </is>
      </c>
      <c r="G104" t="inlineStr">
        <is>
          <t>HÖGSBY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46266</v>
      </c>
      <c r="F105" t="inlineStr">
        <is>
          <t>KALMAR LÄN</t>
        </is>
      </c>
      <c r="G105" t="inlineStr">
        <is>
          <t>HÖGSBY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34078-2024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45523</v>
      </c>
      <c r="E106" s="1" t="n">
        <v>46266</v>
      </c>
      <c r="F106" t="inlineStr">
        <is>
          <t>KALMAR LÄN</t>
        </is>
      </c>
      <c r="G106" t="inlineStr">
        <is>
          <t>HÖGSBY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46266</v>
      </c>
      <c r="F107" t="inlineStr">
        <is>
          <t>KALMAR LÄN</t>
        </is>
      </c>
      <c r="G107" t="inlineStr">
        <is>
          <t>HÖGSBY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46266</v>
      </c>
      <c r="F108" t="inlineStr">
        <is>
          <t>KALMAR LÄN</t>
        </is>
      </c>
      <c r="G108" t="inlineStr">
        <is>
          <t>HÖGSBY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46266</v>
      </c>
      <c r="F109" t="inlineStr">
        <is>
          <t>KALMAR LÄN</t>
        </is>
      </c>
      <c r="G109" t="inlineStr">
        <is>
          <t>HÖGSBY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38797-2024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45547</v>
      </c>
      <c r="E110" s="1" t="n">
        <v>46266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46266</v>
      </c>
      <c r="F111" t="inlineStr">
        <is>
          <t>KALMAR LÄN</t>
        </is>
      </c>
      <c r="G111" t="inlineStr">
        <is>
          <t>HÖGSBY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54483-2022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46266</v>
      </c>
      <c r="F112" t="inlineStr">
        <is>
          <t>KALMAR LÄN</t>
        </is>
      </c>
      <c r="G112" t="inlineStr">
        <is>
          <t>HÖGSBY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45688</v>
      </c>
      <c r="E113" s="1" t="n">
        <v>46266</v>
      </c>
      <c r="F113" t="inlineStr">
        <is>
          <t>KALMAR LÄN</t>
        </is>
      </c>
      <c r="G113" t="inlineStr">
        <is>
          <t>HÖGSBY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45707</v>
      </c>
      <c r="E114" s="1" t="n">
        <v>46266</v>
      </c>
      <c r="F114" t="inlineStr">
        <is>
          <t>KALMAR LÄN</t>
        </is>
      </c>
      <c r="G114" t="inlineStr">
        <is>
          <t>HÖGSBY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46266</v>
      </c>
      <c r="F115" t="inlineStr">
        <is>
          <t>KALMAR LÄN</t>
        </is>
      </c>
      <c r="G115" t="inlineStr">
        <is>
          <t>HÖGSBY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40464-2023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46266</v>
      </c>
      <c r="F116" t="inlineStr">
        <is>
          <t>KALMAR LÄN</t>
        </is>
      </c>
      <c r="G116" t="inlineStr">
        <is>
          <t>HÖGSBY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46266</v>
      </c>
      <c r="F117" t="inlineStr">
        <is>
          <t>KALMAR LÄN</t>
        </is>
      </c>
      <c r="G117" t="inlineStr">
        <is>
          <t>HÖGSBY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46266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  <c r="Z118">
        <f>HYPERLINK("https://klasma.github.io/Logging_0821/knärot/A 40137-2024 karta knärot.png", "A 40137-2024")</f>
        <v/>
      </c>
      <c r="AA118">
        <f>HYPERLINK("https://klasma.github.io/Logging_0821/klagomål/A 40137-2024 FSC-klagomål.docx", "A 40137-2024")</f>
        <v/>
      </c>
      <c r="AB118">
        <f>HYPERLINK("https://klasma.github.io/Logging_0821/klagomålsmail/A 40137-2024 FSC-klagomål mail.docx", "A 40137-2024")</f>
        <v/>
      </c>
      <c r="AC118">
        <f>HYPERLINK("https://klasma.github.io/Logging_0821/tillsyn/A 40137-2024 tillsynsbegäran.docx", "A 40137-2024")</f>
        <v/>
      </c>
      <c r="AD118">
        <f>HYPERLINK("https://klasma.github.io/Logging_0821/tillsynsmail/A 40137-2024 tillsynsbegäran mail.docx", "A 40137-2024")</f>
        <v/>
      </c>
    </row>
    <row r="119" ht="15" customHeight="1">
      <c r="A119" t="inlineStr">
        <is>
          <t>A 15034-2023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46266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46266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45306</v>
      </c>
      <c r="E121" s="1" t="n">
        <v>46266</v>
      </c>
      <c r="F121" t="inlineStr">
        <is>
          <t>KALMAR LÄN</t>
        </is>
      </c>
      <c r="G121" t="inlineStr">
        <is>
          <t>HÖGSBY</t>
        </is>
      </c>
      <c r="H121" t="inlineStr">
        <is>
          <t>Övriga Aktiebolag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46266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59281-2022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44904</v>
      </c>
      <c r="E123" s="1" t="n">
        <v>46266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46266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45386</v>
      </c>
      <c r="E125" s="1" t="n">
        <v>46266</v>
      </c>
      <c r="F125" t="inlineStr">
        <is>
          <t>KALMAR LÄN</t>
        </is>
      </c>
      <c r="G125" t="inlineStr">
        <is>
          <t>HÖGSBY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45796</v>
      </c>
      <c r="E126" s="1" t="n">
        <v>46266</v>
      </c>
      <c r="F126" t="inlineStr">
        <is>
          <t>KALMAR LÄN</t>
        </is>
      </c>
      <c r="G126" t="inlineStr">
        <is>
          <t>HÖGSBY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37811-2024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45544</v>
      </c>
      <c r="E127" s="1" t="n">
        <v>46266</v>
      </c>
      <c r="F127" t="inlineStr">
        <is>
          <t>KALMAR LÄN</t>
        </is>
      </c>
      <c r="G127" t="inlineStr">
        <is>
          <t>HÖGSBY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45729</v>
      </c>
      <c r="E128" s="1" t="n">
        <v>46266</v>
      </c>
      <c r="F128" t="inlineStr">
        <is>
          <t>KALMAR LÄN</t>
        </is>
      </c>
      <c r="G128" t="inlineStr">
        <is>
          <t>HÖGSBY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46266</v>
      </c>
      <c r="F129" t="inlineStr">
        <is>
          <t>KALMAR LÄN</t>
        </is>
      </c>
      <c r="G129" t="inlineStr">
        <is>
          <t>HÖGSBY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46266</v>
      </c>
      <c r="F130" t="inlineStr">
        <is>
          <t>KALMAR LÄN</t>
        </is>
      </c>
      <c r="G130" t="inlineStr">
        <is>
          <t>HÖGSBY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46266</v>
      </c>
      <c r="F131" t="inlineStr">
        <is>
          <t>KALMAR LÄN</t>
        </is>
      </c>
      <c r="G131" t="inlineStr">
        <is>
          <t>HÖGSBY</t>
        </is>
      </c>
      <c r="H131" t="inlineStr">
        <is>
          <t>Övriga Aktiebolag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46266</v>
      </c>
      <c r="F132" t="inlineStr">
        <is>
          <t>KALMAR LÄN</t>
        </is>
      </c>
      <c r="G132" t="inlineStr">
        <is>
          <t>HÖGSBY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57000-2024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45626</v>
      </c>
      <c r="E133" s="1" t="n">
        <v>46266</v>
      </c>
      <c r="F133" t="inlineStr">
        <is>
          <t>KALMAR LÄN</t>
        </is>
      </c>
      <c r="G133" t="inlineStr">
        <is>
          <t>HÖGSBY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46266</v>
      </c>
      <c r="F134" t="inlineStr">
        <is>
          <t>KALMAR LÄN</t>
        </is>
      </c>
      <c r="G134" t="inlineStr">
        <is>
          <t>HÖGSBY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46266</v>
      </c>
      <c r="F135" t="inlineStr">
        <is>
          <t>KALMAR LÄN</t>
        </is>
      </c>
      <c r="G135" t="inlineStr">
        <is>
          <t>HÖGSBY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49338-2022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46266</v>
      </c>
      <c r="F136" t="inlineStr">
        <is>
          <t>KALMAR LÄN</t>
        </is>
      </c>
      <c r="G136" t="inlineStr">
        <is>
          <t>HÖGSBY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46266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46266</v>
      </c>
      <c r="F138" t="inlineStr">
        <is>
          <t>KALMAR LÄN</t>
        </is>
      </c>
      <c r="G138" t="inlineStr">
        <is>
          <t>HÖGSBY</t>
        </is>
      </c>
      <c r="H138" t="inlineStr">
        <is>
          <t>Kommuner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45946</v>
      </c>
      <c r="E139" s="1" t="n">
        <v>46266</v>
      </c>
      <c r="F139" t="inlineStr">
        <is>
          <t>KALMAR LÄN</t>
        </is>
      </c>
      <c r="G139" t="inlineStr">
        <is>
          <t>HÖGSBY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46266</v>
      </c>
      <c r="F140" t="inlineStr">
        <is>
          <t>KALMAR LÄN</t>
        </is>
      </c>
      <c r="G140" t="inlineStr">
        <is>
          <t>HÖGSBY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51720-2025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46266</v>
      </c>
      <c r="F141" t="inlineStr">
        <is>
          <t>KALMAR LÄN</t>
        </is>
      </c>
      <c r="G141" t="inlineStr">
        <is>
          <t>HÖGSBY</t>
        </is>
      </c>
      <c r="I141" t="n">
        <v>12.8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46266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45546</v>
      </c>
      <c r="E143" s="1" t="n">
        <v>46266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44623</v>
      </c>
      <c r="E144" s="1" t="n">
        <v>46266</v>
      </c>
      <c r="F144" t="inlineStr">
        <is>
          <t>KALMAR LÄN</t>
        </is>
      </c>
      <c r="G144" t="inlineStr">
        <is>
          <t>HÖGSBY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46266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45546</v>
      </c>
      <c r="E146" s="1" t="n">
        <v>46266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45329</v>
      </c>
      <c r="E147" s="1" t="n">
        <v>46266</v>
      </c>
      <c r="F147" t="inlineStr">
        <is>
          <t>KALMAR LÄN</t>
        </is>
      </c>
      <c r="G147" t="inlineStr">
        <is>
          <t>HÖGSBY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45847</v>
      </c>
      <c r="E148" s="1" t="n">
        <v>46266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46266</v>
      </c>
      <c r="F149" t="inlineStr">
        <is>
          <t>KALMAR LÄN</t>
        </is>
      </c>
      <c r="G149" t="inlineStr">
        <is>
          <t>HÖGSBY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46266</v>
      </c>
      <c r="F150" t="inlineStr">
        <is>
          <t>KALMAR LÄN</t>
        </is>
      </c>
      <c r="G150" t="inlineStr">
        <is>
          <t>HÖGSBY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44677</v>
      </c>
      <c r="E151" s="1" t="n">
        <v>46266</v>
      </c>
      <c r="F151" t="inlineStr">
        <is>
          <t>KALMAR LÄN</t>
        </is>
      </c>
      <c r="G151" t="inlineStr">
        <is>
          <t>HÖGSBY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58753-2022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46266</v>
      </c>
      <c r="F152" t="inlineStr">
        <is>
          <t>KALMAR LÄN</t>
        </is>
      </c>
      <c r="G152" t="inlineStr">
        <is>
          <t>HÖGSBY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46266</v>
      </c>
      <c r="F153" t="inlineStr">
        <is>
          <t>KALMAR LÄN</t>
        </is>
      </c>
      <c r="G153" t="inlineStr">
        <is>
          <t>HÖGSBY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46266</v>
      </c>
      <c r="F154" t="inlineStr">
        <is>
          <t>KALMAR LÄN</t>
        </is>
      </c>
      <c r="G154" t="inlineStr">
        <is>
          <t>HÖGSBY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46266</v>
      </c>
      <c r="F155" t="inlineStr">
        <is>
          <t>KALMAR LÄN</t>
        </is>
      </c>
      <c r="G155" t="inlineStr">
        <is>
          <t>HÖGSBY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46266</v>
      </c>
      <c r="F156" t="inlineStr">
        <is>
          <t>KALMAR LÄN</t>
        </is>
      </c>
      <c r="G156" t="inlineStr">
        <is>
          <t>HÖGSBY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46266</v>
      </c>
      <c r="F157" t="inlineStr">
        <is>
          <t>KALMAR LÄN</t>
        </is>
      </c>
      <c r="G157" t="inlineStr">
        <is>
          <t>HÖGSBY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46266</v>
      </c>
      <c r="F158" t="inlineStr">
        <is>
          <t>KALMAR LÄN</t>
        </is>
      </c>
      <c r="G158" t="inlineStr">
        <is>
          <t>HÖGSBY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46266</v>
      </c>
      <c r="F159" t="inlineStr">
        <is>
          <t>KALMAR LÄN</t>
        </is>
      </c>
      <c r="G159" t="inlineStr">
        <is>
          <t>HÖGSBY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45532</v>
      </c>
      <c r="E160" s="1" t="n">
        <v>46266</v>
      </c>
      <c r="F160" t="inlineStr">
        <is>
          <t>KALMAR LÄN</t>
        </is>
      </c>
      <c r="G160" t="inlineStr">
        <is>
          <t>HÖGSBY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46266</v>
      </c>
      <c r="F161" t="inlineStr">
        <is>
          <t>KALMAR LÄN</t>
        </is>
      </c>
      <c r="G161" t="inlineStr">
        <is>
          <t>HÖGSBY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38068-2025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45882</v>
      </c>
      <c r="E162" s="1" t="n">
        <v>46266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46266</v>
      </c>
      <c r="F163" t="inlineStr">
        <is>
          <t>KALMAR LÄN</t>
        </is>
      </c>
      <c r="G163" t="inlineStr">
        <is>
          <t>HÖGSBY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46266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64130-2023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46266</v>
      </c>
      <c r="F165" t="inlineStr">
        <is>
          <t>KALMAR LÄN</t>
        </is>
      </c>
      <c r="G165" t="inlineStr">
        <is>
          <t>HÖGSBY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46266</v>
      </c>
      <c r="F166" t="inlineStr">
        <is>
          <t>KALMAR LÄN</t>
        </is>
      </c>
      <c r="G166" t="inlineStr">
        <is>
          <t>HÖGSBY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46266</v>
      </c>
      <c r="F167" t="inlineStr">
        <is>
          <t>KALMAR LÄN</t>
        </is>
      </c>
      <c r="G167" t="inlineStr">
        <is>
          <t>HÖGSBY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46266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32049-2023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45119</v>
      </c>
      <c r="E169" s="1" t="n">
        <v>46266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45348</v>
      </c>
      <c r="E170" s="1" t="n">
        <v>46266</v>
      </c>
      <c r="F170" t="inlineStr">
        <is>
          <t>KALMAR LÄN</t>
        </is>
      </c>
      <c r="G170" t="inlineStr">
        <is>
          <t>HÖGSBY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46266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38824-2024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45547</v>
      </c>
      <c r="E172" s="1" t="n">
        <v>46266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46266</v>
      </c>
      <c r="F173" t="inlineStr">
        <is>
          <t>KALMAR LÄN</t>
        </is>
      </c>
      <c r="G173" t="inlineStr">
        <is>
          <t>HÖGSBY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28648-2023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45103</v>
      </c>
      <c r="E174" s="1" t="n">
        <v>46266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58017-2025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45982</v>
      </c>
      <c r="E175" s="1" t="n">
        <v>46266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46266</v>
      </c>
      <c r="F176" t="inlineStr">
        <is>
          <t>KALMAR LÄN</t>
        </is>
      </c>
      <c r="G176" t="inlineStr">
        <is>
          <t>HÖGSBY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73709-2021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44552</v>
      </c>
      <c r="E177" s="1" t="n">
        <v>46266</v>
      </c>
      <c r="F177" t="inlineStr">
        <is>
          <t>KALMAR LÄN</t>
        </is>
      </c>
      <c r="G177" t="inlineStr">
        <is>
          <t>HÖGSBY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44902</v>
      </c>
      <c r="E178" s="1" t="n">
        <v>46266</v>
      </c>
      <c r="F178" t="inlineStr">
        <is>
          <t>KALMAR LÄN</t>
        </is>
      </c>
      <c r="G178" t="inlineStr">
        <is>
          <t>HÖGSBY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45994</v>
      </c>
      <c r="E179" s="1" t="n">
        <v>46266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46266</v>
      </c>
      <c r="F180" t="inlineStr">
        <is>
          <t>KALMAR LÄN</t>
        </is>
      </c>
      <c r="G180" t="inlineStr">
        <is>
          <t>HÖGSBY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46266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46266</v>
      </c>
      <c r="F182" t="inlineStr">
        <is>
          <t>KALMAR LÄN</t>
        </is>
      </c>
      <c r="G182" t="inlineStr">
        <is>
          <t>HÖGSBY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46266</v>
      </c>
      <c r="F183" t="inlineStr">
        <is>
          <t>KALMAR LÄN</t>
        </is>
      </c>
      <c r="G183" t="inlineStr">
        <is>
          <t>HÖGSBY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46266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46266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46266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46266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46266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46266</v>
      </c>
      <c r="F189" t="inlineStr">
        <is>
          <t>KALMAR LÄN</t>
        </is>
      </c>
      <c r="G189" t="inlineStr">
        <is>
          <t>HÖGSBY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46266</v>
      </c>
      <c r="F190" t="inlineStr">
        <is>
          <t>KALMAR LÄN</t>
        </is>
      </c>
      <c r="G190" t="inlineStr">
        <is>
          <t>HÖGSBY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46266</v>
      </c>
      <c r="F191" t="inlineStr">
        <is>
          <t>KALMAR LÄN</t>
        </is>
      </c>
      <c r="G191" t="inlineStr">
        <is>
          <t>HÖGSBY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46266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46266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46007</v>
      </c>
      <c r="E194" s="1" t="n">
        <v>46266</v>
      </c>
      <c r="F194" t="inlineStr">
        <is>
          <t>KALMAR LÄN</t>
        </is>
      </c>
      <c r="G194" t="inlineStr">
        <is>
          <t>HÖGSBY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44586</v>
      </c>
      <c r="E195" s="1" t="n">
        <v>46266</v>
      </c>
      <c r="F195" t="inlineStr">
        <is>
          <t>KALMAR LÄN</t>
        </is>
      </c>
      <c r="G195" t="inlineStr">
        <is>
          <t>HÖGSBY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46266</v>
      </c>
      <c r="F196" t="inlineStr">
        <is>
          <t>KALMAR LÄN</t>
        </is>
      </c>
      <c r="G196" t="inlineStr">
        <is>
          <t>HÖGSBY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62720-2025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46008</v>
      </c>
      <c r="E197" s="1" t="n">
        <v>46266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62722-2025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46266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10871-2023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44991</v>
      </c>
      <c r="E199" s="1" t="n">
        <v>46266</v>
      </c>
      <c r="F199" t="inlineStr">
        <is>
          <t>KALMAR LÄN</t>
        </is>
      </c>
      <c r="G199" t="inlineStr">
        <is>
          <t>HÖGSBY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46266</v>
      </c>
      <c r="F200" t="inlineStr">
        <is>
          <t>KALMAR LÄN</t>
        </is>
      </c>
      <c r="G200" t="inlineStr">
        <is>
          <t>HÖGSBY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40990-2023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45173</v>
      </c>
      <c r="E201" s="1" t="n">
        <v>46266</v>
      </c>
      <c r="F201" t="inlineStr">
        <is>
          <t>KALMAR LÄN</t>
        </is>
      </c>
      <c r="G201" t="inlineStr">
        <is>
          <t>HÖGSBY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71635-2021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46266</v>
      </c>
      <c r="F202" t="inlineStr">
        <is>
          <t>KALMAR LÄN</t>
        </is>
      </c>
      <c r="G202" t="inlineStr">
        <is>
          <t>HÖGSBY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45228</v>
      </c>
      <c r="E203" s="1" t="n">
        <v>46266</v>
      </c>
      <c r="F203" t="inlineStr">
        <is>
          <t>KALMAR LÄN</t>
        </is>
      </c>
      <c r="G203" t="inlineStr">
        <is>
          <t>HÖGSBY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46266</v>
      </c>
      <c r="F204" t="inlineStr">
        <is>
          <t>KALMAR LÄN</t>
        </is>
      </c>
      <c r="G204" t="inlineStr">
        <is>
          <t>HÖGSBY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46266</v>
      </c>
      <c r="F205" t="inlineStr">
        <is>
          <t>KALMAR LÄN</t>
        </is>
      </c>
      <c r="G205" t="inlineStr">
        <is>
          <t>HÖGSBY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46037</v>
      </c>
      <c r="E206" s="1" t="n">
        <v>46266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46266</v>
      </c>
      <c r="F207" t="inlineStr">
        <is>
          <t>KALMAR LÄN</t>
        </is>
      </c>
      <c r="G207" t="inlineStr">
        <is>
          <t>HÖGSBY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44993</v>
      </c>
      <c r="E208" s="1" t="n">
        <v>46266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7325-2025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45702</v>
      </c>
      <c r="E209" s="1" t="n">
        <v>46266</v>
      </c>
      <c r="F209" t="inlineStr">
        <is>
          <t>KALMAR LÄN</t>
        </is>
      </c>
      <c r="G209" t="inlineStr">
        <is>
          <t>HÖGSBY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44725</v>
      </c>
      <c r="E210" s="1" t="n">
        <v>46266</v>
      </c>
      <c r="F210" t="inlineStr">
        <is>
          <t>KALMAR LÄN</t>
        </is>
      </c>
      <c r="G210" t="inlineStr">
        <is>
          <t>HÖGSBY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44625</v>
      </c>
      <c r="E211" s="1" t="n">
        <v>46266</v>
      </c>
      <c r="F211" t="inlineStr">
        <is>
          <t>KALMAR LÄN</t>
        </is>
      </c>
      <c r="G211" t="inlineStr">
        <is>
          <t>HÖGSBY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46266</v>
      </c>
      <c r="F212" t="inlineStr">
        <is>
          <t>KALMAR LÄN</t>
        </is>
      </c>
      <c r="G212" t="inlineStr">
        <is>
          <t>HÖGSBY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46266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46266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46266</v>
      </c>
      <c r="F215" t="inlineStr">
        <is>
          <t>KALMAR LÄN</t>
        </is>
      </c>
      <c r="G215" t="inlineStr">
        <is>
          <t>HÖGSBY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45217</v>
      </c>
      <c r="E216" s="1" t="n">
        <v>46266</v>
      </c>
      <c r="F216" t="inlineStr">
        <is>
          <t>KALMAR LÄN</t>
        </is>
      </c>
      <c r="G216" t="inlineStr">
        <is>
          <t>HÖGSBY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7443-2026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46059</v>
      </c>
      <c r="E217" s="1" t="n">
        <v>46266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46266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46266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46266</v>
      </c>
      <c r="F220" t="inlineStr">
        <is>
          <t>KALMAR LÄN</t>
        </is>
      </c>
      <c r="G220" t="inlineStr">
        <is>
          <t>HÖGSBY</t>
        </is>
      </c>
      <c r="H220" t="inlineStr">
        <is>
          <t>Övriga Aktiebolag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45034</v>
      </c>
      <c r="E221" s="1" t="n">
        <v>46266</v>
      </c>
      <c r="F221" t="inlineStr">
        <is>
          <t>KALMAR LÄN</t>
        </is>
      </c>
      <c r="G221" t="inlineStr">
        <is>
          <t>HÖGSBY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46266</v>
      </c>
      <c r="F222" t="inlineStr">
        <is>
          <t>KALMAR LÄN</t>
        </is>
      </c>
      <c r="G222" t="inlineStr">
        <is>
          <t>HÖGSBY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45247</v>
      </c>
      <c r="E223" s="1" t="n">
        <v>46266</v>
      </c>
      <c r="F223" t="inlineStr">
        <is>
          <t>KALMAR LÄN</t>
        </is>
      </c>
      <c r="G223" t="inlineStr">
        <is>
          <t>HÖGSBY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44861</v>
      </c>
      <c r="E224" s="1" t="n">
        <v>46266</v>
      </c>
      <c r="F224" t="inlineStr">
        <is>
          <t>KALMAR LÄN</t>
        </is>
      </c>
      <c r="G224" t="inlineStr">
        <is>
          <t>HÖGSBY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46266</v>
      </c>
      <c r="F225" t="inlineStr">
        <is>
          <t>KALMAR LÄN</t>
        </is>
      </c>
      <c r="G225" t="inlineStr">
        <is>
          <t>HÖGSBY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46266</v>
      </c>
      <c r="F226" t="inlineStr">
        <is>
          <t>KALMAR LÄN</t>
        </is>
      </c>
      <c r="G226" t="inlineStr">
        <is>
          <t>HÖGSBY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46266</v>
      </c>
      <c r="F227" t="inlineStr">
        <is>
          <t>KALMAR LÄN</t>
        </is>
      </c>
      <c r="G227" t="inlineStr">
        <is>
          <t>HÖGSBY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46266</v>
      </c>
      <c r="F228" t="inlineStr">
        <is>
          <t>KALMAR LÄN</t>
        </is>
      </c>
      <c r="G228" t="inlineStr">
        <is>
          <t>HÖGSBY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46266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44966</v>
      </c>
      <c r="E230" s="1" t="n">
        <v>46266</v>
      </c>
      <c r="F230" t="inlineStr">
        <is>
          <t>KALMAR LÄN</t>
        </is>
      </c>
      <c r="G230" t="inlineStr">
        <is>
          <t>HÖGSBY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46266</v>
      </c>
      <c r="F231" t="inlineStr">
        <is>
          <t>KALMAR LÄN</t>
        </is>
      </c>
      <c r="G231" t="inlineStr">
        <is>
          <t>HÖGSBY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53413-2024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46266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46266</v>
      </c>
      <c r="F233" t="inlineStr">
        <is>
          <t>KALMAR LÄN</t>
        </is>
      </c>
      <c r="G233" t="inlineStr">
        <is>
          <t>HÖGSBY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46266</v>
      </c>
      <c r="F234" t="inlineStr">
        <is>
          <t>KALMAR LÄN</t>
        </is>
      </c>
      <c r="G234" t="inlineStr">
        <is>
          <t>HÖGSBY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46266</v>
      </c>
      <c r="F235" t="inlineStr">
        <is>
          <t>KALMAR LÄN</t>
        </is>
      </c>
      <c r="G235" t="inlineStr">
        <is>
          <t>HÖGSBY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57006-2024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45626</v>
      </c>
      <c r="E236" s="1" t="n">
        <v>46266</v>
      </c>
      <c r="F236" t="inlineStr">
        <is>
          <t>KALMAR LÄN</t>
        </is>
      </c>
      <c r="G236" t="inlineStr">
        <is>
          <t>HÖGSBY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46266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60853-2021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46266</v>
      </c>
      <c r="F238" t="inlineStr">
        <is>
          <t>KALMAR LÄN</t>
        </is>
      </c>
      <c r="G238" t="inlineStr">
        <is>
          <t>HÖGSBY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44876</v>
      </c>
      <c r="E239" s="1" t="n">
        <v>46266</v>
      </c>
      <c r="F239" t="inlineStr">
        <is>
          <t>KALMAR LÄN</t>
        </is>
      </c>
      <c r="G239" t="inlineStr">
        <is>
          <t>HÖGSBY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14894-2025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45743</v>
      </c>
      <c r="E240" s="1" t="n">
        <v>46266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63379-2023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46266</v>
      </c>
      <c r="F241" t="inlineStr">
        <is>
          <t>KALMAR LÄN</t>
        </is>
      </c>
      <c r="G241" t="inlineStr">
        <is>
          <t>HÖGSBY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54238-2021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44470</v>
      </c>
      <c r="E242" s="1" t="n">
        <v>46266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14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46107</v>
      </c>
      <c r="E243" s="1" t="n">
        <v>46266</v>
      </c>
      <c r="F243" t="inlineStr">
        <is>
          <t>KALMAR LÄN</t>
        </is>
      </c>
      <c r="G243" t="inlineStr">
        <is>
          <t>HÖGSBY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46266</v>
      </c>
      <c r="F244" t="inlineStr">
        <is>
          <t>KALMAR LÄN</t>
        </is>
      </c>
      <c r="G244" t="inlineStr">
        <is>
          <t>HÖGSBY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46266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17090-2026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46114</v>
      </c>
      <c r="E246" s="1" t="n">
        <v>46266</v>
      </c>
      <c r="F246" t="inlineStr">
        <is>
          <t>KALMAR LÄN</t>
        </is>
      </c>
      <c r="G246" t="inlineStr">
        <is>
          <t>HÖGSBY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45190</v>
      </c>
      <c r="E247" s="1" t="n">
        <v>46266</v>
      </c>
      <c r="F247" t="inlineStr">
        <is>
          <t>KALMAR LÄN</t>
        </is>
      </c>
      <c r="G247" t="inlineStr">
        <is>
          <t>HÖGSBY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46122</v>
      </c>
      <c r="E248" s="1" t="n">
        <v>46266</v>
      </c>
      <c r="F248" t="inlineStr">
        <is>
          <t>KALMAR LÄN</t>
        </is>
      </c>
      <c r="G248" t="inlineStr">
        <is>
          <t>HÖGSBY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46122</v>
      </c>
      <c r="E249" s="1" t="n">
        <v>46266</v>
      </c>
      <c r="F249" t="inlineStr">
        <is>
          <t>KALMAR LÄN</t>
        </is>
      </c>
      <c r="G249" t="inlineStr">
        <is>
          <t>HÖGSBY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45391</v>
      </c>
      <c r="E250" s="1" t="n">
        <v>46266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46266</v>
      </c>
      <c r="F251" t="inlineStr">
        <is>
          <t>KALMAR LÄN</t>
        </is>
      </c>
      <c r="G251" t="inlineStr">
        <is>
          <t>HÖGSBY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46266</v>
      </c>
      <c r="F252" t="inlineStr">
        <is>
          <t>KALMAR LÄN</t>
        </is>
      </c>
      <c r="G252" t="inlineStr">
        <is>
          <t>HÖGSBY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46266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16766-2025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46266</v>
      </c>
      <c r="F254" t="inlineStr">
        <is>
          <t>KALMAR LÄN</t>
        </is>
      </c>
      <c r="G254" t="inlineStr">
        <is>
          <t>HÖGSBY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46266</v>
      </c>
      <c r="F255" t="inlineStr">
        <is>
          <t>KALMAR LÄN</t>
        </is>
      </c>
      <c r="G255" t="inlineStr">
        <is>
          <t>HÖGSBY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46266</v>
      </c>
      <c r="F256" t="inlineStr">
        <is>
          <t>KALMAR LÄN</t>
        </is>
      </c>
      <c r="G256" t="inlineStr">
        <is>
          <t>HÖGSBY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26545-2024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45469</v>
      </c>
      <c r="E257" s="1" t="n">
        <v>46266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46266</v>
      </c>
      <c r="F258" t="inlineStr">
        <is>
          <t>KALMAR LÄN</t>
        </is>
      </c>
      <c r="G258" t="inlineStr">
        <is>
          <t>HÖGSBY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45348</v>
      </c>
      <c r="E259" s="1" t="n">
        <v>46266</v>
      </c>
      <c r="F259" t="inlineStr">
        <is>
          <t>KALMAR LÄN</t>
        </is>
      </c>
      <c r="G259" t="inlineStr">
        <is>
          <t>HÖGSBY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46266</v>
      </c>
      <c r="F260" t="inlineStr">
        <is>
          <t>KALMAR LÄN</t>
        </is>
      </c>
      <c r="G260" t="inlineStr">
        <is>
          <t>HÖGSBY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46266</v>
      </c>
      <c r="F261" t="inlineStr">
        <is>
          <t>KALMAR LÄN</t>
        </is>
      </c>
      <c r="G261" t="inlineStr">
        <is>
          <t>HÖGSBY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46266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45348</v>
      </c>
      <c r="E263" s="1" t="n">
        <v>46266</v>
      </c>
      <c r="F263" t="inlineStr">
        <is>
          <t>KALMAR LÄN</t>
        </is>
      </c>
      <c r="G263" t="inlineStr">
        <is>
          <t>HÖGSBY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46266</v>
      </c>
      <c r="F264" t="inlineStr">
        <is>
          <t>KALMAR LÄN</t>
        </is>
      </c>
      <c r="G264" t="inlineStr">
        <is>
          <t>HÖGSBY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8463-2023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46266</v>
      </c>
      <c r="F265" t="inlineStr">
        <is>
          <t>KALMAR LÄN</t>
        </is>
      </c>
      <c r="G265" t="inlineStr">
        <is>
          <t>HÖGSBY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46266</v>
      </c>
      <c r="F266" t="inlineStr">
        <is>
          <t>KALMAR LÄN</t>
        </is>
      </c>
      <c r="G266" t="inlineStr">
        <is>
          <t>HÖGSBY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45113</v>
      </c>
      <c r="E267" s="1" t="n">
        <v>46266</v>
      </c>
      <c r="F267" t="inlineStr">
        <is>
          <t>KALMAR LÄN</t>
        </is>
      </c>
      <c r="G267" t="inlineStr">
        <is>
          <t>HÖGSBY</t>
        </is>
      </c>
      <c r="I267" t="n">
        <v>11.6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44879</v>
      </c>
      <c r="E268" s="1" t="n">
        <v>46266</v>
      </c>
      <c r="F268" t="inlineStr">
        <is>
          <t>KALMAR LÄN</t>
        </is>
      </c>
      <c r="G268" t="inlineStr">
        <is>
          <t>HÖGSBY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45360</v>
      </c>
      <c r="E269" s="1" t="n">
        <v>46266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59409-2022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46266</v>
      </c>
      <c r="F270" t="inlineStr">
        <is>
          <t>KALMAR LÄN</t>
        </is>
      </c>
      <c r="G270" t="inlineStr">
        <is>
          <t>HÖGSBY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46266</v>
      </c>
      <c r="F271" t="inlineStr">
        <is>
          <t>KALMAR LÄN</t>
        </is>
      </c>
      <c r="G271" t="inlineStr">
        <is>
          <t>HÖGSBY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45588</v>
      </c>
      <c r="E272" s="1" t="n">
        <v>46266</v>
      </c>
      <c r="F272" t="inlineStr">
        <is>
          <t>KALMAR LÄN</t>
        </is>
      </c>
      <c r="G272" t="inlineStr">
        <is>
          <t>HÖGSBY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45707</v>
      </c>
      <c r="E273" s="1" t="n">
        <v>46266</v>
      </c>
      <c r="F273" t="inlineStr">
        <is>
          <t>KALMAR LÄN</t>
        </is>
      </c>
      <c r="G273" t="inlineStr">
        <is>
          <t>HÖGSBY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22524-2024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45447</v>
      </c>
      <c r="E274" s="1" t="n">
        <v>46266</v>
      </c>
      <c r="F274" t="inlineStr">
        <is>
          <t>KALMAR LÄN</t>
        </is>
      </c>
      <c r="G274" t="inlineStr">
        <is>
          <t>HÖGSBY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45951</v>
      </c>
      <c r="E275" s="1" t="n">
        <v>46266</v>
      </c>
      <c r="F275" t="inlineStr">
        <is>
          <t>KALMAR LÄN</t>
        </is>
      </c>
      <c r="G275" t="inlineStr">
        <is>
          <t>HÖGSBY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37497-2022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44809</v>
      </c>
      <c r="E276" s="1" t="n">
        <v>46266</v>
      </c>
      <c r="F276" t="inlineStr">
        <is>
          <t>KALMAR LÄN</t>
        </is>
      </c>
      <c r="G276" t="inlineStr">
        <is>
          <t>HÖGSBY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46266</v>
      </c>
      <c r="F277" t="inlineStr">
        <is>
          <t>KALMAR LÄN</t>
        </is>
      </c>
      <c r="G277" t="inlineStr">
        <is>
          <t>HÖGSBY</t>
        </is>
      </c>
      <c r="H277" t="inlineStr">
        <is>
          <t>Kommuner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45126</v>
      </c>
      <c r="E278" s="1" t="n">
        <v>46266</v>
      </c>
      <c r="F278" t="inlineStr">
        <is>
          <t>KALMAR LÄN</t>
        </is>
      </c>
      <c r="G278" t="inlineStr">
        <is>
          <t>HÖGSBY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41619-2025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46266</v>
      </c>
      <c r="F279" t="inlineStr">
        <is>
          <t>KALMAR LÄN</t>
        </is>
      </c>
      <c r="G279" t="inlineStr">
        <is>
          <t>HÖGSBY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46266</v>
      </c>
      <c r="F280" t="inlineStr">
        <is>
          <t>KALMAR LÄN</t>
        </is>
      </c>
      <c r="G280" t="inlineStr">
        <is>
          <t>HÖGSBY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50414-2024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46266</v>
      </c>
      <c r="F281" t="inlineStr">
        <is>
          <t>KALMAR LÄN</t>
        </is>
      </c>
      <c r="G281" t="inlineStr">
        <is>
          <t>HÖGSBY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31429-2023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46266</v>
      </c>
      <c r="F282" t="inlineStr">
        <is>
          <t>KALMAR LÄN</t>
        </is>
      </c>
      <c r="G282" t="inlineStr">
        <is>
          <t>HÖGSBY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63508-2025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46266</v>
      </c>
      <c r="F283" t="inlineStr">
        <is>
          <t>KALMAR LÄN</t>
        </is>
      </c>
      <c r="G283" t="inlineStr">
        <is>
          <t>HÖGSBY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45804</v>
      </c>
      <c r="E284" s="1" t="n">
        <v>46266</v>
      </c>
      <c r="F284" t="inlineStr">
        <is>
          <t>KALMAR LÄN</t>
        </is>
      </c>
      <c r="G284" t="inlineStr">
        <is>
          <t>HÖGSBY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45624</v>
      </c>
      <c r="E285" s="1" t="n">
        <v>46266</v>
      </c>
      <c r="F285" t="inlineStr">
        <is>
          <t>KALMAR LÄN</t>
        </is>
      </c>
      <c r="G285" t="inlineStr">
        <is>
          <t>HÖGSBY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6478-2022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46266</v>
      </c>
      <c r="F286" t="inlineStr">
        <is>
          <t>KALMAR LÄN</t>
        </is>
      </c>
      <c r="G286" t="inlineStr">
        <is>
          <t>HÖGSBY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45160</v>
      </c>
      <c r="E287" s="1" t="n">
        <v>46266</v>
      </c>
      <c r="F287" t="inlineStr">
        <is>
          <t>KALMAR LÄN</t>
        </is>
      </c>
      <c r="G287" t="inlineStr">
        <is>
          <t>HÖGSBY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39892-2024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46266</v>
      </c>
      <c r="F288" t="inlineStr">
        <is>
          <t>KALMAR LÄN</t>
        </is>
      </c>
      <c r="G288" t="inlineStr">
        <is>
          <t>HÖGSBY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47503-2023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45203</v>
      </c>
      <c r="E289" s="1" t="n">
        <v>46266</v>
      </c>
      <c r="F289" t="inlineStr">
        <is>
          <t>KALMAR LÄN</t>
        </is>
      </c>
      <c r="G289" t="inlineStr">
        <is>
          <t>HÖGSBY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45175</v>
      </c>
      <c r="E290" s="1" t="n">
        <v>46266</v>
      </c>
      <c r="F290" t="inlineStr">
        <is>
          <t>KALMAR LÄN</t>
        </is>
      </c>
      <c r="G290" t="inlineStr">
        <is>
          <t>HÖGSBY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38802-2024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45547</v>
      </c>
      <c r="E291" s="1" t="n">
        <v>46266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50458-2022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44866</v>
      </c>
      <c r="E292" s="1" t="n">
        <v>46266</v>
      </c>
      <c r="F292" t="inlineStr">
        <is>
          <t>KALMAR LÄN</t>
        </is>
      </c>
      <c r="G292" t="inlineStr">
        <is>
          <t>HÖGSBY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46266</v>
      </c>
      <c r="F293" t="inlineStr">
        <is>
          <t>KALMAR LÄN</t>
        </is>
      </c>
      <c r="G293" t="inlineStr">
        <is>
          <t>HÖGSBY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45700</v>
      </c>
      <c r="E294" s="1" t="n">
        <v>46266</v>
      </c>
      <c r="F294" t="inlineStr">
        <is>
          <t>KALMAR LÄN</t>
        </is>
      </c>
      <c r="G294" t="inlineStr">
        <is>
          <t>HÖGSBY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60555-2021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46266</v>
      </c>
      <c r="F295" t="inlineStr">
        <is>
          <t>KALMAR LÄN</t>
        </is>
      </c>
      <c r="G295" t="inlineStr">
        <is>
          <t>HÖGSBY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46150</v>
      </c>
      <c r="E296" s="1" t="n">
        <v>46266</v>
      </c>
      <c r="F296" t="inlineStr">
        <is>
          <t>KALMAR LÄN</t>
        </is>
      </c>
      <c r="G296" t="inlineStr">
        <is>
          <t>HÖGSBY</t>
        </is>
      </c>
      <c r="H296" t="inlineStr">
        <is>
          <t>Kommuner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22562-2026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46155</v>
      </c>
      <c r="E297" s="1" t="n">
        <v>46266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22564-2026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46155</v>
      </c>
      <c r="E298" s="1" t="n">
        <v>46266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30294-2022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44760</v>
      </c>
      <c r="E299" s="1" t="n">
        <v>46266</v>
      </c>
      <c r="F299" t="inlineStr">
        <is>
          <t>KALMAR LÄN</t>
        </is>
      </c>
      <c r="G299" t="inlineStr">
        <is>
          <t>HÖGSBY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47443-2025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46266</v>
      </c>
      <c r="F300" t="inlineStr">
        <is>
          <t>KALMAR LÄN</t>
        </is>
      </c>
      <c r="G300" t="inlineStr">
        <is>
          <t>HÖGSBY</t>
        </is>
      </c>
      <c r="H300" t="inlineStr">
        <is>
          <t>Kyrkan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53328-2022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44879</v>
      </c>
      <c r="E301" s="1" t="n">
        <v>46266</v>
      </c>
      <c r="F301" t="inlineStr">
        <is>
          <t>KALMAR LÄN</t>
        </is>
      </c>
      <c r="G301" t="inlineStr">
        <is>
          <t>HÖGSBY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46157</v>
      </c>
      <c r="E302" s="1" t="n">
        <v>46266</v>
      </c>
      <c r="F302" t="inlineStr">
        <is>
          <t>KALMAR LÄN</t>
        </is>
      </c>
      <c r="G302" t="inlineStr">
        <is>
          <t>HÖGSBY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10409-2023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44987</v>
      </c>
      <c r="E303" s="1" t="n">
        <v>46266</v>
      </c>
      <c r="F303" t="inlineStr">
        <is>
          <t>KALMAR LÄN</t>
        </is>
      </c>
      <c r="G303" t="inlineStr">
        <is>
          <t>HÖGSBY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46157</v>
      </c>
      <c r="E304" s="1" t="n">
        <v>46266</v>
      </c>
      <c r="F304" t="inlineStr">
        <is>
          <t>KALMAR LÄN</t>
        </is>
      </c>
      <c r="G304" t="inlineStr">
        <is>
          <t>HÖGSBY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46161</v>
      </c>
      <c r="E305" s="1" t="n">
        <v>46266</v>
      </c>
      <c r="F305" t="inlineStr">
        <is>
          <t>KALMAR LÄN</t>
        </is>
      </c>
      <c r="G305" t="inlineStr">
        <is>
          <t>HÖGSBY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46266</v>
      </c>
      <c r="F306" t="inlineStr">
        <is>
          <t>KALMAR LÄN</t>
        </is>
      </c>
      <c r="G306" t="inlineStr">
        <is>
          <t>HÖGSBY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62562-2022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46266</v>
      </c>
      <c r="F307" t="inlineStr">
        <is>
          <t>KALMAR LÄN</t>
        </is>
      </c>
      <c r="G307" t="inlineStr">
        <is>
          <t>HÖGSBY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23209-2026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46266</v>
      </c>
      <c r="F308" t="inlineStr">
        <is>
          <t>KALMAR LÄN</t>
        </is>
      </c>
      <c r="G308" t="inlineStr">
        <is>
          <t>HÖGSBY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23937-2026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46167</v>
      </c>
      <c r="E309" s="1" t="n">
        <v>46266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46266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39629-2024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46266</v>
      </c>
      <c r="F311" t="inlineStr">
        <is>
          <t>KALMAR LÄN</t>
        </is>
      </c>
      <c r="G311" t="inlineStr">
        <is>
          <t>HÖGSBY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46266</v>
      </c>
      <c r="F312" t="inlineStr">
        <is>
          <t>KALMAR LÄN</t>
        </is>
      </c>
      <c r="G312" t="inlineStr">
        <is>
          <t>HÖGSBY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46266</v>
      </c>
      <c r="F313" t="inlineStr">
        <is>
          <t>KALMAR LÄN</t>
        </is>
      </c>
      <c r="G313" t="inlineStr">
        <is>
          <t>HÖGSBY</t>
        </is>
      </c>
      <c r="H313" t="inlineStr">
        <is>
          <t>Övriga Aktiebolag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46169</v>
      </c>
      <c r="E314" s="1" t="n">
        <v>46266</v>
      </c>
      <c r="F314" t="inlineStr">
        <is>
          <t>KALMAR LÄN</t>
        </is>
      </c>
      <c r="G314" t="inlineStr">
        <is>
          <t>HÖGSBY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50428-2024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46266</v>
      </c>
      <c r="F315" t="inlineStr">
        <is>
          <t>KALMAR LÄN</t>
        </is>
      </c>
      <c r="G315" t="inlineStr">
        <is>
          <t>HÖGSBY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46266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24601-2024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45460</v>
      </c>
      <c r="E317" s="1" t="n">
        <v>46266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45247</v>
      </c>
      <c r="E318" s="1" t="n">
        <v>46266</v>
      </c>
      <c r="F318" t="inlineStr">
        <is>
          <t>KALMAR LÄN</t>
        </is>
      </c>
      <c r="G318" t="inlineStr">
        <is>
          <t>HÖGSBY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46266</v>
      </c>
      <c r="F319" t="inlineStr">
        <is>
          <t>KALMAR LÄN</t>
        </is>
      </c>
      <c r="G319" t="inlineStr">
        <is>
          <t>HÖGSBY</t>
        </is>
      </c>
      <c r="H319" t="inlineStr">
        <is>
          <t>Kommuner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65130-2023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45288</v>
      </c>
      <c r="E320" s="1" t="n">
        <v>46266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46266</v>
      </c>
      <c r="F321" t="inlineStr">
        <is>
          <t>KALMAR LÄN</t>
        </is>
      </c>
      <c r="G321" t="inlineStr">
        <is>
          <t>HÖGSBY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45341</v>
      </c>
      <c r="E322" s="1" t="n">
        <v>46266</v>
      </c>
      <c r="F322" t="inlineStr">
        <is>
          <t>KALMAR LÄN</t>
        </is>
      </c>
      <c r="G322" t="inlineStr">
        <is>
          <t>HÖGSBY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46266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49486-2022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46266</v>
      </c>
      <c r="F324" t="inlineStr">
        <is>
          <t>KALMAR LÄN</t>
        </is>
      </c>
      <c r="G324" t="inlineStr">
        <is>
          <t>HÖGSBY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46266</v>
      </c>
      <c r="F325" t="inlineStr">
        <is>
          <t>KALMAR LÄN</t>
        </is>
      </c>
      <c r="G325" t="inlineStr">
        <is>
          <t>HÖGSBY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46266</v>
      </c>
      <c r="F326" t="inlineStr">
        <is>
          <t>KALMAR LÄN</t>
        </is>
      </c>
      <c r="G326" t="inlineStr">
        <is>
          <t>HÖGSBY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45183</v>
      </c>
      <c r="E327" s="1" t="n">
        <v>46266</v>
      </c>
      <c r="F327" t="inlineStr">
        <is>
          <t>KALMAR LÄN</t>
        </is>
      </c>
      <c r="G327" t="inlineStr">
        <is>
          <t>HÖGSBY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26151-2026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46266</v>
      </c>
      <c r="F328" t="inlineStr">
        <is>
          <t>KALMAR LÄN</t>
        </is>
      </c>
      <c r="G328" t="inlineStr">
        <is>
          <t>HÖGSBY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46266</v>
      </c>
      <c r="F329" t="inlineStr">
        <is>
          <t>KALMAR LÄN</t>
        </is>
      </c>
      <c r="G329" t="inlineStr">
        <is>
          <t>HÖGSBY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46266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46266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46266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46266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45239</v>
      </c>
      <c r="E334" s="1" t="n">
        <v>46266</v>
      </c>
      <c r="F334" t="inlineStr">
        <is>
          <t>KALMAR LÄN</t>
        </is>
      </c>
      <c r="G334" t="inlineStr">
        <is>
          <t>HÖGSBY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46184</v>
      </c>
      <c r="E335" s="1" t="n">
        <v>46266</v>
      </c>
      <c r="F335" t="inlineStr">
        <is>
          <t>KALMAR LÄN</t>
        </is>
      </c>
      <c r="G335" t="inlineStr">
        <is>
          <t>HÖGSBY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46184</v>
      </c>
      <c r="E336" s="1" t="n">
        <v>46266</v>
      </c>
      <c r="F336" t="inlineStr">
        <is>
          <t>KALMAR LÄN</t>
        </is>
      </c>
      <c r="G336" t="inlineStr">
        <is>
          <t>HÖGSBY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26967-2026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46185</v>
      </c>
      <c r="E337" s="1" t="n">
        <v>46266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59408-2022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44907</v>
      </c>
      <c r="E338" s="1" t="n">
        <v>46266</v>
      </c>
      <c r="F338" t="inlineStr">
        <is>
          <t>KALMAR LÄN</t>
        </is>
      </c>
      <c r="G338" t="inlineStr">
        <is>
          <t>HÖGSBY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46266</v>
      </c>
      <c r="F339" t="inlineStr">
        <is>
          <t>KALMAR LÄN</t>
        </is>
      </c>
      <c r="G339" t="inlineStr">
        <is>
          <t>HÖGSBY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46266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46266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56339-2024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45624</v>
      </c>
      <c r="E342" s="1" t="n">
        <v>46266</v>
      </c>
      <c r="F342" t="inlineStr">
        <is>
          <t>KALMAR LÄN</t>
        </is>
      </c>
      <c r="G342" t="inlineStr">
        <is>
          <t>HÖGSBY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46266</v>
      </c>
      <c r="F343" t="inlineStr">
        <is>
          <t>KALMAR LÄN</t>
        </is>
      </c>
      <c r="G343" t="inlineStr">
        <is>
          <t>HÖGSBY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45544</v>
      </c>
      <c r="E344" s="1" t="n">
        <v>46266</v>
      </c>
      <c r="F344" t="inlineStr">
        <is>
          <t>KALMAR LÄN</t>
        </is>
      </c>
      <c r="G344" t="inlineStr">
        <is>
          <t>HÖGSBY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44953</v>
      </c>
      <c r="E345" s="1" t="n">
        <v>46266</v>
      </c>
      <c r="F345" t="inlineStr">
        <is>
          <t>KALMAR LÄN</t>
        </is>
      </c>
      <c r="G345" t="inlineStr">
        <is>
          <t>HÖGSBY</t>
        </is>
      </c>
      <c r="H345" t="inlineStr">
        <is>
          <t>Övriga Aktiebolag</t>
        </is>
      </c>
      <c r="I345" t="n">
        <v>15.2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46266</v>
      </c>
      <c r="F346" t="inlineStr">
        <is>
          <t>KALMAR LÄN</t>
        </is>
      </c>
      <c r="G346" t="inlineStr">
        <is>
          <t>HÖGSBY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46266</v>
      </c>
      <c r="F347" t="inlineStr">
        <is>
          <t>KALMAR LÄN</t>
        </is>
      </c>
      <c r="G347" t="inlineStr">
        <is>
          <t>HÖGSBY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44939</v>
      </c>
      <c r="E348" s="1" t="n">
        <v>46266</v>
      </c>
      <c r="F348" t="inlineStr">
        <is>
          <t>KALMAR LÄN</t>
        </is>
      </c>
      <c r="G348" t="inlineStr">
        <is>
          <t>HÖGSBY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45614</v>
      </c>
      <c r="E349" s="1" t="n">
        <v>46266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46266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46266</v>
      </c>
      <c r="F351" t="inlineStr">
        <is>
          <t>KALMAR LÄN</t>
        </is>
      </c>
      <c r="G351" t="inlineStr">
        <is>
          <t>HÖGSBY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46329-2024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45581</v>
      </c>
      <c r="E352" s="1" t="n">
        <v>46266</v>
      </c>
      <c r="F352" t="inlineStr">
        <is>
          <t>KALMAR LÄN</t>
        </is>
      </c>
      <c r="G352" t="inlineStr">
        <is>
          <t>HÖGSBY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45692</v>
      </c>
      <c r="E353" s="1" t="n">
        <v>46266</v>
      </c>
      <c r="F353" t="inlineStr">
        <is>
          <t>KALMAR LÄN</t>
        </is>
      </c>
      <c r="G353" t="inlineStr">
        <is>
          <t>HÖGSBY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32228-2026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46237</v>
      </c>
      <c r="E354" s="1" t="n">
        <v>46266</v>
      </c>
      <c r="F354" t="inlineStr">
        <is>
          <t>KALMAR LÄN</t>
        </is>
      </c>
      <c r="G354" t="inlineStr">
        <is>
          <t>HÖGSBY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44866</v>
      </c>
      <c r="E355" s="1" t="n">
        <v>46266</v>
      </c>
      <c r="F355" t="inlineStr">
        <is>
          <t>KALMAR LÄN</t>
        </is>
      </c>
      <c r="G355" t="inlineStr">
        <is>
          <t>HÖGSBY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46266</v>
      </c>
      <c r="F356" t="inlineStr">
        <is>
          <t>KALMAR LÄN</t>
        </is>
      </c>
      <c r="G356" t="inlineStr">
        <is>
          <t>HÖGSBY</t>
        </is>
      </c>
      <c r="H356" t="inlineStr">
        <is>
          <t>Kommuner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46266</v>
      </c>
      <c r="F357" t="inlineStr">
        <is>
          <t>KALMAR LÄN</t>
        </is>
      </c>
      <c r="G357" t="inlineStr">
        <is>
          <t>HÖGSBY</t>
        </is>
      </c>
      <c r="H357" t="inlineStr">
        <is>
          <t>Kommuner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28702-2026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46198</v>
      </c>
      <c r="E358" s="1" t="n">
        <v>46266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28692-2026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46198</v>
      </c>
      <c r="E359" s="1" t="n">
        <v>46266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28691-2026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46198</v>
      </c>
      <c r="E360" s="1" t="n">
        <v>46266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28697-2026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46198</v>
      </c>
      <c r="E361" s="1" t="n">
        <v>46266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46266</v>
      </c>
      <c r="F362" t="inlineStr">
        <is>
          <t>KALMAR LÄN</t>
        </is>
      </c>
      <c r="G362" t="inlineStr">
        <is>
          <t>HÖGSBY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46266</v>
      </c>
      <c r="F363" t="inlineStr">
        <is>
          <t>KALMAR LÄN</t>
        </is>
      </c>
      <c r="G363" t="inlineStr">
        <is>
          <t>HÖGSBY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46266</v>
      </c>
      <c r="F364" t="inlineStr">
        <is>
          <t>KALMAR LÄN</t>
        </is>
      </c>
      <c r="G364" t="inlineStr">
        <is>
          <t>HÖGSBY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28713-2026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46198</v>
      </c>
      <c r="E365" s="1" t="n">
        <v>46266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46266</v>
      </c>
      <c r="F366" t="inlineStr">
        <is>
          <t>KALMAR LÄN</t>
        </is>
      </c>
      <c r="G366" t="inlineStr">
        <is>
          <t>HÖGSBY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46266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28808-2026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46266</v>
      </c>
      <c r="F368" t="inlineStr">
        <is>
          <t>KALMAR LÄN</t>
        </is>
      </c>
      <c r="G368" t="inlineStr">
        <is>
          <t>HÖGSBY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46266</v>
      </c>
      <c r="F369" t="inlineStr">
        <is>
          <t>KALMAR LÄN</t>
        </is>
      </c>
      <c r="G369" t="inlineStr">
        <is>
          <t>HÖGSBY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46266</v>
      </c>
      <c r="F370" t="inlineStr">
        <is>
          <t>KALMAR LÄN</t>
        </is>
      </c>
      <c r="G370" t="inlineStr">
        <is>
          <t>HÖGSBY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46266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46266</v>
      </c>
      <c r="F372" t="inlineStr">
        <is>
          <t>KALMAR LÄN</t>
        </is>
      </c>
      <c r="G372" t="inlineStr">
        <is>
          <t>HÖGSBY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46266</v>
      </c>
      <c r="F373" t="inlineStr">
        <is>
          <t>KALMAR LÄN</t>
        </is>
      </c>
      <c r="G373" t="inlineStr">
        <is>
          <t>HÖGSBY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46266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46266</v>
      </c>
      <c r="F375" t="inlineStr">
        <is>
          <t>KALMAR LÄN</t>
        </is>
      </c>
      <c r="G375" t="inlineStr">
        <is>
          <t>HÖGSBY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33788-2026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46251</v>
      </c>
      <c r="E376" s="1" t="n">
        <v>46266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46266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46266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10.7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46266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46266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513-2023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44966</v>
      </c>
      <c r="E381" s="1" t="n">
        <v>46266</v>
      </c>
      <c r="F381" t="inlineStr">
        <is>
          <t>KALMAR LÄN</t>
        </is>
      </c>
      <c r="G381" t="inlineStr">
        <is>
          <t>HÖGSBY</t>
        </is>
      </c>
      <c r="I381" t="n">
        <v>12.4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4463-2022</t>
        </is>
      </c>
      <c r="B382" t="inlineStr">
        <is>
          <t>samrådsanmälan</t>
        </is>
      </c>
      <c r="C382" t="inlineStr">
        <is>
          <t>Åtgärd i nyckelbiotop</t>
        </is>
      </c>
      <c r="D382" s="1" t="n">
        <v>44788</v>
      </c>
      <c r="E382" s="1" t="n">
        <v>46266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3208-2024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45524</v>
      </c>
      <c r="E383" s="1" t="n">
        <v>46266</v>
      </c>
      <c r="F383" t="inlineStr">
        <is>
          <t>KALMAR LÄN</t>
        </is>
      </c>
      <c r="G383" t="inlineStr">
        <is>
          <t>HÖGSBY</t>
        </is>
      </c>
      <c r="I383" t="n">
        <v>23.3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7006-2022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44903</v>
      </c>
      <c r="E384" s="1" t="n">
        <v>46266</v>
      </c>
      <c r="F384" t="inlineStr">
        <is>
          <t>KALMAR LÄN</t>
        </is>
      </c>
      <c r="G384" t="inlineStr">
        <is>
          <t>HÖGSBY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514-2023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44966</v>
      </c>
      <c r="E385" s="1" t="n">
        <v>46266</v>
      </c>
      <c r="F385" t="inlineStr">
        <is>
          <t>KALMAR LÄN</t>
        </is>
      </c>
      <c r="G385" t="inlineStr">
        <is>
          <t>HÖGSBY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512-2023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46266</v>
      </c>
      <c r="F386" t="inlineStr">
        <is>
          <t>KALMAR LÄN</t>
        </is>
      </c>
      <c r="G386" t="inlineStr">
        <is>
          <t>HÖGSBY</t>
        </is>
      </c>
      <c r="I386" t="n">
        <v>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2564-2023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45140</v>
      </c>
      <c r="E387" s="1" t="n">
        <v>46266</v>
      </c>
      <c r="F387" t="inlineStr">
        <is>
          <t>KALMAR LÄN</t>
        </is>
      </c>
      <c r="G387" t="inlineStr">
        <is>
          <t>HÖGSBY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46266</v>
      </c>
      <c r="F388" t="inlineStr">
        <is>
          <t>KALMAR LÄN</t>
        </is>
      </c>
      <c r="G388" t="inlineStr">
        <is>
          <t>HÖGSBY</t>
        </is>
      </c>
      <c r="I388" t="n">
        <v>28.7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566-2022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44592</v>
      </c>
      <c r="E389" s="1" t="n">
        <v>46266</v>
      </c>
      <c r="F389" t="inlineStr">
        <is>
          <t>KALMAR LÄN</t>
        </is>
      </c>
      <c r="G389" t="inlineStr">
        <is>
          <t>HÖGSBY</t>
        </is>
      </c>
      <c r="I389" t="n">
        <v>15.1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5035-2024</t>
        </is>
      </c>
      <c r="B390" t="inlineStr">
        <is>
          <t>samrådsanmälan</t>
        </is>
      </c>
      <c r="C390" t="inlineStr">
        <is>
          <t>Stubbskörd</t>
        </is>
      </c>
      <c r="D390" s="1" t="n">
        <v>45636</v>
      </c>
      <c r="E390" s="1" t="n">
        <v>46266</v>
      </c>
      <c r="F390" t="inlineStr">
        <is>
          <t>KALMAR LÄN</t>
        </is>
      </c>
      <c r="G390" t="inlineStr">
        <is>
          <t>HÖGSBY</t>
        </is>
      </c>
      <c r="I390" t="n">
        <v>14.2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561-2022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44592</v>
      </c>
      <c r="E391" s="1" t="n">
        <v>46266</v>
      </c>
      <c r="F391" t="inlineStr">
        <is>
          <t>KALMAR LÄN</t>
        </is>
      </c>
      <c r="G391" t="inlineStr">
        <is>
          <t>HÖGSBY</t>
        </is>
      </c>
      <c r="I391" t="n">
        <v>30.3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2021-2025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45835</v>
      </c>
      <c r="E392" s="1" t="n">
        <v>46266</v>
      </c>
      <c r="F392" t="inlineStr">
        <is>
          <t>KALMAR LÄN</t>
        </is>
      </c>
      <c r="G392" t="inlineStr">
        <is>
          <t>HÖGSBY</t>
        </is>
      </c>
      <c r="I392" t="n">
        <v>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379-2023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44958</v>
      </c>
      <c r="E393" s="1" t="n">
        <v>46266</v>
      </c>
      <c r="F393" t="inlineStr">
        <is>
          <t>KALMAR LÄN</t>
        </is>
      </c>
      <c r="G393" t="inlineStr">
        <is>
          <t>HÖGSBY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351-2023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46266</v>
      </c>
      <c r="F394" t="inlineStr">
        <is>
          <t>KALMAR LÄN</t>
        </is>
      </c>
      <c r="G394" t="inlineStr">
        <is>
          <t>HÖGSBY</t>
        </is>
      </c>
      <c r="I394" t="n">
        <v>21.3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2809-2025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45938</v>
      </c>
      <c r="E395" s="1" t="n">
        <v>46266</v>
      </c>
      <c r="F395" t="inlineStr">
        <is>
          <t>KALMAR LÄN</t>
        </is>
      </c>
      <c r="G395" t="inlineStr">
        <is>
          <t>HÖGSBY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1031-2026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46125</v>
      </c>
      <c r="E396" s="1" t="n">
        <v>46266</v>
      </c>
      <c r="F396" t="inlineStr">
        <is>
          <t>KALMAR LÄN</t>
        </is>
      </c>
      <c r="G396" t="inlineStr">
        <is>
          <t>HÖGSBY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1417-2026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46155</v>
      </c>
      <c r="E397" s="1" t="n">
        <v>46266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46266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1846-2026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46198</v>
      </c>
      <c r="E399" s="1" t="n">
        <v>46266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46266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1847-2026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46266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1866-2026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46199</v>
      </c>
      <c r="E402" s="1" t="n">
        <v>46266</v>
      </c>
      <c r="F402" t="inlineStr">
        <is>
          <t>KALMAR LÄN</t>
        </is>
      </c>
      <c r="G402" t="inlineStr">
        <is>
          <t>HÖGSBY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46203</v>
      </c>
      <c r="E403" s="1" t="n">
        <v>46266</v>
      </c>
      <c r="F403" t="inlineStr">
        <is>
          <t>KALMAR LÄN</t>
        </is>
      </c>
      <c r="G403" t="inlineStr">
        <is>
          <t>HÖGSBY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2165-2026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46251</v>
      </c>
      <c r="E404" s="1" t="n">
        <v>46266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2026-09-01T02:05:14Z</dcterms:created>
  <dcterms:modified xmlns:dcterms="http://purl.org/dc/terms/" xmlns:xsi="http://www.w3.org/2001/XMLSchema-instance" xsi:type="dcterms:W3CDTF">2026-09-01T02:05:14Z</dcterms:modified>
</cp:coreProperties>
</file>