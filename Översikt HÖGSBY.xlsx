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45753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45753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45753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45753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45753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45753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45753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45753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45753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45753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45753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45753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45753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45753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45753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45753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45753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45753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45753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45753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45753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45753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45753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45753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45753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45753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45753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45753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45753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45753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45753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45753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50746-2022</t>
        </is>
      </c>
      <c r="B34" s="1" t="n">
        <v>44867</v>
      </c>
      <c r="C34" s="1" t="n">
        <v>45753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Blåsippa</t>
        </is>
      </c>
      <c r="S34">
        <f>HYPERLINK("https://klasma.github.io/Logging_0821/artfynd/A 50746-2022 artfynd.xlsx", "A 50746-2022")</f>
        <v/>
      </c>
      <c r="T34">
        <f>HYPERLINK("https://klasma.github.io/Logging_0821/kartor/A 50746-2022 karta.png", "A 50746-2022")</f>
        <v/>
      </c>
      <c r="V34">
        <f>HYPERLINK("https://klasma.github.io/Logging_0821/klagomål/A 50746-2022 FSC-klagomål.docx", "A 50746-2022")</f>
        <v/>
      </c>
      <c r="W34">
        <f>HYPERLINK("https://klasma.github.io/Logging_0821/klagomålsmail/A 50746-2022 FSC-klagomål mail.docx", "A 50746-2022")</f>
        <v/>
      </c>
      <c r="X34">
        <f>HYPERLINK("https://klasma.github.io/Logging_0821/tillsyn/A 50746-2022 tillsynsbegäran.docx", "A 50746-2022")</f>
        <v/>
      </c>
      <c r="Y34">
        <f>HYPERLINK("https://klasma.github.io/Logging_0821/tillsynsmail/A 50746-2022 tillsynsbegäran mail.docx", "A 50746-2022")</f>
        <v/>
      </c>
      <c r="Z34">
        <f>HYPERLINK("https://klasma.github.io/Logging_0821/fåglar/A 50746-2022 prioriterade fågelarter.docx", "A 50746-2022")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45753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45753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45753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45753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42668-2023</t>
        </is>
      </c>
      <c r="B39" s="1" t="n">
        <v>45181</v>
      </c>
      <c r="C39" s="1" t="n">
        <v>45753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Skogshare
Bronshjon</t>
        </is>
      </c>
      <c r="S39">
        <f>HYPERLINK("https://klasma.github.io/Logging_0821/artfynd/A 42668-2023 artfynd.xlsx", "A 42668-2023")</f>
        <v/>
      </c>
      <c r="T39">
        <f>HYPERLINK("https://klasma.github.io/Logging_0821/kartor/A 42668-2023 karta.png", "A 42668-2023")</f>
        <v/>
      </c>
      <c r="V39">
        <f>HYPERLINK("https://klasma.github.io/Logging_0821/klagomål/A 42668-2023 FSC-klagomål.docx", "A 42668-2023")</f>
        <v/>
      </c>
      <c r="W39">
        <f>HYPERLINK("https://klasma.github.io/Logging_0821/klagomålsmail/A 42668-2023 FSC-klagomål mail.docx", "A 42668-2023")</f>
        <v/>
      </c>
      <c r="X39">
        <f>HYPERLINK("https://klasma.github.io/Logging_0821/tillsyn/A 42668-2023 tillsynsbegäran.docx", "A 42668-2023")</f>
        <v/>
      </c>
      <c r="Y39">
        <f>HYPERLINK("https://klasma.github.io/Logging_0821/tillsynsmail/A 42668-2023 tillsynsbegäran mail.docx", "A 42668-2023")</f>
        <v/>
      </c>
    </row>
    <row r="40" ht="15" customHeight="1">
      <c r="A40" t="inlineStr">
        <is>
          <t>A 62371-2023</t>
        </is>
      </c>
      <c r="B40" s="1" t="n">
        <v>45268</v>
      </c>
      <c r="C40" s="1" t="n">
        <v>45753</v>
      </c>
      <c r="D40" t="inlineStr">
        <is>
          <t>KALMAR LÄN</t>
        </is>
      </c>
      <c r="E40" t="inlineStr">
        <is>
          <t>HÖGSBY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HYPERLINK("https://klasma.github.io/Logging_0821/artfynd/A 62371-2023 artfynd.xlsx", "A 62371-2023")</f>
        <v/>
      </c>
      <c r="T40">
        <f>HYPERLINK("https://klasma.github.io/Logging_0821/kartor/A 62371-2023 karta.png", "A 62371-2023")</f>
        <v/>
      </c>
      <c r="U40">
        <f>HYPERLINK("https://klasma.github.io/Logging_0821/knärot/A 62371-2023 karta knärot.png", "A 62371-2023")</f>
        <v/>
      </c>
      <c r="V40">
        <f>HYPERLINK("https://klasma.github.io/Logging_0821/klagomål/A 62371-2023 FSC-klagomål.docx", "A 62371-2023")</f>
        <v/>
      </c>
      <c r="W40">
        <f>HYPERLINK("https://klasma.github.io/Logging_0821/klagomålsmail/A 62371-2023 FSC-klagomål mail.docx", "A 62371-2023")</f>
        <v/>
      </c>
      <c r="X40">
        <f>HYPERLINK("https://klasma.github.io/Logging_0821/tillsyn/A 62371-2023 tillsynsbegäran.docx", "A 62371-2023")</f>
        <v/>
      </c>
      <c r="Y40">
        <f>HYPERLINK("https://klasma.github.io/Logging_0821/tillsynsmail/A 62371-2023 tillsynsbegäran mail.docx", "A 62371-2023")</f>
        <v/>
      </c>
      <c r="Z40">
        <f>HYPERLINK("https://klasma.github.io/Logging_0821/fåglar/A 62371-2023 prioriterade fågelarter.docx", "A 62371-2023")</f>
        <v/>
      </c>
    </row>
    <row r="41" ht="15" customHeight="1">
      <c r="A41" t="inlineStr">
        <is>
          <t>A 7410-2024</t>
        </is>
      </c>
      <c r="B41" s="1" t="n">
        <v>45345</v>
      </c>
      <c r="C41" s="1" t="n">
        <v>45753</v>
      </c>
      <c r="D41" t="inlineStr">
        <is>
          <t>KALMAR LÄN</t>
        </is>
      </c>
      <c r="E41" t="inlineStr">
        <is>
          <t>HÖGSBY</t>
        </is>
      </c>
      <c r="G41" t="n">
        <v>2.7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Blåsippa</t>
        </is>
      </c>
      <c r="S41">
        <f>HYPERLINK("https://klasma.github.io/Logging_0821/artfynd/A 7410-2024 artfynd.xlsx", "A 7410-2024")</f>
        <v/>
      </c>
      <c r="T41">
        <f>HYPERLINK("https://klasma.github.io/Logging_0821/kartor/A 7410-2024 karta.png", "A 7410-2024")</f>
        <v/>
      </c>
      <c r="U41">
        <f>HYPERLINK("https://klasma.github.io/Logging_0821/knärot/A 7410-2024 karta knärot.png", "A 7410-2024")</f>
        <v/>
      </c>
      <c r="V41">
        <f>HYPERLINK("https://klasma.github.io/Logging_0821/klagomål/A 7410-2024 FSC-klagomål.docx", "A 7410-2024")</f>
        <v/>
      </c>
      <c r="W41">
        <f>HYPERLINK("https://klasma.github.io/Logging_0821/klagomålsmail/A 7410-2024 FSC-klagomål mail.docx", "A 7410-2024")</f>
        <v/>
      </c>
      <c r="X41">
        <f>HYPERLINK("https://klasma.github.io/Logging_0821/tillsyn/A 7410-2024 tillsynsbegäran.docx", "A 7410-2024")</f>
        <v/>
      </c>
      <c r="Y41">
        <f>HYPERLINK("https://klasma.github.io/Logging_0821/tillsynsmail/A 7410-2024 tillsynsbegäran mail.docx", "A 7410-2024")</f>
        <v/>
      </c>
    </row>
    <row r="42" ht="15" customHeight="1">
      <c r="A42" t="inlineStr">
        <is>
          <t>A 45531-2024</t>
        </is>
      </c>
      <c r="B42" s="1" t="n">
        <v>45579</v>
      </c>
      <c r="C42" s="1" t="n">
        <v>45753</v>
      </c>
      <c r="D42" t="inlineStr">
        <is>
          <t>KALMAR LÄN</t>
        </is>
      </c>
      <c r="E42" t="inlineStr">
        <is>
          <t>HÖGSBY</t>
        </is>
      </c>
      <c r="G42" t="n">
        <v>2.5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Bronshjon</t>
        </is>
      </c>
      <c r="S42">
        <f>HYPERLINK("https://klasma.github.io/Logging_0821/artfynd/A 45531-2024 artfynd.xlsx", "A 45531-2024")</f>
        <v/>
      </c>
      <c r="T42">
        <f>HYPERLINK("https://klasma.github.io/Logging_0821/kartor/A 45531-2024 karta.png", "A 45531-2024")</f>
        <v/>
      </c>
      <c r="V42">
        <f>HYPERLINK("https://klasma.github.io/Logging_0821/klagomål/A 45531-2024 FSC-klagomål.docx", "A 45531-2024")</f>
        <v/>
      </c>
      <c r="W42">
        <f>HYPERLINK("https://klasma.github.io/Logging_0821/klagomålsmail/A 45531-2024 FSC-klagomål mail.docx", "A 45531-2024")</f>
        <v/>
      </c>
      <c r="X42">
        <f>HYPERLINK("https://klasma.github.io/Logging_0821/tillsyn/A 45531-2024 tillsynsbegäran.docx", "A 45531-2024")</f>
        <v/>
      </c>
      <c r="Y42">
        <f>HYPERLINK("https://klasma.github.io/Logging_0821/tillsynsmail/A 45531-2024 tillsynsbegäran mail.docx", "A 45531-2024")</f>
        <v/>
      </c>
    </row>
    <row r="43" ht="15" customHeight="1">
      <c r="A43" t="inlineStr">
        <is>
          <t>A 47256-2024</t>
        </is>
      </c>
      <c r="B43" s="1" t="n">
        <v>45586</v>
      </c>
      <c r="C43" s="1" t="n">
        <v>45753</v>
      </c>
      <c r="D43" t="inlineStr">
        <is>
          <t>KALMAR LÄN</t>
        </is>
      </c>
      <c r="E43" t="inlineStr">
        <is>
          <t>HÖGSBY</t>
        </is>
      </c>
      <c r="G43" t="n">
        <v>3.9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Skarp dropptaggsvamp</t>
        </is>
      </c>
      <c r="S43">
        <f>HYPERLINK("https://klasma.github.io/Logging_0821/artfynd/A 47256-2024 artfynd.xlsx", "A 47256-2024")</f>
        <v/>
      </c>
      <c r="T43">
        <f>HYPERLINK("https://klasma.github.io/Logging_0821/kartor/A 47256-2024 karta.png", "A 47256-2024")</f>
        <v/>
      </c>
      <c r="V43">
        <f>HYPERLINK("https://klasma.github.io/Logging_0821/klagomål/A 47256-2024 FSC-klagomål.docx", "A 47256-2024")</f>
        <v/>
      </c>
      <c r="W43">
        <f>HYPERLINK("https://klasma.github.io/Logging_0821/klagomålsmail/A 47256-2024 FSC-klagomål mail.docx", "A 47256-2024")</f>
        <v/>
      </c>
      <c r="X43">
        <f>HYPERLINK("https://klasma.github.io/Logging_0821/tillsyn/A 47256-2024 tillsynsbegäran.docx", "A 47256-2024")</f>
        <v/>
      </c>
      <c r="Y43">
        <f>HYPERLINK("https://klasma.github.io/Logging_0821/tillsynsmail/A 47256-2024 tillsynsbegäran mail.docx", "A 47256-2024")</f>
        <v/>
      </c>
    </row>
    <row r="44" ht="15" customHeight="1">
      <c r="A44" t="inlineStr">
        <is>
          <t>A 2876-2025</t>
        </is>
      </c>
      <c r="B44" s="1" t="n">
        <v>45677</v>
      </c>
      <c r="C44" s="1" t="n">
        <v>45753</v>
      </c>
      <c r="D44" t="inlineStr">
        <is>
          <t>KALMAR LÄN</t>
        </is>
      </c>
      <c r="E44" t="inlineStr">
        <is>
          <t>HÖGSBY</t>
        </is>
      </c>
      <c r="G44" t="n">
        <v>7.4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Slåttergubbemal</t>
        </is>
      </c>
      <c r="S44">
        <f>HYPERLINK("https://klasma.github.io/Logging_0821/artfynd/A 2876-2025 artfynd.xlsx", "A 2876-2025")</f>
        <v/>
      </c>
      <c r="T44">
        <f>HYPERLINK("https://klasma.github.io/Logging_0821/kartor/A 2876-2025 karta.png", "A 2876-2025")</f>
        <v/>
      </c>
      <c r="V44">
        <f>HYPERLINK("https://klasma.github.io/Logging_0821/klagomål/A 2876-2025 FSC-klagomål.docx", "A 2876-2025")</f>
        <v/>
      </c>
      <c r="W44">
        <f>HYPERLINK("https://klasma.github.io/Logging_0821/klagomålsmail/A 2876-2025 FSC-klagomål mail.docx", "A 2876-2025")</f>
        <v/>
      </c>
      <c r="X44">
        <f>HYPERLINK("https://klasma.github.io/Logging_0821/tillsyn/A 2876-2025 tillsynsbegäran.docx", "A 2876-2025")</f>
        <v/>
      </c>
      <c r="Y44">
        <f>HYPERLINK("https://klasma.github.io/Logging_0821/tillsynsmail/A 2876-2025 tillsynsbegäran mail.docx", "A 2876-2025")</f>
        <v/>
      </c>
    </row>
    <row r="45" ht="15" customHeight="1">
      <c r="A45" t="inlineStr">
        <is>
          <t>A 21100-2019</t>
        </is>
      </c>
      <c r="B45" s="1" t="n">
        <v>43578</v>
      </c>
      <c r="C45" s="1" t="n">
        <v>45753</v>
      </c>
      <c r="D45" t="inlineStr">
        <is>
          <t>KALMAR LÄN</t>
        </is>
      </c>
      <c r="E45" t="inlineStr">
        <is>
          <t>HÖGSBY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21100-2019 artfynd.xlsx", "A 21100-2019")</f>
        <v/>
      </c>
      <c r="T45">
        <f>HYPERLINK("https://klasma.github.io/Logging_0821/kartor/A 21100-2019 karta.png", "A 21100-2019")</f>
        <v/>
      </c>
      <c r="V45">
        <f>HYPERLINK("https://klasma.github.io/Logging_0821/klagomål/A 21100-2019 FSC-klagomål.docx", "A 21100-2019")</f>
        <v/>
      </c>
      <c r="W45">
        <f>HYPERLINK("https://klasma.github.io/Logging_0821/klagomålsmail/A 21100-2019 FSC-klagomål mail.docx", "A 21100-2019")</f>
        <v/>
      </c>
      <c r="X45">
        <f>HYPERLINK("https://klasma.github.io/Logging_0821/tillsyn/A 21100-2019 tillsynsbegäran.docx", "A 21100-2019")</f>
        <v/>
      </c>
      <c r="Y45">
        <f>HYPERLINK("https://klasma.github.io/Logging_0821/tillsynsmail/A 21100-2019 tillsynsbegäran mail.docx", "A 21100-2019")</f>
        <v/>
      </c>
    </row>
    <row r="46" ht="15" customHeight="1">
      <c r="A46" t="inlineStr">
        <is>
          <t>A 25190-2019</t>
        </is>
      </c>
      <c r="B46" s="1" t="n">
        <v>43605</v>
      </c>
      <c r="C46" s="1" t="n">
        <v>45753</v>
      </c>
      <c r="D46" t="inlineStr">
        <is>
          <t>KALMAR LÄN</t>
        </is>
      </c>
      <c r="E46" t="inlineStr">
        <is>
          <t>HÖGSBY</t>
        </is>
      </c>
      <c r="G46" t="n">
        <v>1.2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HYPERLINK("https://klasma.github.io/Logging_0821/artfynd/A 25190-2019 artfynd.xlsx", "A 25190-2019")</f>
        <v/>
      </c>
      <c r="T46">
        <f>HYPERLINK("https://klasma.github.io/Logging_0821/kartor/A 25190-2019 karta.png", "A 25190-2019")</f>
        <v/>
      </c>
      <c r="U46">
        <f>HYPERLINK("https://klasma.github.io/Logging_0821/knärot/A 25190-2019 karta knärot.png", "A 25190-2019")</f>
        <v/>
      </c>
      <c r="V46">
        <f>HYPERLINK("https://klasma.github.io/Logging_0821/klagomål/A 25190-2019 FSC-klagomål.docx", "A 25190-2019")</f>
        <v/>
      </c>
      <c r="W46">
        <f>HYPERLINK("https://klasma.github.io/Logging_0821/klagomålsmail/A 25190-2019 FSC-klagomål mail.docx", "A 25190-2019")</f>
        <v/>
      </c>
      <c r="X46">
        <f>HYPERLINK("https://klasma.github.io/Logging_0821/tillsyn/A 25190-2019 tillsynsbegäran.docx", "A 25190-2019")</f>
        <v/>
      </c>
      <c r="Y46">
        <f>HYPERLINK("https://klasma.github.io/Logging_0821/tillsynsmail/A 25190-2019 tillsynsbegäran mail.docx", "A 25190-2019")</f>
        <v/>
      </c>
    </row>
    <row r="47" ht="15" customHeight="1">
      <c r="A47" t="inlineStr">
        <is>
          <t>A 26448-2019</t>
        </is>
      </c>
      <c r="B47" s="1" t="n">
        <v>43612</v>
      </c>
      <c r="C47" s="1" t="n">
        <v>45753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HYPERLINK("https://klasma.github.io/Logging_0821/artfynd/A 26448-2019 artfynd.xlsx", "A 26448-2019")</f>
        <v/>
      </c>
      <c r="T47">
        <f>HYPERLINK("https://klasma.github.io/Logging_0821/kartor/A 26448-2019 karta.png", "A 26448-2019")</f>
        <v/>
      </c>
      <c r="V47">
        <f>HYPERLINK("https://klasma.github.io/Logging_0821/klagomål/A 26448-2019 FSC-klagomål.docx", "A 26448-2019")</f>
        <v/>
      </c>
      <c r="W47">
        <f>HYPERLINK("https://klasma.github.io/Logging_0821/klagomålsmail/A 26448-2019 FSC-klagomål mail.docx", "A 26448-2019")</f>
        <v/>
      </c>
      <c r="X47">
        <f>HYPERLINK("https://klasma.github.io/Logging_0821/tillsyn/A 26448-2019 tillsynsbegäran.docx", "A 26448-2019")</f>
        <v/>
      </c>
      <c r="Y47">
        <f>HYPERLINK("https://klasma.github.io/Logging_0821/tillsynsmail/A 26448-2019 tillsynsbegäran mail.docx", "A 26448-2019")</f>
        <v/>
      </c>
    </row>
    <row r="48" ht="15" customHeight="1">
      <c r="A48" t="inlineStr">
        <is>
          <t>A 38893-2019</t>
        </is>
      </c>
      <c r="B48" s="1" t="n">
        <v>43686</v>
      </c>
      <c r="C48" s="1" t="n">
        <v>45753</v>
      </c>
      <c r="D48" t="inlineStr">
        <is>
          <t>KALMAR LÄN</t>
        </is>
      </c>
      <c r="E48" t="inlineStr">
        <is>
          <t>HÖGSBY</t>
        </is>
      </c>
      <c r="G48" t="n">
        <v>8.699999999999999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HYPERLINK("https://klasma.github.io/Logging_0821/artfynd/A 38893-2019 artfynd.xlsx", "A 38893-2019")</f>
        <v/>
      </c>
      <c r="T48">
        <f>HYPERLINK("https://klasma.github.io/Logging_0821/kartor/A 38893-2019 karta.png", "A 38893-2019")</f>
        <v/>
      </c>
      <c r="V48">
        <f>HYPERLINK("https://klasma.github.io/Logging_0821/klagomål/A 38893-2019 FSC-klagomål.docx", "A 38893-2019")</f>
        <v/>
      </c>
      <c r="W48">
        <f>HYPERLINK("https://klasma.github.io/Logging_0821/klagomålsmail/A 38893-2019 FSC-klagomål mail.docx", "A 38893-2019")</f>
        <v/>
      </c>
      <c r="X48">
        <f>HYPERLINK("https://klasma.github.io/Logging_0821/tillsyn/A 38893-2019 tillsynsbegäran.docx", "A 38893-2019")</f>
        <v/>
      </c>
      <c r="Y48">
        <f>HYPERLINK("https://klasma.github.io/Logging_0821/tillsynsmail/A 38893-2019 tillsynsbegäran mail.docx", "A 38893-2019")</f>
        <v/>
      </c>
    </row>
    <row r="49" ht="15" customHeight="1">
      <c r="A49" t="inlineStr">
        <is>
          <t>A 39421-2019</t>
        </is>
      </c>
      <c r="B49" s="1" t="n">
        <v>43690</v>
      </c>
      <c r="C49" s="1" t="n">
        <v>45753</v>
      </c>
      <c r="D49" t="inlineStr">
        <is>
          <t>KALMAR LÄN</t>
        </is>
      </c>
      <c r="E49" t="inlineStr">
        <is>
          <t>HÖGSBY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Sandviol</t>
        </is>
      </c>
      <c r="S49">
        <f>HYPERLINK("https://klasma.github.io/Logging_0821/artfynd/A 39421-2019 artfynd.xlsx", "A 39421-2019")</f>
        <v/>
      </c>
      <c r="T49">
        <f>HYPERLINK("https://klasma.github.io/Logging_0821/kartor/A 39421-2019 karta.png", "A 39421-2019")</f>
        <v/>
      </c>
      <c r="V49">
        <f>HYPERLINK("https://klasma.github.io/Logging_0821/klagomål/A 39421-2019 FSC-klagomål.docx", "A 39421-2019")</f>
        <v/>
      </c>
      <c r="W49">
        <f>HYPERLINK("https://klasma.github.io/Logging_0821/klagomålsmail/A 39421-2019 FSC-klagomål mail.docx", "A 39421-2019")</f>
        <v/>
      </c>
      <c r="X49">
        <f>HYPERLINK("https://klasma.github.io/Logging_0821/tillsyn/A 39421-2019 tillsynsbegäran.docx", "A 39421-2019")</f>
        <v/>
      </c>
      <c r="Y49">
        <f>HYPERLINK("https://klasma.github.io/Logging_0821/tillsynsmail/A 39421-2019 tillsynsbegäran mail.docx", "A 39421-2019")</f>
        <v/>
      </c>
    </row>
    <row r="50" ht="15" customHeight="1">
      <c r="A50" t="inlineStr">
        <is>
          <t>A 50457-2019</t>
        </is>
      </c>
      <c r="B50" s="1" t="n">
        <v>43735</v>
      </c>
      <c r="C50" s="1" t="n">
        <v>45753</v>
      </c>
      <c r="D50" t="inlineStr">
        <is>
          <t>KALMAR LÄN</t>
        </is>
      </c>
      <c r="E50" t="inlineStr">
        <is>
          <t>HÖGSBY</t>
        </is>
      </c>
      <c r="G50" t="n">
        <v>11.9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50457-2019 artfynd.xlsx", "A 50457-2019")</f>
        <v/>
      </c>
      <c r="T50">
        <f>HYPERLINK("https://klasma.github.io/Logging_0821/kartor/A 50457-2019 karta.png", "A 50457-2019")</f>
        <v/>
      </c>
      <c r="U50">
        <f>HYPERLINK("https://klasma.github.io/Logging_0821/knärot/A 50457-2019 karta knärot.png", "A 50457-2019")</f>
        <v/>
      </c>
      <c r="V50">
        <f>HYPERLINK("https://klasma.github.io/Logging_0821/klagomål/A 50457-2019 FSC-klagomål.docx", "A 50457-2019")</f>
        <v/>
      </c>
      <c r="W50">
        <f>HYPERLINK("https://klasma.github.io/Logging_0821/klagomålsmail/A 50457-2019 FSC-klagomål mail.docx", "A 50457-2019")</f>
        <v/>
      </c>
      <c r="X50">
        <f>HYPERLINK("https://klasma.github.io/Logging_0821/tillsyn/A 50457-2019 tillsynsbegäran.docx", "A 50457-2019")</f>
        <v/>
      </c>
      <c r="Y50">
        <f>HYPERLINK("https://klasma.github.io/Logging_0821/tillsynsmail/A 50457-2019 tillsynsbegäran mail.docx", "A 50457-2019")</f>
        <v/>
      </c>
    </row>
    <row r="51" ht="15" customHeight="1">
      <c r="A51" t="inlineStr">
        <is>
          <t>A 57390-2019</t>
        </is>
      </c>
      <c r="B51" s="1" t="n">
        <v>43767</v>
      </c>
      <c r="C51" s="1" t="n">
        <v>45753</v>
      </c>
      <c r="D51" t="inlineStr">
        <is>
          <t>KALMAR LÄN</t>
        </is>
      </c>
      <c r="E51" t="inlineStr">
        <is>
          <t>HÖGSBY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57390-2019 artfynd.xlsx", "A 57390-2019")</f>
        <v/>
      </c>
      <c r="T51">
        <f>HYPERLINK("https://klasma.github.io/Logging_0821/kartor/A 57390-2019 karta.png", "A 57390-2019")</f>
        <v/>
      </c>
      <c r="V51">
        <f>HYPERLINK("https://klasma.github.io/Logging_0821/klagomål/A 57390-2019 FSC-klagomål.docx", "A 57390-2019")</f>
        <v/>
      </c>
      <c r="W51">
        <f>HYPERLINK("https://klasma.github.io/Logging_0821/klagomålsmail/A 57390-2019 FSC-klagomål mail.docx", "A 57390-2019")</f>
        <v/>
      </c>
      <c r="X51">
        <f>HYPERLINK("https://klasma.github.io/Logging_0821/tillsyn/A 57390-2019 tillsynsbegäran.docx", "A 57390-2019")</f>
        <v/>
      </c>
      <c r="Y51">
        <f>HYPERLINK("https://klasma.github.io/Logging_0821/tillsynsmail/A 57390-2019 tillsynsbegäran mail.docx", "A 57390-2019")</f>
        <v/>
      </c>
    </row>
    <row r="52" ht="15" customHeight="1">
      <c r="A52" t="inlineStr">
        <is>
          <t>A 63075-2019</t>
        </is>
      </c>
      <c r="B52" s="1" t="n">
        <v>43790</v>
      </c>
      <c r="C52" s="1" t="n">
        <v>45753</v>
      </c>
      <c r="D52" t="inlineStr">
        <is>
          <t>KALMAR LÄN</t>
        </is>
      </c>
      <c r="E52" t="inlineStr">
        <is>
          <t>HÖGSBY</t>
        </is>
      </c>
      <c r="G52" t="n">
        <v>11.8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Fällmossa</t>
        </is>
      </c>
      <c r="S52">
        <f>HYPERLINK("https://klasma.github.io/Logging_0821/artfynd/A 63075-2019 artfynd.xlsx", "A 63075-2019")</f>
        <v/>
      </c>
      <c r="T52">
        <f>HYPERLINK("https://klasma.github.io/Logging_0821/kartor/A 63075-2019 karta.png", "A 63075-2019")</f>
        <v/>
      </c>
      <c r="V52">
        <f>HYPERLINK("https://klasma.github.io/Logging_0821/klagomål/A 63075-2019 FSC-klagomål.docx", "A 63075-2019")</f>
        <v/>
      </c>
      <c r="W52">
        <f>HYPERLINK("https://klasma.github.io/Logging_0821/klagomålsmail/A 63075-2019 FSC-klagomål mail.docx", "A 63075-2019")</f>
        <v/>
      </c>
      <c r="X52">
        <f>HYPERLINK("https://klasma.github.io/Logging_0821/tillsyn/A 63075-2019 tillsynsbegäran.docx", "A 63075-2019")</f>
        <v/>
      </c>
      <c r="Y52">
        <f>HYPERLINK("https://klasma.github.io/Logging_0821/tillsynsmail/A 63075-2019 tillsynsbegäran mail.docx", "A 63075-2019")</f>
        <v/>
      </c>
    </row>
    <row r="53" ht="15" customHeight="1">
      <c r="A53" t="inlineStr">
        <is>
          <t>A 44078-2020</t>
        </is>
      </c>
      <c r="B53" s="1" t="n">
        <v>44083</v>
      </c>
      <c r="C53" s="1" t="n">
        <v>45753</v>
      </c>
      <c r="D53" t="inlineStr">
        <is>
          <t>KALMAR LÄN</t>
        </is>
      </c>
      <c r="E53" t="inlineStr">
        <is>
          <t>HÖGSBY</t>
        </is>
      </c>
      <c r="G53" t="n">
        <v>28.3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44078-2020 artfynd.xlsx", "A 44078-2020")</f>
        <v/>
      </c>
      <c r="T53">
        <f>HYPERLINK("https://klasma.github.io/Logging_0821/kartor/A 44078-2020 karta.png", "A 44078-2020")</f>
        <v/>
      </c>
      <c r="V53">
        <f>HYPERLINK("https://klasma.github.io/Logging_0821/klagomål/A 44078-2020 FSC-klagomål.docx", "A 44078-2020")</f>
        <v/>
      </c>
      <c r="W53">
        <f>HYPERLINK("https://klasma.github.io/Logging_0821/klagomålsmail/A 44078-2020 FSC-klagomål mail.docx", "A 44078-2020")</f>
        <v/>
      </c>
      <c r="X53">
        <f>HYPERLINK("https://klasma.github.io/Logging_0821/tillsyn/A 44078-2020 tillsynsbegäran.docx", "A 44078-2020")</f>
        <v/>
      </c>
      <c r="Y53">
        <f>HYPERLINK("https://klasma.github.io/Logging_0821/tillsynsmail/A 44078-2020 tillsynsbegäran mail.docx", "A 44078-2020")</f>
        <v/>
      </c>
    </row>
    <row r="54" ht="15" customHeight="1">
      <c r="A54" t="inlineStr">
        <is>
          <t>A 3518-2021</t>
        </is>
      </c>
      <c r="B54" s="1" t="n">
        <v>44216</v>
      </c>
      <c r="C54" s="1" t="n">
        <v>45753</v>
      </c>
      <c r="D54" t="inlineStr">
        <is>
          <t>KALMAR LÄN</t>
        </is>
      </c>
      <c r="E54" t="inlineStr">
        <is>
          <t>HÖGSBY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HYPERLINK("https://klasma.github.io/Logging_0821/artfynd/A 3518-2021 artfynd.xlsx", "A 3518-2021")</f>
        <v/>
      </c>
      <c r="T54">
        <f>HYPERLINK("https://klasma.github.io/Logging_0821/kartor/A 3518-2021 karta.png", "A 3518-2021")</f>
        <v/>
      </c>
      <c r="V54">
        <f>HYPERLINK("https://klasma.github.io/Logging_0821/klagomål/A 3518-2021 FSC-klagomål.docx", "A 3518-2021")</f>
        <v/>
      </c>
      <c r="W54">
        <f>HYPERLINK("https://klasma.github.io/Logging_0821/klagomålsmail/A 3518-2021 FSC-klagomål mail.docx", "A 3518-2021")</f>
        <v/>
      </c>
      <c r="X54">
        <f>HYPERLINK("https://klasma.github.io/Logging_0821/tillsyn/A 3518-2021 tillsynsbegäran.docx", "A 3518-2021")</f>
        <v/>
      </c>
      <c r="Y54">
        <f>HYPERLINK("https://klasma.github.io/Logging_0821/tillsynsmail/A 3518-2021 tillsynsbegäran mail.docx", "A 3518-2021")</f>
        <v/>
      </c>
    </row>
    <row r="55" ht="15" customHeight="1">
      <c r="A55" t="inlineStr">
        <is>
          <t>A 10947-2021</t>
        </is>
      </c>
      <c r="B55" s="1" t="n">
        <v>44260</v>
      </c>
      <c r="C55" s="1" t="n">
        <v>45753</v>
      </c>
      <c r="D55" t="inlineStr">
        <is>
          <t>KALMAR LÄN</t>
        </is>
      </c>
      <c r="E55" t="inlineStr">
        <is>
          <t>HÖGSBY</t>
        </is>
      </c>
      <c r="G55" t="n">
        <v>8.5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10947-2021 artfynd.xlsx", "A 10947-2021")</f>
        <v/>
      </c>
      <c r="T55">
        <f>HYPERLINK("https://klasma.github.io/Logging_0821/kartor/A 10947-2021 karta.png", "A 10947-2021")</f>
        <v/>
      </c>
      <c r="V55">
        <f>HYPERLINK("https://klasma.github.io/Logging_0821/klagomål/A 10947-2021 FSC-klagomål.docx", "A 10947-2021")</f>
        <v/>
      </c>
      <c r="W55">
        <f>HYPERLINK("https://klasma.github.io/Logging_0821/klagomålsmail/A 10947-2021 FSC-klagomål mail.docx", "A 10947-2021")</f>
        <v/>
      </c>
      <c r="X55">
        <f>HYPERLINK("https://klasma.github.io/Logging_0821/tillsyn/A 10947-2021 tillsynsbegäran.docx", "A 10947-2021")</f>
        <v/>
      </c>
      <c r="Y55">
        <f>HYPERLINK("https://klasma.github.io/Logging_0821/tillsynsmail/A 10947-2021 tillsynsbegäran mail.docx", "A 10947-2021")</f>
        <v/>
      </c>
    </row>
    <row r="56" ht="15" customHeight="1">
      <c r="A56" t="inlineStr">
        <is>
          <t>A 23604-2021</t>
        </is>
      </c>
      <c r="B56" s="1" t="n">
        <v>44334</v>
      </c>
      <c r="C56" s="1" t="n">
        <v>45753</v>
      </c>
      <c r="D56" t="inlineStr">
        <is>
          <t>KALMAR LÄN</t>
        </is>
      </c>
      <c r="E56" t="inlineStr">
        <is>
          <t>HÖGSBY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HYPERLINK("https://klasma.github.io/Logging_0821/artfynd/A 23604-2021 artfynd.xlsx", "A 23604-2021")</f>
        <v/>
      </c>
      <c r="T56">
        <f>HYPERLINK("https://klasma.github.io/Logging_0821/kartor/A 23604-2021 karta.png", "A 23604-2021")</f>
        <v/>
      </c>
      <c r="V56">
        <f>HYPERLINK("https://klasma.github.io/Logging_0821/klagomål/A 23604-2021 FSC-klagomål.docx", "A 23604-2021")</f>
        <v/>
      </c>
      <c r="W56">
        <f>HYPERLINK("https://klasma.github.io/Logging_0821/klagomålsmail/A 23604-2021 FSC-klagomål mail.docx", "A 23604-2021")</f>
        <v/>
      </c>
      <c r="X56">
        <f>HYPERLINK("https://klasma.github.io/Logging_0821/tillsyn/A 23604-2021 tillsynsbegäran.docx", "A 23604-2021")</f>
        <v/>
      </c>
      <c r="Y56">
        <f>HYPERLINK("https://klasma.github.io/Logging_0821/tillsynsmail/A 23604-2021 tillsynsbegäran mail.docx", "A 23604-2021")</f>
        <v/>
      </c>
    </row>
    <row r="57" ht="15" customHeight="1">
      <c r="A57" t="inlineStr">
        <is>
          <t>A 25131-2021</t>
        </is>
      </c>
      <c r="B57" s="1" t="n">
        <v>44341</v>
      </c>
      <c r="C57" s="1" t="n">
        <v>45753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HYPERLINK("https://klasma.github.io/Logging_0821/artfynd/A 25131-2021 artfynd.xlsx", "A 25131-2021")</f>
        <v/>
      </c>
      <c r="T57">
        <f>HYPERLINK("https://klasma.github.io/Logging_0821/kartor/A 25131-2021 karta.png", "A 25131-2021")</f>
        <v/>
      </c>
      <c r="V57">
        <f>HYPERLINK("https://klasma.github.io/Logging_0821/klagomål/A 25131-2021 FSC-klagomål.docx", "A 25131-2021")</f>
        <v/>
      </c>
      <c r="W57">
        <f>HYPERLINK("https://klasma.github.io/Logging_0821/klagomålsmail/A 25131-2021 FSC-klagomål mail.docx", "A 25131-2021")</f>
        <v/>
      </c>
      <c r="X57">
        <f>HYPERLINK("https://klasma.github.io/Logging_0821/tillsyn/A 25131-2021 tillsynsbegäran.docx", "A 25131-2021")</f>
        <v/>
      </c>
      <c r="Y57">
        <f>HYPERLINK("https://klasma.github.io/Logging_0821/tillsynsmail/A 25131-2021 tillsynsbegäran mail.docx", "A 25131-2021")</f>
        <v/>
      </c>
    </row>
    <row r="58" ht="15" customHeight="1">
      <c r="A58" t="inlineStr">
        <is>
          <t>A 1519-2022</t>
        </is>
      </c>
      <c r="B58" s="1" t="n">
        <v>44573</v>
      </c>
      <c r="C58" s="1" t="n">
        <v>45753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HYPERLINK("https://klasma.github.io/Logging_0821/artfynd/A 1519-2022 artfynd.xlsx", "A 1519-2022")</f>
        <v/>
      </c>
      <c r="T58">
        <f>HYPERLINK("https://klasma.github.io/Logging_0821/kartor/A 1519-2022 karta.png", "A 1519-2022")</f>
        <v/>
      </c>
      <c r="V58">
        <f>HYPERLINK("https://klasma.github.io/Logging_0821/klagomål/A 1519-2022 FSC-klagomål.docx", "A 1519-2022")</f>
        <v/>
      </c>
      <c r="W58">
        <f>HYPERLINK("https://klasma.github.io/Logging_0821/klagomålsmail/A 1519-2022 FSC-klagomål mail.docx", "A 1519-2022")</f>
        <v/>
      </c>
      <c r="X58">
        <f>HYPERLINK("https://klasma.github.io/Logging_0821/tillsyn/A 1519-2022 tillsynsbegäran.docx", "A 1519-2022")</f>
        <v/>
      </c>
      <c r="Y58">
        <f>HYPERLINK("https://klasma.github.io/Logging_0821/tillsynsmail/A 1519-2022 tillsynsbegäran mail.docx", "A 1519-2022")</f>
        <v/>
      </c>
    </row>
    <row r="59" ht="15" customHeight="1">
      <c r="A59" t="inlineStr">
        <is>
          <t>A 7032-2022</t>
        </is>
      </c>
      <c r="B59" s="1" t="n">
        <v>44603</v>
      </c>
      <c r="C59" s="1" t="n">
        <v>45753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HYPERLINK("https://klasma.github.io/Logging_0821/artfynd/A 7032-2022 artfynd.xlsx", "A 7032-2022")</f>
        <v/>
      </c>
      <c r="T59">
        <f>HYPERLINK("https://klasma.github.io/Logging_0821/kartor/A 7032-2022 karta.png", "A 7032-2022")</f>
        <v/>
      </c>
      <c r="V59">
        <f>HYPERLINK("https://klasma.github.io/Logging_0821/klagomål/A 7032-2022 FSC-klagomål.docx", "A 7032-2022")</f>
        <v/>
      </c>
      <c r="W59">
        <f>HYPERLINK("https://klasma.github.io/Logging_0821/klagomålsmail/A 7032-2022 FSC-klagomål mail.docx", "A 7032-2022")</f>
        <v/>
      </c>
      <c r="X59">
        <f>HYPERLINK("https://klasma.github.io/Logging_0821/tillsyn/A 7032-2022 tillsynsbegäran.docx", "A 7032-2022")</f>
        <v/>
      </c>
      <c r="Y59">
        <f>HYPERLINK("https://klasma.github.io/Logging_0821/tillsynsmail/A 7032-2022 tillsynsbegäran mail.docx", "A 7032-2022")</f>
        <v/>
      </c>
    </row>
    <row r="60" ht="15" customHeight="1">
      <c r="A60" t="inlineStr">
        <is>
          <t>A 10989-2022</t>
        </is>
      </c>
      <c r="B60" s="1" t="n">
        <v>44628</v>
      </c>
      <c r="C60" s="1" t="n">
        <v>45753</v>
      </c>
      <c r="D60" t="inlineStr">
        <is>
          <t>KALMAR LÄN</t>
        </is>
      </c>
      <c r="E60" t="inlineStr">
        <is>
          <t>HÖGSBY</t>
        </is>
      </c>
      <c r="F60" t="inlineStr">
        <is>
          <t>Kyrkan</t>
        </is>
      </c>
      <c r="G60" t="n">
        <v>6.8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HYPERLINK("https://klasma.github.io/Logging_0821/artfynd/A 10989-2022 artfynd.xlsx", "A 10989-2022")</f>
        <v/>
      </c>
      <c r="T60">
        <f>HYPERLINK("https://klasma.github.io/Logging_0821/kartor/A 10989-2022 karta.png", "A 10989-2022")</f>
        <v/>
      </c>
      <c r="V60">
        <f>HYPERLINK("https://klasma.github.io/Logging_0821/klagomål/A 10989-2022 FSC-klagomål.docx", "A 10989-2022")</f>
        <v/>
      </c>
      <c r="W60">
        <f>HYPERLINK("https://klasma.github.io/Logging_0821/klagomålsmail/A 10989-2022 FSC-klagomål mail.docx", "A 10989-2022")</f>
        <v/>
      </c>
      <c r="X60">
        <f>HYPERLINK("https://klasma.github.io/Logging_0821/tillsyn/A 10989-2022 tillsynsbegäran.docx", "A 10989-2022")</f>
        <v/>
      </c>
      <c r="Y60">
        <f>HYPERLINK("https://klasma.github.io/Logging_0821/tillsynsmail/A 10989-2022 tillsynsbegäran mail.docx", "A 10989-2022")</f>
        <v/>
      </c>
    </row>
    <row r="61" ht="15" customHeight="1">
      <c r="A61" t="inlineStr">
        <is>
          <t>A 11995-2022</t>
        </is>
      </c>
      <c r="B61" s="1" t="n">
        <v>44635</v>
      </c>
      <c r="C61" s="1" t="n">
        <v>45753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HYPERLINK("https://klasma.github.io/Logging_0821/artfynd/A 11995-2022 artfynd.xlsx", "A 11995-2022")</f>
        <v/>
      </c>
      <c r="T61">
        <f>HYPERLINK("https://klasma.github.io/Logging_0821/kartor/A 11995-2022 karta.png", "A 11995-2022")</f>
        <v/>
      </c>
      <c r="V61">
        <f>HYPERLINK("https://klasma.github.io/Logging_0821/klagomål/A 11995-2022 FSC-klagomål.docx", "A 11995-2022")</f>
        <v/>
      </c>
      <c r="W61">
        <f>HYPERLINK("https://klasma.github.io/Logging_0821/klagomålsmail/A 11995-2022 FSC-klagomål mail.docx", "A 11995-2022")</f>
        <v/>
      </c>
      <c r="X61">
        <f>HYPERLINK("https://klasma.github.io/Logging_0821/tillsyn/A 11995-2022 tillsynsbegäran.docx", "A 11995-2022")</f>
        <v/>
      </c>
      <c r="Y61">
        <f>HYPERLINK("https://klasma.github.io/Logging_0821/tillsynsmail/A 11995-2022 tillsynsbegäran mail.docx", "A 11995-2022")</f>
        <v/>
      </c>
    </row>
    <row r="62" ht="15" customHeight="1">
      <c r="A62" t="inlineStr">
        <is>
          <t>A 48263-2022</t>
        </is>
      </c>
      <c r="B62" s="1" t="n">
        <v>44853</v>
      </c>
      <c r="C62" s="1" t="n">
        <v>45753</v>
      </c>
      <c r="D62" t="inlineStr">
        <is>
          <t>KALMAR LÄN</t>
        </is>
      </c>
      <c r="E62" t="inlineStr">
        <is>
          <t>HÖGSBY</t>
        </is>
      </c>
      <c r="G62" t="n">
        <v>8.199999999999999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HYPERLINK("https://klasma.github.io/Logging_0821/artfynd/A 48263-2022 artfynd.xlsx", "A 48263-2022")</f>
        <v/>
      </c>
      <c r="T62">
        <f>HYPERLINK("https://klasma.github.io/Logging_0821/kartor/A 48263-2022 karta.png", "A 48263-2022")</f>
        <v/>
      </c>
      <c r="V62">
        <f>HYPERLINK("https://klasma.github.io/Logging_0821/klagomål/A 48263-2022 FSC-klagomål.docx", "A 48263-2022")</f>
        <v/>
      </c>
      <c r="W62">
        <f>HYPERLINK("https://klasma.github.io/Logging_0821/klagomålsmail/A 48263-2022 FSC-klagomål mail.docx", "A 48263-2022")</f>
        <v/>
      </c>
      <c r="X62">
        <f>HYPERLINK("https://klasma.github.io/Logging_0821/tillsyn/A 48263-2022 tillsynsbegäran.docx", "A 48263-2022")</f>
        <v/>
      </c>
      <c r="Y62">
        <f>HYPERLINK("https://klasma.github.io/Logging_0821/tillsynsmail/A 48263-2022 tillsynsbegäran mail.docx", "A 48263-2022")</f>
        <v/>
      </c>
      <c r="Z62">
        <f>HYPERLINK("https://klasma.github.io/Logging_0821/fåglar/A 48263-2022 prioriterade fågelarter.docx", "A 48263-2022")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45753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45753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45753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45753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45753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45753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45753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45753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45753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45753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45753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45753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45753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45753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45753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45753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45753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45753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45753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45753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45753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45753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45753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45753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45753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45753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45753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45753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45753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45753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45753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45753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45753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45753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45753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45753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45753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45753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45753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45753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45753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45753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45753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45753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45753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45753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45753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45753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45753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45753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45753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45753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45753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45753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45753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45753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45753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45753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45753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45753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45753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45753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45753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45753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45753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45753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45753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45753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45753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45753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45753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45753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45753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45753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45753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45753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45753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45753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45753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45753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45753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45753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45753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45753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45753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45753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45753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45753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45753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45753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45753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45753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45753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45753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45753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45753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45753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45753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45753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45753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45753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45753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45753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45753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45753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45753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45753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45753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45753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45753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45753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45753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45753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45753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45753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45753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45753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45753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45753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45753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45753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45753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45753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45753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45753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45753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45753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45753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45753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45753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45753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45753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45753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45753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45753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45753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45753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45753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45753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45753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45753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45753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45753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45753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45753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45753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45753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45753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45753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45753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45753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45753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45753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45753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45753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45753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45753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45753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45753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45753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45753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45753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45753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45753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45753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45753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45753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45753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45753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45753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45753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45753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45753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45753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45753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45753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45753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45753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45753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45753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45753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45753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45753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45753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45753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45753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45753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45753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45753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45753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45753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45753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45753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45753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45753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45753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45753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45753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45753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45753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45753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45753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45753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45753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45753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45753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45753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45753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45753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45753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45753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45753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45753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45753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45753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45753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45753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45753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45753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45753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45753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45753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45753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45753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45753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45753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45753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45753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45753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45753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45753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45753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45753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45753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45753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45753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45753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45753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45753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45753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45753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45753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45753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45753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45753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45753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45753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45753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45753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45753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45753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45753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45753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45753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45753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45753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45753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45753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45753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45753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45753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45753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45753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45753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45753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45753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45753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45753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45753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45753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45753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45753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45753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45753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45753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45753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45753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45753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45753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45753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45753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45753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45753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45753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45753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45753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45753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45753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45753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45753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45753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45753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45753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45753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45753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45753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45753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45753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45753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45753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45753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45753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45753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45753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45753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45753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45753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45753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45753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45753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45753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45753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45753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45753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45753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45753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45753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45753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45753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45753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45753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45753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45753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45753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45753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45753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45753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45753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45753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45753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45753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45753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45753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45753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45753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45753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45753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45753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45753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45753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45753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45753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45753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45753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45753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45753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45753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45753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45753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45753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45753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45753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45753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45753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45753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45753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45753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45753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45753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45753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45753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45753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45753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45753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45753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45753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45753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45753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45753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45753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45753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45753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45753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45753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45753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45753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45753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45753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45753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45753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45753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45753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45753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45753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45753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45753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45753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45753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45753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45753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45753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45753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45753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45753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45753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45753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45753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45753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45753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45753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45753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45753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45753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45753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45753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45753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45753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45753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45753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45753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45753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45753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45753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45753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45753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45753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45753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45753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45753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45753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45753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45753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45753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45753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45753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45753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45753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45753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45753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45753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45753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45753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45753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45753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45753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45753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45753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45753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45753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45753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45753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45753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45753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45753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45753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45753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45753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45753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45753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45753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45753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45753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45753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45753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45753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45753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45753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45753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45753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45753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45753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45753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45753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45753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45753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45753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45753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45753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45753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45753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45753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45753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45753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45753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45753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45753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45753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45753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45753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45753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45753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45753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45753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45753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45753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45753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45753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45753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45753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45753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45753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45753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45753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45753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45753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45753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45753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45753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45753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45753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45753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45753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45753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45753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45753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45753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45753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45753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45753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45753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45753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45753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45753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45753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45753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45753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45753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45753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45753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45753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45753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45753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45753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45753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45753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45753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45753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45753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45753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45753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45753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45753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45753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45753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45753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45753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45753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45753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45753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45753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45753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45753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45753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45753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45753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45753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45753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45753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45753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45753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45753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45753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45753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45753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45753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45753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45753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45753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45753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45753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45753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45753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45753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45753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45753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45753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45753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45753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45753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45753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45753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45753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45753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45753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45753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45753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45753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45753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45753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45753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45753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45753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45753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45753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45753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45753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45753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45753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45753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45753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45753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45753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45753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45753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45753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45753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45753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45753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45753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45753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45753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45753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45753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45753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45753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45753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45753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45753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45753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45753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45753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45753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45753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45753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45753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45753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45753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45753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45753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45753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45753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45753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45753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45753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45753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45753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45753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45753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45753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45753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45753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45753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45753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45753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45753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45753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45753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45753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45753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45753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45753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45753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45753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45753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45753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45753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45753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45753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45753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45753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45753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45753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45753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45753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45753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45753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45753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45753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45753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45753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45753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45753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45753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45753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45753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45753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45753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45753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45753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45753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45753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45753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45753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45753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45753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45753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45753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45753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45753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45753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45753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45753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45753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45753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45753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45753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45753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45753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45753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45753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45753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45753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45753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45753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45753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45753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45753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45753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45753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45753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45753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45753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45753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45753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45753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45753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45753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45753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45753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45753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45753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45753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45753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45753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45753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45753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45753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45753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45753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45753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45753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45753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45753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45753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45753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45753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45753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45753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45753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45753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45753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45753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45753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45753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45753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45753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45753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45753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45753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45753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45753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45753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45753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45753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45753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45753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15178-2025</t>
        </is>
      </c>
      <c r="B809" s="1" t="n">
        <v>45744</v>
      </c>
      <c r="C809" s="1" t="n">
        <v>45753</v>
      </c>
      <c r="D809" t="inlineStr">
        <is>
          <t>KALMAR LÄN</t>
        </is>
      </c>
      <c r="E809" t="inlineStr">
        <is>
          <t>HÖGSBY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45753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16014-2025</t>
        </is>
      </c>
      <c r="B811" s="1" t="n">
        <v>45749</v>
      </c>
      <c r="C811" s="1" t="n">
        <v>45753</v>
      </c>
      <c r="D811" t="inlineStr">
        <is>
          <t>KALMAR LÄN</t>
        </is>
      </c>
      <c r="E811" t="inlineStr">
        <is>
          <t>HÖGSBY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16018-2025</t>
        </is>
      </c>
      <c r="B812" s="1" t="n">
        <v>45749</v>
      </c>
      <c r="C812" s="1" t="n">
        <v>45753</v>
      </c>
      <c r="D812" t="inlineStr">
        <is>
          <t>KALMAR LÄN</t>
        </is>
      </c>
      <c r="E812" t="inlineStr">
        <is>
          <t>HÖGSBY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2025-04-06T16:47:51Z</dcterms:created>
  <dcterms:modified xmlns:dcterms="http://purl.org/dc/terms/" xmlns:xsi="http://www.w3.org/2001/XMLSchema-instance" xsi:type="dcterms:W3CDTF">2025-04-06T16:47:52Z</dcterms:modified>
</cp:coreProperties>
</file>