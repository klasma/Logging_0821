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46199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46199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46199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Dvärgbägarlav
Motaggsvamp
Tallticka
Vedskivlav
Blomskägglav
Blåmossa
Flagellkvastmossa
Mindre märgborre
Spillkråka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46199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5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Knärot
Gransotdyna
Talltita
Grönpyrola
Thomsons trägnagare
Vedticka
Västlig hakmossa
Blåsippa
Spillkråka
Kungsfågel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46199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46199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46199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54942-2022</t>
        </is>
      </c>
      <c r="B9" s="1" t="n">
        <v>44886</v>
      </c>
      <c r="C9" s="1" t="n">
        <v>46199</v>
      </c>
      <c r="D9" t="inlineStr">
        <is>
          <t>KALMAR LÄN</t>
        </is>
      </c>
      <c r="E9" t="inlineStr">
        <is>
          <t>HÖGSBY</t>
        </is>
      </c>
      <c r="G9" t="n">
        <v>0.6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Mindre bastardsvärmare
Slåttergubbe
Jungfrulin
Solvända
Gullviva</t>
        </is>
      </c>
      <c r="S9">
        <f>HYPERLINK("https://klasma.github.io/Logging_0821/artfynd/A 54942-2022 artfynd.xlsx", "A 54942-2022")</f>
        <v/>
      </c>
      <c r="T9">
        <f>HYPERLINK("https://klasma.github.io/Logging_0821/kartor/A 54942-2022 karta.png", "A 54942-2022")</f>
        <v/>
      </c>
      <c r="V9">
        <f>HYPERLINK("https://klasma.github.io/Logging_0821/klagomål/A 54942-2022 FSC-klagomål.docx", "A 54942-2022")</f>
        <v/>
      </c>
      <c r="W9">
        <f>HYPERLINK("https://klasma.github.io/Logging_0821/klagomålsmail/A 54942-2022 FSC-klagomål mail.docx", "A 54942-2022")</f>
        <v/>
      </c>
      <c r="X9">
        <f>HYPERLINK("https://klasma.github.io/Logging_0821/tillsyn/A 54942-2022 tillsynsbegäran.docx", "A 54942-2022")</f>
        <v/>
      </c>
      <c r="Y9">
        <f>HYPERLINK("https://klasma.github.io/Logging_0821/tillsynsmail/A 54942-2022 tillsynsbegäran mail.docx", "A 54942-2022")</f>
        <v/>
      </c>
    </row>
    <row r="10" ht="15" customHeight="1">
      <c r="A10" t="inlineStr">
        <is>
          <t>A 7410-2024</t>
        </is>
      </c>
      <c r="B10" s="1" t="n">
        <v>45345</v>
      </c>
      <c r="C10" s="1" t="n">
        <v>46199</v>
      </c>
      <c r="D10" t="inlineStr">
        <is>
          <t>KALMAR LÄN</t>
        </is>
      </c>
      <c r="E10" t="inlineStr">
        <is>
          <t>HÖGSBY</t>
        </is>
      </c>
      <c r="G10" t="n">
        <v>2.7</v>
      </c>
      <c r="H10" t="n">
        <v>5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Talltita
Blåsippa
Mattlummer
Tjäder</t>
        </is>
      </c>
      <c r="S10">
        <f>HYPERLINK("https://klasma.github.io/Logging_0821/artfynd/A 7410-2024 artfynd.xlsx", "A 7410-2024")</f>
        <v/>
      </c>
      <c r="T10">
        <f>HYPERLINK("https://klasma.github.io/Logging_0821/kartor/A 7410-2024 karta.png", "A 7410-2024")</f>
        <v/>
      </c>
      <c r="U10">
        <f>HYPERLINK("https://klasma.github.io/Logging_0821/knärot/A 7410-2024 karta knärot.png", "A 7410-2024")</f>
        <v/>
      </c>
      <c r="V10">
        <f>HYPERLINK("https://klasma.github.io/Logging_0821/klagomål/A 7410-2024 FSC-klagomål.docx", "A 7410-2024")</f>
        <v/>
      </c>
      <c r="W10">
        <f>HYPERLINK("https://klasma.github.io/Logging_0821/klagomålsmail/A 7410-2024 FSC-klagomål mail.docx", "A 7410-2024")</f>
        <v/>
      </c>
      <c r="X10">
        <f>HYPERLINK("https://klasma.github.io/Logging_0821/tillsyn/A 7410-2024 tillsynsbegäran.docx", "A 7410-2024")</f>
        <v/>
      </c>
      <c r="Y10">
        <f>HYPERLINK("https://klasma.github.io/Logging_0821/tillsynsmail/A 7410-2024 tillsynsbegäran mail.docx", "A 7410-2024")</f>
        <v/>
      </c>
      <c r="Z10">
        <f>HYPERLINK("https://klasma.github.io/Logging_0821/fåglar/A 7410-2024 prioriterade fågelarter.docx", "A 7410-2024")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46199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Bronshjon
Flagellkvastmossa
Vågbandad barkbock
Tjäder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  <c r="Z11">
        <f>HYPERLINK("https://klasma.github.io/Logging_0821/fåglar/A 62412-2023 prioriterade fågelarter.docx",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46199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46199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Underviol
Blåsippa
Spillkråka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17959-2026</t>
        </is>
      </c>
      <c r="B14" s="1" t="n">
        <v>46122</v>
      </c>
      <c r="C14" s="1" t="n">
        <v>46199</v>
      </c>
      <c r="D14" t="inlineStr">
        <is>
          <t>KALMAR LÄN</t>
        </is>
      </c>
      <c r="E14" t="inlineStr">
        <is>
          <t>HÖGSBY</t>
        </is>
      </c>
      <c r="G14" t="n">
        <v>1.2</v>
      </c>
      <c r="H14" t="n">
        <v>2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Fällmossa
Källpraktmossa
Skogsknipprot</t>
        </is>
      </c>
      <c r="S14">
        <f>HYPERLINK("https://klasma.github.io/Logging_0821/artfynd/A 17959-2026 artfynd.xlsx", "A 17959-2026")</f>
        <v/>
      </c>
      <c r="T14">
        <f>HYPERLINK("https://klasma.github.io/Logging_0821/kartor/A 17959-2026 karta.png", "A 17959-2026")</f>
        <v/>
      </c>
      <c r="V14">
        <f>HYPERLINK("https://klasma.github.io/Logging_0821/klagomål/A 17959-2026 FSC-klagomål.docx", "A 17959-2026")</f>
        <v/>
      </c>
      <c r="W14">
        <f>HYPERLINK("https://klasma.github.io/Logging_0821/klagomålsmail/A 17959-2026 FSC-klagomål mail.docx", "A 17959-2026")</f>
        <v/>
      </c>
      <c r="X14">
        <f>HYPERLINK("https://klasma.github.io/Logging_0821/tillsyn/A 17959-2026 tillsynsbegäran.docx", "A 17959-2026")</f>
        <v/>
      </c>
      <c r="Y14">
        <f>HYPERLINK("https://klasma.github.io/Logging_0821/tillsynsmail/A 17959-2026 tillsynsbegäran mail.docx", "A 17959-2026")</f>
        <v/>
      </c>
      <c r="Z14">
        <f>HYPERLINK("https://klasma.github.io/Logging_0821/fåglar/A 17959-2026 prioriterade fågelarter.docx", "A 17959-2026")</f>
        <v/>
      </c>
    </row>
    <row r="15" ht="15" customHeight="1">
      <c r="A15" t="inlineStr">
        <is>
          <t>A 26772-2026</t>
        </is>
      </c>
      <c r="B15" s="1" t="n">
        <v>46184</v>
      </c>
      <c r="C15" s="1" t="n">
        <v>46199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7.8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Vårärt
Vanlig flatbagge
Blåsippa</t>
        </is>
      </c>
      <c r="S15">
        <f>HYPERLINK("https://klasma.github.io/Logging_0821/artfynd/A 26772-2026 artfynd.xlsx", "A 26772-2026")</f>
        <v/>
      </c>
      <c r="T15">
        <f>HYPERLINK("https://klasma.github.io/Logging_0821/kartor/A 26772-2026 karta.png", "A 26772-2026")</f>
        <v/>
      </c>
      <c r="V15">
        <f>HYPERLINK("https://klasma.github.io/Logging_0821/klagomål/A 26772-2026 FSC-klagomål.docx", "A 26772-2026")</f>
        <v/>
      </c>
      <c r="W15">
        <f>HYPERLINK("https://klasma.github.io/Logging_0821/klagomålsmail/A 26772-2026 FSC-klagomål mail.docx", "A 26772-2026")</f>
        <v/>
      </c>
      <c r="X15">
        <f>HYPERLINK("https://klasma.github.io/Logging_0821/tillsyn/A 26772-2026 tillsynsbegäran.docx", "A 26772-2026")</f>
        <v/>
      </c>
      <c r="Y15">
        <f>HYPERLINK("https://klasma.github.io/Logging_0821/tillsynsmail/A 26772-2026 tillsynsbegäran mail.docx", "A 26772-2026")</f>
        <v/>
      </c>
      <c r="Z15">
        <f>HYPERLINK("https://klasma.github.io/Logging_0821/fåglar/A 26772-2026 prioriterade fågelarter.docx", "A 26772-2026")</f>
        <v/>
      </c>
    </row>
    <row r="16" ht="15" customHeight="1">
      <c r="A16" t="inlineStr">
        <is>
          <t>A 22559-2026</t>
        </is>
      </c>
      <c r="B16" s="1" t="n">
        <v>46155</v>
      </c>
      <c r="C16" s="1" t="n">
        <v>46199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1.5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Svartoxe
Talltita
Bergsslok
Blåsippa</t>
        </is>
      </c>
      <c r="S16">
        <f>HYPERLINK("https://klasma.github.io/Logging_0821/artfynd/A 22559-2026 artfynd.xlsx", "A 22559-2026")</f>
        <v/>
      </c>
      <c r="T16">
        <f>HYPERLINK("https://klasma.github.io/Logging_0821/kartor/A 22559-2026 karta.png", "A 22559-2026")</f>
        <v/>
      </c>
      <c r="V16">
        <f>HYPERLINK("https://klasma.github.io/Logging_0821/klagomål/A 22559-2026 FSC-klagomål.docx", "A 22559-2026")</f>
        <v/>
      </c>
      <c r="W16">
        <f>HYPERLINK("https://klasma.github.io/Logging_0821/klagomålsmail/A 22559-2026 FSC-klagomål mail.docx", "A 22559-2026")</f>
        <v/>
      </c>
      <c r="X16">
        <f>HYPERLINK("https://klasma.github.io/Logging_0821/tillsyn/A 22559-2026 tillsynsbegäran.docx", "A 22559-2026")</f>
        <v/>
      </c>
      <c r="Y16">
        <f>HYPERLINK("https://klasma.github.io/Logging_0821/tillsynsmail/A 22559-2026 tillsynsbegäran mail.docx", "A 22559-2026")</f>
        <v/>
      </c>
      <c r="Z16">
        <f>HYPERLINK("https://klasma.github.io/Logging_0821/fåglar/A 22559-2026 prioriterade fågelarter.docx", "A 22559-2026")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46199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9384-2024</t>
        </is>
      </c>
      <c r="B18" s="1" t="n">
        <v>45359</v>
      </c>
      <c r="C18" s="1" t="n">
        <v>46199</v>
      </c>
      <c r="D18" t="inlineStr">
        <is>
          <t>KALMAR LÄN</t>
        </is>
      </c>
      <c r="E18" t="inlineStr">
        <is>
          <t>HÖGSBY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Fjällig taggsvamp s.str.
Gultoppig fingersvamp
Skarp dropptaggsvamp</t>
        </is>
      </c>
      <c r="S18">
        <f>HYPERLINK("https://klasma.github.io/Logging_0821/artfynd/A 9384-2024 artfynd.xlsx", "A 9384-2024")</f>
        <v/>
      </c>
      <c r="T18">
        <f>HYPERLINK("https://klasma.github.io/Logging_0821/kartor/A 9384-2024 karta.png", "A 9384-2024")</f>
        <v/>
      </c>
      <c r="V18">
        <f>HYPERLINK("https://klasma.github.io/Logging_0821/klagomål/A 9384-2024 FSC-klagomål.docx", "A 9384-2024")</f>
        <v/>
      </c>
      <c r="W18">
        <f>HYPERLINK("https://klasma.github.io/Logging_0821/klagomålsmail/A 9384-2024 FSC-klagomål mail.docx", "A 9384-2024")</f>
        <v/>
      </c>
      <c r="X18">
        <f>HYPERLINK("https://klasma.github.io/Logging_0821/tillsyn/A 9384-2024 tillsynsbegäran.docx", "A 9384-2024")</f>
        <v/>
      </c>
      <c r="Y18">
        <f>HYPERLINK("https://klasma.github.io/Logging_0821/tillsynsmail/A 9384-2024 tillsynsbegäran mail.docx", "A 9384-2024")</f>
        <v/>
      </c>
    </row>
    <row r="19" ht="15" customHeight="1">
      <c r="A19" t="inlineStr">
        <is>
          <t>A 47236-2023</t>
        </is>
      </c>
      <c r="B19" s="1" t="n">
        <v>45202</v>
      </c>
      <c r="C19" s="1" t="n">
        <v>46199</v>
      </c>
      <c r="D19" t="inlineStr">
        <is>
          <t>KALMAR LÄN</t>
        </is>
      </c>
      <c r="E19" t="inlineStr">
        <is>
          <t>HÖGSBY</t>
        </is>
      </c>
      <c r="G19" t="n">
        <v>13.2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Backklöver
Nötkråka
Revlummer</t>
        </is>
      </c>
      <c r="S19">
        <f>HYPERLINK("https://klasma.github.io/Logging_0821/artfynd/A 47236-2023 artfynd.xlsx", "A 47236-2023")</f>
        <v/>
      </c>
      <c r="T19">
        <f>HYPERLINK("https://klasma.github.io/Logging_0821/kartor/A 47236-2023 karta.png", "A 47236-2023")</f>
        <v/>
      </c>
      <c r="V19">
        <f>HYPERLINK("https://klasma.github.io/Logging_0821/klagomål/A 47236-2023 FSC-klagomål.docx", "A 47236-2023")</f>
        <v/>
      </c>
      <c r="W19">
        <f>HYPERLINK("https://klasma.github.io/Logging_0821/klagomålsmail/A 47236-2023 FSC-klagomål mail.docx", "A 47236-2023")</f>
        <v/>
      </c>
      <c r="X19">
        <f>HYPERLINK("https://klasma.github.io/Logging_0821/tillsyn/A 47236-2023 tillsynsbegäran.docx", "A 47236-2023")</f>
        <v/>
      </c>
      <c r="Y19">
        <f>HYPERLINK("https://klasma.github.io/Logging_0821/tillsynsmail/A 47236-2023 tillsynsbegäran mail.docx", "A 47236-2023")</f>
        <v/>
      </c>
      <c r="Z19">
        <f>HYPERLINK("https://klasma.github.io/Logging_0821/fåglar/A 47236-2023 prioriterade fågelarter.docx", "A 47236-2023")</f>
        <v/>
      </c>
    </row>
    <row r="20" ht="15" customHeight="1">
      <c r="A20" t="inlineStr">
        <is>
          <t>A 22542-2026</t>
        </is>
      </c>
      <c r="B20" s="1" t="n">
        <v>46155</v>
      </c>
      <c r="C20" s="1" t="n">
        <v>46199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Svartoxe
Talltita
Kärrviol</t>
        </is>
      </c>
      <c r="S20">
        <f>HYPERLINK("https://klasma.github.io/Logging_0821/artfynd/A 22542-2026 artfynd.xlsx", "A 22542-2026")</f>
        <v/>
      </c>
      <c r="T20">
        <f>HYPERLINK("https://klasma.github.io/Logging_0821/kartor/A 22542-2026 karta.png", "A 22542-2026")</f>
        <v/>
      </c>
      <c r="V20">
        <f>HYPERLINK("https://klasma.github.io/Logging_0821/klagomål/A 22542-2026 FSC-klagomål.docx", "A 22542-2026")</f>
        <v/>
      </c>
      <c r="W20">
        <f>HYPERLINK("https://klasma.github.io/Logging_0821/klagomålsmail/A 22542-2026 FSC-klagomål mail.docx", "A 22542-2026")</f>
        <v/>
      </c>
      <c r="X20">
        <f>HYPERLINK("https://klasma.github.io/Logging_0821/tillsyn/A 22542-2026 tillsynsbegäran.docx", "A 22542-2026")</f>
        <v/>
      </c>
      <c r="Y20">
        <f>HYPERLINK("https://klasma.github.io/Logging_0821/tillsynsmail/A 22542-2026 tillsynsbegäran mail.docx", "A 22542-2026")</f>
        <v/>
      </c>
      <c r="Z20">
        <f>HYPERLINK("https://klasma.github.io/Logging_0821/fåglar/A 22542-2026 prioriterade fågelarter.docx", "A 22542-2026")</f>
        <v/>
      </c>
    </row>
    <row r="21" ht="15" customHeight="1">
      <c r="A21" t="inlineStr">
        <is>
          <t>A 55060-2023</t>
        </is>
      </c>
      <c r="B21" s="1" t="n">
        <v>45230</v>
      </c>
      <c r="C21" s="1" t="n">
        <v>46199</v>
      </c>
      <c r="D21" t="inlineStr">
        <is>
          <t>KALMAR LÄN</t>
        </is>
      </c>
      <c r="E21" t="inlineStr">
        <is>
          <t>HÖGSBY</t>
        </is>
      </c>
      <c r="G21" t="n">
        <v>3.6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Blodticka
Spillkråka</t>
        </is>
      </c>
      <c r="S21">
        <f>HYPERLINK("https://klasma.github.io/Logging_0821/artfynd/A 55060-2023 artfynd.xlsx", "A 55060-2023")</f>
        <v/>
      </c>
      <c r="T21">
        <f>HYPERLINK("https://klasma.github.io/Logging_0821/kartor/A 55060-2023 karta.png", "A 55060-2023")</f>
        <v/>
      </c>
      <c r="V21">
        <f>HYPERLINK("https://klasma.github.io/Logging_0821/klagomål/A 55060-2023 FSC-klagomål.docx", "A 55060-2023")</f>
        <v/>
      </c>
      <c r="W21">
        <f>HYPERLINK("https://klasma.github.io/Logging_0821/klagomålsmail/A 55060-2023 FSC-klagomål mail.docx", "A 55060-2023")</f>
        <v/>
      </c>
      <c r="X21">
        <f>HYPERLINK("https://klasma.github.io/Logging_0821/tillsyn/A 55060-2023 tillsynsbegäran.docx", "A 55060-2023")</f>
        <v/>
      </c>
      <c r="Y21">
        <f>HYPERLINK("https://klasma.github.io/Logging_0821/tillsynsmail/A 55060-2023 tillsynsbegäran mail.docx", "A 55060-2023")</f>
        <v/>
      </c>
      <c r="Z21">
        <f>HYPERLINK("https://klasma.github.io/Logging_0821/fåglar/A 55060-2023 prioriterade fågelarter.docx", "A 55060-2023")</f>
        <v/>
      </c>
    </row>
    <row r="22" ht="15" customHeight="1">
      <c r="A22" t="inlineStr">
        <is>
          <t>A 23413-2023</t>
        </is>
      </c>
      <c r="B22" s="1" t="n">
        <v>45076</v>
      </c>
      <c r="C22" s="1" t="n">
        <v>46199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Mindre bastardsvärmare
Spindelört
Spindelörtskinnbagge</t>
        </is>
      </c>
      <c r="S22">
        <f>HYPERLINK("https://klasma.github.io/Logging_0821/artfynd/A 23413-2023 artfynd.xlsx", "A 23413-2023")</f>
        <v/>
      </c>
      <c r="T22">
        <f>HYPERLINK("https://klasma.github.io/Logging_0821/kartor/A 23413-2023 karta.png", "A 23413-2023")</f>
        <v/>
      </c>
      <c r="V22">
        <f>HYPERLINK("https://klasma.github.io/Logging_0821/klagomål/A 23413-2023 FSC-klagomål.docx", "A 23413-2023")</f>
        <v/>
      </c>
      <c r="W22">
        <f>HYPERLINK("https://klasma.github.io/Logging_0821/klagomålsmail/A 23413-2023 FSC-klagomål mail.docx", "A 23413-2023")</f>
        <v/>
      </c>
      <c r="X22">
        <f>HYPERLINK("https://klasma.github.io/Logging_0821/tillsyn/A 23413-2023 tillsynsbegäran.docx", "A 23413-2023")</f>
        <v/>
      </c>
      <c r="Y22">
        <f>HYPERLINK("https://klasma.github.io/Logging_0821/tillsynsmail/A 23413-2023 tillsynsbegäran mail.docx", "A 23413-2023")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46199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Tjäder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  <c r="Z23">
        <f>HYPERLINK("https://klasma.github.io/Logging_0821/fåglar/A 62431-2023 prioriterade fågelarter.docx", "A 62431-2023")</f>
        <v/>
      </c>
    </row>
    <row r="24" ht="15" customHeight="1">
      <c r="A24" t="inlineStr">
        <is>
          <t>A 62371-2023</t>
        </is>
      </c>
      <c r="B24" s="1" t="n">
        <v>45268</v>
      </c>
      <c r="C24" s="1" t="n">
        <v>46199</v>
      </c>
      <c r="D24" t="inlineStr">
        <is>
          <t>KALMAR LÄN</t>
        </is>
      </c>
      <c r="E24" t="inlineStr">
        <is>
          <t>HÖGSBY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Spillkråka</t>
        </is>
      </c>
      <c r="S24">
        <f>HYPERLINK("https://klasma.github.io/Logging_0821/artfynd/A 62371-2023 artfynd.xlsx", "A 62371-2023")</f>
        <v/>
      </c>
      <c r="T24">
        <f>HYPERLINK("https://klasma.github.io/Logging_0821/kartor/A 62371-2023 karta.png", "A 62371-2023")</f>
        <v/>
      </c>
      <c r="U24">
        <f>HYPERLINK("https://klasma.github.io/Logging_0821/knärot/A 62371-2023 karta knärot.png", "A 62371-2023")</f>
        <v/>
      </c>
      <c r="V24">
        <f>HYPERLINK("https://klasma.github.io/Logging_0821/klagomål/A 62371-2023 FSC-klagomål.docx", "A 62371-2023")</f>
        <v/>
      </c>
      <c r="W24">
        <f>HYPERLINK("https://klasma.github.io/Logging_0821/klagomålsmail/A 62371-2023 FSC-klagomål mail.docx", "A 62371-2023")</f>
        <v/>
      </c>
      <c r="X24">
        <f>HYPERLINK("https://klasma.github.io/Logging_0821/tillsyn/A 62371-2023 tillsynsbegäran.docx", "A 62371-2023")</f>
        <v/>
      </c>
      <c r="Y24">
        <f>HYPERLINK("https://klasma.github.io/Logging_0821/tillsynsmail/A 62371-2023 tillsynsbegäran mail.docx", "A 62371-2023")</f>
        <v/>
      </c>
      <c r="Z24">
        <f>HYPERLINK("https://klasma.github.io/Logging_0821/fåglar/A 62371-2023 prioriterade fågelarter.docx", "A 62371-2023")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46199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Kattfotslav
Flagellkvastmossa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9616-2022</t>
        </is>
      </c>
      <c r="B26" s="1" t="n">
        <v>44617</v>
      </c>
      <c r="C26" s="1" t="n">
        <v>46199</v>
      </c>
      <c r="D26" t="inlineStr">
        <is>
          <t>KALMAR LÄN</t>
        </is>
      </c>
      <c r="E26" t="inlineStr">
        <is>
          <t>HÖGSBY</t>
        </is>
      </c>
      <c r="G26" t="n">
        <v>6.4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Knippnejlika
Solvända</t>
        </is>
      </c>
      <c r="S26">
        <f>HYPERLINK("https://klasma.github.io/Logging_0821/artfynd/A 9616-2022 artfynd.xlsx", "A 9616-2022")</f>
        <v/>
      </c>
      <c r="T26">
        <f>HYPERLINK("https://klasma.github.io/Logging_0821/kartor/A 9616-2022 karta.png", "A 9616-2022")</f>
        <v/>
      </c>
      <c r="V26">
        <f>HYPERLINK("https://klasma.github.io/Logging_0821/klagomål/A 9616-2022 FSC-klagomål.docx", "A 9616-2022")</f>
        <v/>
      </c>
      <c r="W26">
        <f>HYPERLINK("https://klasma.github.io/Logging_0821/klagomålsmail/A 9616-2022 FSC-klagomål mail.docx", "A 9616-2022")</f>
        <v/>
      </c>
      <c r="X26">
        <f>HYPERLINK("https://klasma.github.io/Logging_0821/tillsyn/A 9616-2022 tillsynsbegäran.docx", "A 9616-2022")</f>
        <v/>
      </c>
      <c r="Y26">
        <f>HYPERLINK("https://klasma.github.io/Logging_0821/tillsynsmail/A 9616-2022 tillsynsbegäran mail.docx", "A 9616-2022")</f>
        <v/>
      </c>
    </row>
    <row r="27" ht="15" customHeight="1">
      <c r="A27" t="inlineStr">
        <is>
          <t>A 5667-2026</t>
        </is>
      </c>
      <c r="B27" s="1" t="n">
        <v>46051</v>
      </c>
      <c r="C27" s="1" t="n">
        <v>46199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19.8</v>
      </c>
      <c r="H27" t="n">
        <v>0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Slåttergubbe
Slåttergubbemal</t>
        </is>
      </c>
      <c r="S27">
        <f>HYPERLINK("https://klasma.github.io/Logging_0821/artfynd/A 5667-2026 artfynd.xlsx", "A 5667-2026")</f>
        <v/>
      </c>
      <c r="T27">
        <f>HYPERLINK("https://klasma.github.io/Logging_0821/kartor/A 5667-2026 karta.png", "A 5667-2026")</f>
        <v/>
      </c>
      <c r="V27">
        <f>HYPERLINK("https://klasma.github.io/Logging_0821/klagomål/A 5667-2026 FSC-klagomål.docx", "A 5667-2026")</f>
        <v/>
      </c>
      <c r="W27">
        <f>HYPERLINK("https://klasma.github.io/Logging_0821/klagomålsmail/A 5667-2026 FSC-klagomål mail.docx", "A 5667-2026")</f>
        <v/>
      </c>
      <c r="X27">
        <f>HYPERLINK("https://klasma.github.io/Logging_0821/tillsyn/A 5667-2026 tillsynsbegäran.docx", "A 5667-2026")</f>
        <v/>
      </c>
      <c r="Y27">
        <f>HYPERLINK("https://klasma.github.io/Logging_0821/tillsynsmail/A 5667-2026 tillsynsbegäran mail.docx", "A 5667-2026")</f>
        <v/>
      </c>
    </row>
    <row r="28" ht="15" customHeight="1">
      <c r="A28" t="inlineStr">
        <is>
          <t>A 30203-2023</t>
        </is>
      </c>
      <c r="B28" s="1" t="n">
        <v>45110</v>
      </c>
      <c r="C28" s="1" t="n">
        <v>46199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Mistel
Gullviva</t>
        </is>
      </c>
      <c r="S28">
        <f>HYPERLINK("https://klasma.github.io/Logging_0821/artfynd/A 30203-2023 artfynd.xlsx", "A 30203-2023")</f>
        <v/>
      </c>
      <c r="T28">
        <f>HYPERLINK("https://klasma.github.io/Logging_0821/kartor/A 30203-2023 karta.png", "A 30203-2023")</f>
        <v/>
      </c>
      <c r="V28">
        <f>HYPERLINK("https://klasma.github.io/Logging_0821/klagomål/A 30203-2023 FSC-klagomål.docx", "A 30203-2023")</f>
        <v/>
      </c>
      <c r="W28">
        <f>HYPERLINK("https://klasma.github.io/Logging_0821/klagomålsmail/A 30203-2023 FSC-klagomål mail.docx", "A 30203-2023")</f>
        <v/>
      </c>
      <c r="X28">
        <f>HYPERLINK("https://klasma.github.io/Logging_0821/tillsyn/A 30203-2023 tillsynsbegäran.docx", "A 30203-2023")</f>
        <v/>
      </c>
      <c r="Y28">
        <f>HYPERLINK("https://klasma.github.io/Logging_0821/tillsynsmail/A 30203-2023 tillsynsbegäran mail.docx", "A 30203-2023")</f>
        <v/>
      </c>
    </row>
    <row r="29" ht="15" customHeight="1">
      <c r="A29" t="inlineStr">
        <is>
          <t>A 26759-2026</t>
        </is>
      </c>
      <c r="B29" s="1" t="n">
        <v>46184</v>
      </c>
      <c r="C29" s="1" t="n">
        <v>46199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HYPERLINK("https://klasma.github.io/Logging_0821/artfynd/A 26759-2026 artfynd.xlsx", "A 26759-2026")</f>
        <v/>
      </c>
      <c r="T29">
        <f>HYPERLINK("https://klasma.github.io/Logging_0821/kartor/A 26759-2026 karta.png", "A 26759-2026")</f>
        <v/>
      </c>
      <c r="V29">
        <f>HYPERLINK("https://klasma.github.io/Logging_0821/klagomål/A 26759-2026 FSC-klagomål.docx", "A 26759-2026")</f>
        <v/>
      </c>
      <c r="W29">
        <f>HYPERLINK("https://klasma.github.io/Logging_0821/klagomålsmail/A 26759-2026 FSC-klagomål mail.docx", "A 26759-2026")</f>
        <v/>
      </c>
      <c r="X29">
        <f>HYPERLINK("https://klasma.github.io/Logging_0821/tillsyn/A 26759-2026 tillsynsbegäran.docx", "A 26759-2026")</f>
        <v/>
      </c>
      <c r="Y29">
        <f>HYPERLINK("https://klasma.github.io/Logging_0821/tillsynsmail/A 26759-2026 tillsynsbegäran mail.docx", "A 26759-2026")</f>
        <v/>
      </c>
      <c r="Z29">
        <f>HYPERLINK("https://klasma.github.io/Logging_0821/fåglar/A 26759-2026 prioriterade fågelarter.docx", "A 26759-2026")</f>
        <v/>
      </c>
    </row>
    <row r="30" ht="15" customHeight="1">
      <c r="A30" t="inlineStr">
        <is>
          <t>A 26775-2026</t>
        </is>
      </c>
      <c r="B30" s="1" t="n">
        <v>46184</v>
      </c>
      <c r="C30" s="1" t="n">
        <v>46199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Vårärt
Blåsippa</t>
        </is>
      </c>
      <c r="S30">
        <f>HYPERLINK("https://klasma.github.io/Logging_0821/artfynd/A 26775-2026 artfynd.xlsx", "A 26775-2026")</f>
        <v/>
      </c>
      <c r="T30">
        <f>HYPERLINK("https://klasma.github.io/Logging_0821/kartor/A 26775-2026 karta.png", "A 26775-2026")</f>
        <v/>
      </c>
      <c r="V30">
        <f>HYPERLINK("https://klasma.github.io/Logging_0821/klagomål/A 26775-2026 FSC-klagomål.docx", "A 26775-2026")</f>
        <v/>
      </c>
      <c r="W30">
        <f>HYPERLINK("https://klasma.github.io/Logging_0821/klagomålsmail/A 26775-2026 FSC-klagomål mail.docx", "A 26775-2026")</f>
        <v/>
      </c>
      <c r="X30">
        <f>HYPERLINK("https://klasma.github.io/Logging_0821/tillsyn/A 26775-2026 tillsynsbegäran.docx", "A 26775-2026")</f>
        <v/>
      </c>
      <c r="Y30">
        <f>HYPERLINK("https://klasma.github.io/Logging_0821/tillsynsmail/A 26775-2026 tillsynsbegäran mail.docx", "A 26775-2026")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46199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22405-2025</t>
        </is>
      </c>
      <c r="B32" s="1" t="n">
        <v>45786</v>
      </c>
      <c r="C32" s="1" t="n">
        <v>46199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22405-2025 artfynd.xlsx", "A 22405-2025")</f>
        <v/>
      </c>
      <c r="T32">
        <f>HYPERLINK("https://klasma.github.io/Logging_0821/kartor/A 22405-2025 karta.png", "A 22405-2025")</f>
        <v/>
      </c>
      <c r="V32">
        <f>HYPERLINK("https://klasma.github.io/Logging_0821/klagomål/A 22405-2025 FSC-klagomål.docx", "A 22405-2025")</f>
        <v/>
      </c>
      <c r="W32">
        <f>HYPERLINK("https://klasma.github.io/Logging_0821/klagomålsmail/A 22405-2025 FSC-klagomål mail.docx", "A 22405-2025")</f>
        <v/>
      </c>
      <c r="X32">
        <f>HYPERLINK("https://klasma.github.io/Logging_0821/tillsyn/A 22405-2025 tillsynsbegäran.docx", "A 22405-2025")</f>
        <v/>
      </c>
      <c r="Y32">
        <f>HYPERLINK("https://klasma.github.io/Logging_0821/tillsynsmail/A 22405-2025 tillsynsbegäran mail.docx", "A 22405-2025")</f>
        <v/>
      </c>
    </row>
    <row r="33" ht="15" customHeight="1">
      <c r="A33" t="inlineStr">
        <is>
          <t>A 24911-2023</t>
        </is>
      </c>
      <c r="B33" s="1" t="n">
        <v>45085</v>
      </c>
      <c r="C33" s="1" t="n">
        <v>46199</v>
      </c>
      <c r="D33" t="inlineStr">
        <is>
          <t>KALMAR LÄN</t>
        </is>
      </c>
      <c r="E33" t="inlineStr">
        <is>
          <t>HÖGSBY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HYPERLINK("https://klasma.github.io/Logging_0821/artfynd/A 24911-2023 artfynd.xlsx", "A 24911-2023")</f>
        <v/>
      </c>
      <c r="T33">
        <f>HYPERLINK("https://klasma.github.io/Logging_0821/kartor/A 24911-2023 karta.png", "A 24911-2023")</f>
        <v/>
      </c>
      <c r="V33">
        <f>HYPERLINK("https://klasma.github.io/Logging_0821/klagomål/A 24911-2023 FSC-klagomål.docx", "A 24911-2023")</f>
        <v/>
      </c>
      <c r="W33">
        <f>HYPERLINK("https://klasma.github.io/Logging_0821/klagomålsmail/A 24911-2023 FSC-klagomål mail.docx", "A 24911-2023")</f>
        <v/>
      </c>
      <c r="X33">
        <f>HYPERLINK("https://klasma.github.io/Logging_0821/tillsyn/A 24911-2023 tillsynsbegäran.docx", "A 24911-2023")</f>
        <v/>
      </c>
      <c r="Y33">
        <f>HYPERLINK("https://klasma.github.io/Logging_0821/tillsynsmail/A 24911-2023 tillsynsbegäran mail.docx", "A 24911-2023")</f>
        <v/>
      </c>
    </row>
    <row r="34" ht="15" customHeight="1">
      <c r="A34" t="inlineStr">
        <is>
          <t>A 17994-2026</t>
        </is>
      </c>
      <c r="B34" s="1" t="n">
        <v>46124</v>
      </c>
      <c r="C34" s="1" t="n">
        <v>46199</v>
      </c>
      <c r="D34" t="inlineStr">
        <is>
          <t>KALMAR LÄN</t>
        </is>
      </c>
      <c r="E34" t="inlineStr">
        <is>
          <t>HÖGSBY</t>
        </is>
      </c>
      <c r="G34" t="n">
        <v>1.7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Mindre bastardsvärmare</t>
        </is>
      </c>
      <c r="S34">
        <f>HYPERLINK("https://klasma.github.io/Logging_0821/artfynd/A 17994-2026 artfynd.xlsx", "A 17994-2026")</f>
        <v/>
      </c>
      <c r="T34">
        <f>HYPERLINK("https://klasma.github.io/Logging_0821/kartor/A 17994-2026 karta.png", "A 17994-2026")</f>
        <v/>
      </c>
      <c r="V34">
        <f>HYPERLINK("https://klasma.github.io/Logging_0821/klagomål/A 17994-2026 FSC-klagomål.docx", "A 17994-2026")</f>
        <v/>
      </c>
      <c r="W34">
        <f>HYPERLINK("https://klasma.github.io/Logging_0821/klagomålsmail/A 17994-2026 FSC-klagomål mail.docx", "A 17994-2026")</f>
        <v/>
      </c>
      <c r="X34">
        <f>HYPERLINK("https://klasma.github.io/Logging_0821/tillsyn/A 17994-2026 tillsynsbegäran.docx", "A 17994-2026")</f>
        <v/>
      </c>
      <c r="Y34">
        <f>HYPERLINK("https://klasma.github.io/Logging_0821/tillsynsmail/A 17994-2026 tillsynsbegäran mail.docx", "A 17994-2026")</f>
        <v/>
      </c>
    </row>
    <row r="35" ht="15" customHeight="1">
      <c r="A35" t="inlineStr">
        <is>
          <t>A 23859-2026</t>
        </is>
      </c>
      <c r="B35" s="1" t="n">
        <v>46167</v>
      </c>
      <c r="C35" s="1" t="n">
        <v>46199</v>
      </c>
      <c r="D35" t="inlineStr">
        <is>
          <t>KALMAR LÄN</t>
        </is>
      </c>
      <c r="E35" t="inlineStr">
        <is>
          <t>HÖGSBY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Rödlånke</t>
        </is>
      </c>
      <c r="S35">
        <f>HYPERLINK("https://klasma.github.io/Logging_0821/artfynd/A 23859-2026 artfynd.xlsx", "A 23859-2026")</f>
        <v/>
      </c>
      <c r="T35">
        <f>HYPERLINK("https://klasma.github.io/Logging_0821/kartor/A 23859-2026 karta.png", "A 23859-2026")</f>
        <v/>
      </c>
      <c r="V35">
        <f>HYPERLINK("https://klasma.github.io/Logging_0821/klagomål/A 23859-2026 FSC-klagomål.docx", "A 23859-2026")</f>
        <v/>
      </c>
      <c r="W35">
        <f>HYPERLINK("https://klasma.github.io/Logging_0821/klagomålsmail/A 23859-2026 FSC-klagomål mail.docx", "A 23859-2026")</f>
        <v/>
      </c>
      <c r="X35">
        <f>HYPERLINK("https://klasma.github.io/Logging_0821/tillsyn/A 23859-2026 tillsynsbegäran.docx", "A 23859-2026")</f>
        <v/>
      </c>
      <c r="Y35">
        <f>HYPERLINK("https://klasma.github.io/Logging_0821/tillsynsmail/A 23859-2026 tillsynsbegäran mail.docx", "A 23859-2026")</f>
        <v/>
      </c>
    </row>
    <row r="36" ht="15" customHeight="1">
      <c r="A36" t="inlineStr">
        <is>
          <t>A 52177-2022</t>
        </is>
      </c>
      <c r="B36" s="1" t="n">
        <v>44868</v>
      </c>
      <c r="C36" s="1" t="n">
        <v>46199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HYPERLINK("https://klasma.github.io/Logging_0821/artfynd/A 52177-2022 artfynd.xlsx", "A 52177-2022")</f>
        <v/>
      </c>
      <c r="T36">
        <f>HYPERLINK("https://klasma.github.io/Logging_0821/kartor/A 52177-2022 karta.png", "A 52177-2022")</f>
        <v/>
      </c>
      <c r="V36">
        <f>HYPERLINK("https://klasma.github.io/Logging_0821/klagomål/A 52177-2022 FSC-klagomål.docx", "A 52177-2022")</f>
        <v/>
      </c>
      <c r="W36">
        <f>HYPERLINK("https://klasma.github.io/Logging_0821/klagomålsmail/A 52177-2022 FSC-klagomål mail.docx", "A 52177-2022")</f>
        <v/>
      </c>
      <c r="X36">
        <f>HYPERLINK("https://klasma.github.io/Logging_0821/tillsyn/A 52177-2022 tillsynsbegäran.docx", "A 52177-2022")</f>
        <v/>
      </c>
      <c r="Y36">
        <f>HYPERLINK("https://klasma.github.io/Logging_0821/tillsynsmail/A 52177-2022 tillsynsbegäran mail.docx", "A 52177-2022")</f>
        <v/>
      </c>
    </row>
    <row r="37" ht="15" customHeight="1">
      <c r="A37" t="inlineStr">
        <is>
          <t>A 58792-2022</t>
        </is>
      </c>
      <c r="B37" s="1" t="n">
        <v>44903</v>
      </c>
      <c r="C37" s="1" t="n">
        <v>46199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HYPERLINK("https://klasma.github.io/Logging_0821/artfynd/A 58792-2022 artfynd.xlsx", "A 58792-2022")</f>
        <v/>
      </c>
      <c r="T37">
        <f>HYPERLINK("https://klasma.github.io/Logging_0821/kartor/A 58792-2022 karta.png", "A 58792-2022")</f>
        <v/>
      </c>
      <c r="V37">
        <f>HYPERLINK("https://klasma.github.io/Logging_0821/klagomål/A 58792-2022 FSC-klagomål.docx", "A 58792-2022")</f>
        <v/>
      </c>
      <c r="W37">
        <f>HYPERLINK("https://klasma.github.io/Logging_0821/klagomålsmail/A 58792-2022 FSC-klagomål mail.docx", "A 58792-2022")</f>
        <v/>
      </c>
      <c r="X37">
        <f>HYPERLINK("https://klasma.github.io/Logging_0821/tillsyn/A 58792-2022 tillsynsbegäran.docx", "A 58792-2022")</f>
        <v/>
      </c>
      <c r="Y37">
        <f>HYPERLINK("https://klasma.github.io/Logging_0821/tillsynsmail/A 58792-2022 tillsynsbegäran mail.docx", "A 58792-2022")</f>
        <v/>
      </c>
    </row>
    <row r="38" ht="15" customHeight="1">
      <c r="A38" t="inlineStr">
        <is>
          <t>A 19463-2026</t>
        </is>
      </c>
      <c r="B38" s="1" t="n">
        <v>46129</v>
      </c>
      <c r="C38" s="1" t="n">
        <v>46199</v>
      </c>
      <c r="D38" t="inlineStr">
        <is>
          <t>KALMAR LÄN</t>
        </is>
      </c>
      <c r="E38" t="inlineStr">
        <is>
          <t>HÖGSBY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HYPERLINK("https://klasma.github.io/Logging_0821/artfynd/A 19463-2026 artfynd.xlsx", "A 19463-2026")</f>
        <v/>
      </c>
      <c r="T38">
        <f>HYPERLINK("https://klasma.github.io/Logging_0821/kartor/A 19463-2026 karta.png", "A 19463-2026")</f>
        <v/>
      </c>
      <c r="V38">
        <f>HYPERLINK("https://klasma.github.io/Logging_0821/klagomål/A 19463-2026 FSC-klagomål.docx", "A 19463-2026")</f>
        <v/>
      </c>
      <c r="W38">
        <f>HYPERLINK("https://klasma.github.io/Logging_0821/klagomålsmail/A 19463-2026 FSC-klagomål mail.docx", "A 19463-2026")</f>
        <v/>
      </c>
      <c r="X38">
        <f>HYPERLINK("https://klasma.github.io/Logging_0821/tillsyn/A 19463-2026 tillsynsbegäran.docx", "A 19463-2026")</f>
        <v/>
      </c>
      <c r="Y38">
        <f>HYPERLINK("https://klasma.github.io/Logging_0821/tillsynsmail/A 19463-2026 tillsynsbegäran mail.docx", "A 19463-2026")</f>
        <v/>
      </c>
    </row>
    <row r="39" ht="15" customHeight="1">
      <c r="A39" t="inlineStr">
        <is>
          <t>A 19536-2026</t>
        </is>
      </c>
      <c r="B39" s="1" t="n">
        <v>46134</v>
      </c>
      <c r="C39" s="1" t="n">
        <v>46199</v>
      </c>
      <c r="D39" t="inlineStr">
        <is>
          <t>KALMAR LÄN</t>
        </is>
      </c>
      <c r="E39" t="inlineStr">
        <is>
          <t>HÖGSBY</t>
        </is>
      </c>
      <c r="G39" t="n">
        <v>4.7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HYPERLINK("https://klasma.github.io/Logging_0821/artfynd/A 19536-2026 artfynd.xlsx", "A 19536-2026")</f>
        <v/>
      </c>
      <c r="T39">
        <f>HYPERLINK("https://klasma.github.io/Logging_0821/kartor/A 19536-2026 karta.png", "A 19536-2026")</f>
        <v/>
      </c>
      <c r="V39">
        <f>HYPERLINK("https://klasma.github.io/Logging_0821/klagomål/A 19536-2026 FSC-klagomål.docx", "A 19536-2026")</f>
        <v/>
      </c>
      <c r="W39">
        <f>HYPERLINK("https://klasma.github.io/Logging_0821/klagomålsmail/A 19536-2026 FSC-klagomål mail.docx", "A 19536-2026")</f>
        <v/>
      </c>
      <c r="X39">
        <f>HYPERLINK("https://klasma.github.io/Logging_0821/tillsyn/A 19536-2026 tillsynsbegäran.docx", "A 19536-2026")</f>
        <v/>
      </c>
      <c r="Y39">
        <f>HYPERLINK("https://klasma.github.io/Logging_0821/tillsynsmail/A 19536-2026 tillsynsbegäran mail.docx", "A 19536-2026")</f>
        <v/>
      </c>
      <c r="Z39">
        <f>HYPERLINK("https://klasma.github.io/Logging_0821/fåglar/A 19536-2026 prioriterade fågelarter.docx", "A 19536-2026")</f>
        <v/>
      </c>
    </row>
    <row r="40" ht="15" customHeight="1">
      <c r="A40" t="inlineStr">
        <is>
          <t>A 59407-2022</t>
        </is>
      </c>
      <c r="B40" s="1" t="n">
        <v>44907</v>
      </c>
      <c r="C40" s="1" t="n">
        <v>46199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59407-2022 artfynd.xlsx", "A 59407-2022")</f>
        <v/>
      </c>
      <c r="T40">
        <f>HYPERLINK("https://klasma.github.io/Logging_0821/kartor/A 59407-2022 karta.png", "A 59407-2022")</f>
        <v/>
      </c>
      <c r="V40">
        <f>HYPERLINK("https://klasma.github.io/Logging_0821/klagomål/A 59407-2022 FSC-klagomål.docx", "A 59407-2022")</f>
        <v/>
      </c>
      <c r="W40">
        <f>HYPERLINK("https://klasma.github.io/Logging_0821/klagomålsmail/A 59407-2022 FSC-klagomål mail.docx", "A 59407-2022")</f>
        <v/>
      </c>
      <c r="X40">
        <f>HYPERLINK("https://klasma.github.io/Logging_0821/tillsyn/A 59407-2022 tillsynsbegäran.docx", "A 59407-2022")</f>
        <v/>
      </c>
      <c r="Y40">
        <f>HYPERLINK("https://klasma.github.io/Logging_0821/tillsynsmail/A 59407-2022 tillsynsbegäran mail.docx", "A 59407-2022")</f>
        <v/>
      </c>
    </row>
    <row r="41" ht="15" customHeight="1">
      <c r="A41" t="inlineStr">
        <is>
          <t>A 38267-2025</t>
        </is>
      </c>
      <c r="B41" s="1" t="n">
        <v>45883</v>
      </c>
      <c r="C41" s="1" t="n">
        <v>46199</v>
      </c>
      <c r="D41" t="inlineStr">
        <is>
          <t>KALMAR LÄN</t>
        </is>
      </c>
      <c r="E41" t="inlineStr">
        <is>
          <t>HÖGSBY</t>
        </is>
      </c>
      <c r="G41" t="n">
        <v>1.6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Flikig tallfibbla</t>
        </is>
      </c>
      <c r="S41">
        <f>HYPERLINK("https://klasma.github.io/Logging_0821/artfynd/A 38267-2025 artfynd.xlsx", "A 38267-2025")</f>
        <v/>
      </c>
      <c r="T41">
        <f>HYPERLINK("https://klasma.github.io/Logging_0821/kartor/A 38267-2025 karta.png", "A 38267-2025")</f>
        <v/>
      </c>
      <c r="V41">
        <f>HYPERLINK("https://klasma.github.io/Logging_0821/klagomål/A 38267-2025 FSC-klagomål.docx", "A 38267-2025")</f>
        <v/>
      </c>
      <c r="W41">
        <f>HYPERLINK("https://klasma.github.io/Logging_0821/klagomålsmail/A 38267-2025 FSC-klagomål mail.docx", "A 38267-2025")</f>
        <v/>
      </c>
      <c r="X41">
        <f>HYPERLINK("https://klasma.github.io/Logging_0821/tillsyn/A 38267-2025 tillsynsbegäran.docx", "A 38267-2025")</f>
        <v/>
      </c>
      <c r="Y41">
        <f>HYPERLINK("https://klasma.github.io/Logging_0821/tillsynsmail/A 38267-2025 tillsynsbegäran mail.docx", "A 38267-2025")</f>
        <v/>
      </c>
    </row>
    <row r="42" ht="15" customHeight="1">
      <c r="A42" t="inlineStr">
        <is>
          <t>A 35075-2023</t>
        </is>
      </c>
      <c r="B42" s="1" t="n">
        <v>45145</v>
      </c>
      <c r="C42" s="1" t="n">
        <v>46199</v>
      </c>
      <c r="D42" t="inlineStr">
        <is>
          <t>KALMAR LÄN</t>
        </is>
      </c>
      <c r="E42" t="inlineStr">
        <is>
          <t>HÖGSBY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35075-2023 artfynd.xlsx", "A 35075-2023")</f>
        <v/>
      </c>
      <c r="T42">
        <f>HYPERLINK("https://klasma.github.io/Logging_0821/kartor/A 35075-2023 karta.png", "A 35075-2023")</f>
        <v/>
      </c>
      <c r="V42">
        <f>HYPERLINK("https://klasma.github.io/Logging_0821/klagomål/A 35075-2023 FSC-klagomål.docx", "A 35075-2023")</f>
        <v/>
      </c>
      <c r="W42">
        <f>HYPERLINK("https://klasma.github.io/Logging_0821/klagomålsmail/A 35075-2023 FSC-klagomål mail.docx", "A 35075-2023")</f>
        <v/>
      </c>
      <c r="X42">
        <f>HYPERLINK("https://klasma.github.io/Logging_0821/tillsyn/A 35075-2023 tillsynsbegäran.docx", "A 35075-2023")</f>
        <v/>
      </c>
      <c r="Y42">
        <f>HYPERLINK("https://klasma.github.io/Logging_0821/tillsynsmail/A 35075-2023 tillsynsbegäran mail.docx", "A 35075-2023")</f>
        <v/>
      </c>
    </row>
    <row r="43" ht="15" customHeight="1">
      <c r="A43" t="inlineStr">
        <is>
          <t>A 26145-2026</t>
        </is>
      </c>
      <c r="B43" s="1" t="n">
        <v>46181</v>
      </c>
      <c r="C43" s="1" t="n">
        <v>46199</v>
      </c>
      <c r="D43" t="inlineStr">
        <is>
          <t>KALMAR LÄN</t>
        </is>
      </c>
      <c r="E43" t="inlineStr">
        <is>
          <t>HÖGSBY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26145-2026 artfynd.xlsx", "A 26145-2026")</f>
        <v/>
      </c>
      <c r="T43">
        <f>HYPERLINK("https://klasma.github.io/Logging_0821/kartor/A 26145-2026 karta.png", "A 26145-2026")</f>
        <v/>
      </c>
      <c r="V43">
        <f>HYPERLINK("https://klasma.github.io/Logging_0821/klagomål/A 26145-2026 FSC-klagomål.docx", "A 26145-2026")</f>
        <v/>
      </c>
      <c r="W43">
        <f>HYPERLINK("https://klasma.github.io/Logging_0821/klagomålsmail/A 26145-2026 FSC-klagomål mail.docx", "A 26145-2026")</f>
        <v/>
      </c>
      <c r="X43">
        <f>HYPERLINK("https://klasma.github.io/Logging_0821/tillsyn/A 26145-2026 tillsynsbegäran.docx", "A 26145-2026")</f>
        <v/>
      </c>
      <c r="Y43">
        <f>HYPERLINK("https://klasma.github.io/Logging_0821/tillsynsmail/A 26145-2026 tillsynsbegäran mail.docx", "A 26145-2026")</f>
        <v/>
      </c>
    </row>
    <row r="44" ht="15" customHeight="1">
      <c r="A44" t="inlineStr">
        <is>
          <t>A 1519-2022</t>
        </is>
      </c>
      <c r="B44" s="1" t="n">
        <v>44573</v>
      </c>
      <c r="C44" s="1" t="n">
        <v>46199</v>
      </c>
      <c r="D44" t="inlineStr">
        <is>
          <t>KALMAR LÄN</t>
        </is>
      </c>
      <c r="E44" t="inlineStr">
        <is>
          <t>HÖGSBY</t>
        </is>
      </c>
      <c r="G44" t="n">
        <v>2.6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HYPERLINK("https://klasma.github.io/Logging_0821/artfynd/A 1519-2022 artfynd.xlsx", "A 1519-2022")</f>
        <v/>
      </c>
      <c r="T44">
        <f>HYPERLINK("https://klasma.github.io/Logging_0821/kartor/A 1519-2022 karta.png", "A 1519-2022")</f>
        <v/>
      </c>
      <c r="V44">
        <f>HYPERLINK("https://klasma.github.io/Logging_0821/klagomål/A 1519-2022 FSC-klagomål.docx", "A 1519-2022")</f>
        <v/>
      </c>
      <c r="W44">
        <f>HYPERLINK("https://klasma.github.io/Logging_0821/klagomålsmail/A 1519-2022 FSC-klagomål mail.docx", "A 1519-2022")</f>
        <v/>
      </c>
      <c r="X44">
        <f>HYPERLINK("https://klasma.github.io/Logging_0821/tillsyn/A 1519-2022 tillsynsbegäran.docx", "A 1519-2022")</f>
        <v/>
      </c>
      <c r="Y44">
        <f>HYPERLINK("https://klasma.github.io/Logging_0821/tillsynsmail/A 1519-2022 tillsynsbegäran mail.docx", "A 1519-2022")</f>
        <v/>
      </c>
    </row>
    <row r="45" ht="15" customHeight="1">
      <c r="A45" t="inlineStr">
        <is>
          <t>A 35072-2023</t>
        </is>
      </c>
      <c r="B45" s="1" t="n">
        <v>45145</v>
      </c>
      <c r="C45" s="1" t="n">
        <v>46199</v>
      </c>
      <c r="D45" t="inlineStr">
        <is>
          <t>KALMAR LÄN</t>
        </is>
      </c>
      <c r="E45" t="inlineStr">
        <is>
          <t>HÖGSBY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35072-2023 artfynd.xlsx", "A 35072-2023")</f>
        <v/>
      </c>
      <c r="T45">
        <f>HYPERLINK("https://klasma.github.io/Logging_0821/kartor/A 35072-2023 karta.png", "A 35072-2023")</f>
        <v/>
      </c>
      <c r="V45">
        <f>HYPERLINK("https://klasma.github.io/Logging_0821/klagomål/A 35072-2023 FSC-klagomål.docx", "A 35072-2023")</f>
        <v/>
      </c>
      <c r="W45">
        <f>HYPERLINK("https://klasma.github.io/Logging_0821/klagomålsmail/A 35072-2023 FSC-klagomål mail.docx", "A 35072-2023")</f>
        <v/>
      </c>
      <c r="X45">
        <f>HYPERLINK("https://klasma.github.io/Logging_0821/tillsyn/A 35072-2023 tillsynsbegäran.docx", "A 35072-2023")</f>
        <v/>
      </c>
      <c r="Y45">
        <f>HYPERLINK("https://klasma.github.io/Logging_0821/tillsynsmail/A 35072-2023 tillsynsbegäran mail.docx", "A 35072-2023")</f>
        <v/>
      </c>
    </row>
    <row r="46" ht="15" customHeight="1">
      <c r="A46" t="inlineStr">
        <is>
          <t>A 27366-2026</t>
        </is>
      </c>
      <c r="B46" s="1" t="n">
        <v>46184</v>
      </c>
      <c r="C46" s="1" t="n">
        <v>46199</v>
      </c>
      <c r="D46" t="inlineStr">
        <is>
          <t>KALMAR LÄN</t>
        </is>
      </c>
      <c r="E46" t="inlineStr">
        <is>
          <t>HÖGSBY</t>
        </is>
      </c>
      <c r="G46" t="n">
        <v>4.4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HYPERLINK("https://klasma.github.io/Logging_0821/artfynd/A 27366-2026 artfynd.xlsx", "A 27366-2026")</f>
        <v/>
      </c>
      <c r="T46">
        <f>HYPERLINK("https://klasma.github.io/Logging_0821/kartor/A 27366-2026 karta.png", "A 27366-2026")</f>
        <v/>
      </c>
      <c r="V46">
        <f>HYPERLINK("https://klasma.github.io/Logging_0821/klagomål/A 27366-2026 FSC-klagomål.docx", "A 27366-2026")</f>
        <v/>
      </c>
      <c r="W46">
        <f>HYPERLINK("https://klasma.github.io/Logging_0821/klagomålsmail/A 27366-2026 FSC-klagomål mail.docx", "A 27366-2026")</f>
        <v/>
      </c>
      <c r="X46">
        <f>HYPERLINK("https://klasma.github.io/Logging_0821/tillsyn/A 27366-2026 tillsynsbegäran.docx", "A 27366-2026")</f>
        <v/>
      </c>
      <c r="Y46">
        <f>HYPERLINK("https://klasma.github.io/Logging_0821/tillsynsmail/A 27366-2026 tillsynsbegäran mail.docx", "A 27366-2026")</f>
        <v/>
      </c>
    </row>
    <row r="47" ht="15" customHeight="1">
      <c r="A47" t="inlineStr">
        <is>
          <t>A 19519-2025</t>
        </is>
      </c>
      <c r="B47" s="1" t="n">
        <v>45770</v>
      </c>
      <c r="C47" s="1" t="n">
        <v>46199</v>
      </c>
      <c r="D47" t="inlineStr">
        <is>
          <t>KALMAR LÄN</t>
        </is>
      </c>
      <c r="E47" t="inlineStr">
        <is>
          <t>HÖGSBY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HYPERLINK("https://klasma.github.io/Logging_0821/artfynd/A 19519-2025 artfynd.xlsx", "A 19519-2025")</f>
        <v/>
      </c>
      <c r="T47">
        <f>HYPERLINK("https://klasma.github.io/Logging_0821/kartor/A 19519-2025 karta.png", "A 19519-2025")</f>
        <v/>
      </c>
      <c r="V47">
        <f>HYPERLINK("https://klasma.github.io/Logging_0821/klagomål/A 19519-2025 FSC-klagomål.docx", "A 19519-2025")</f>
        <v/>
      </c>
      <c r="W47">
        <f>HYPERLINK("https://klasma.github.io/Logging_0821/klagomålsmail/A 19519-2025 FSC-klagomål mail.docx", "A 19519-2025")</f>
        <v/>
      </c>
      <c r="X47">
        <f>HYPERLINK("https://klasma.github.io/Logging_0821/tillsyn/A 19519-2025 tillsynsbegäran.docx", "A 19519-2025")</f>
        <v/>
      </c>
      <c r="Y47">
        <f>HYPERLINK("https://klasma.github.io/Logging_0821/tillsynsmail/A 19519-2025 tillsynsbegäran mail.docx", "A 19519-2025")</f>
        <v/>
      </c>
    </row>
    <row r="48" ht="15" customHeight="1">
      <c r="A48" t="inlineStr">
        <is>
          <t>A 59700-2023</t>
        </is>
      </c>
      <c r="B48" s="1" t="n">
        <v>45256</v>
      </c>
      <c r="C48" s="1" t="n">
        <v>46199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HYPERLINK("https://klasma.github.io/Logging_0821/artfynd/A 59700-2023 artfynd.xlsx", "A 59700-2023")</f>
        <v/>
      </c>
      <c r="T48">
        <f>HYPERLINK("https://klasma.github.io/Logging_0821/kartor/A 59700-2023 karta.png", "A 59700-2023")</f>
        <v/>
      </c>
      <c r="V48">
        <f>HYPERLINK("https://klasma.github.io/Logging_0821/klagomål/A 59700-2023 FSC-klagomål.docx", "A 59700-2023")</f>
        <v/>
      </c>
      <c r="W48">
        <f>HYPERLINK("https://klasma.github.io/Logging_0821/klagomålsmail/A 59700-2023 FSC-klagomål mail.docx", "A 59700-2023")</f>
        <v/>
      </c>
      <c r="X48">
        <f>HYPERLINK("https://klasma.github.io/Logging_0821/tillsyn/A 59700-2023 tillsynsbegäran.docx", "A 59700-2023")</f>
        <v/>
      </c>
      <c r="Y48">
        <f>HYPERLINK("https://klasma.github.io/Logging_0821/tillsynsmail/A 59700-2023 tillsynsbegäran mail.docx", "A 59700-2023")</f>
        <v/>
      </c>
      <c r="Z48">
        <f>HYPERLINK("https://klasma.github.io/Logging_0821/fåglar/A 59700-2023 prioriterade fågelarter.docx", "A 59700-2023")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46199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46199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46199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46199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45954-2021</t>
        </is>
      </c>
      <c r="B53" s="1" t="n">
        <v>44441</v>
      </c>
      <c r="C53" s="1" t="n">
        <v>46199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74475-2021</t>
        </is>
      </c>
      <c r="B54" s="1" t="n">
        <v>44559</v>
      </c>
      <c r="C54" s="1" t="n">
        <v>46199</v>
      </c>
      <c r="D54" t="inlineStr">
        <is>
          <t>KALMAR LÄN</t>
        </is>
      </c>
      <c r="E54" t="inlineStr">
        <is>
          <t>HÖGSBY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50361-2021</t>
        </is>
      </c>
      <c r="B55" s="1" t="n">
        <v>44459</v>
      </c>
      <c r="C55" s="1" t="n">
        <v>46199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40557-2021</t>
        </is>
      </c>
      <c r="B56" s="1" t="n">
        <v>44420</v>
      </c>
      <c r="C56" s="1" t="n">
        <v>46199</v>
      </c>
      <c r="D56" t="inlineStr">
        <is>
          <t>KALMAR LÄN</t>
        </is>
      </c>
      <c r="E56" t="inlineStr">
        <is>
          <t>HÖGSBY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631-2022</t>
        </is>
      </c>
      <c r="B57" s="1" t="n">
        <v>44568</v>
      </c>
      <c r="C57" s="1" t="n">
        <v>46199</v>
      </c>
      <c r="D57" t="inlineStr">
        <is>
          <t>KALMAR LÄN</t>
        </is>
      </c>
      <c r="E57" t="inlineStr">
        <is>
          <t>HÖGSBY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46199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46199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46199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46199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46199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46199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46199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46199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46199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46199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46199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46199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46199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46199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46199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46199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</v>
      </c>
      <c r="C74" s="1" t="n">
        <v>46199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46199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46199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72059-2021</t>
        </is>
      </c>
      <c r="B77" s="1" t="n">
        <v>44542</v>
      </c>
      <c r="C77" s="1" t="n">
        <v>46199</v>
      </c>
      <c r="D77" t="inlineStr">
        <is>
          <t>KALMAR LÄN</t>
        </is>
      </c>
      <c r="E77" t="inlineStr">
        <is>
          <t>HÖGSBY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72066-2021</t>
        </is>
      </c>
      <c r="B78" s="1" t="n">
        <v>44542</v>
      </c>
      <c r="C78" s="1" t="n">
        <v>46199</v>
      </c>
      <c r="D78" t="inlineStr">
        <is>
          <t>KALMAR LÄN</t>
        </is>
      </c>
      <c r="E78" t="inlineStr">
        <is>
          <t>HÖGSBY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46199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46199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11768-2022</t>
        </is>
      </c>
      <c r="B81" s="1" t="n">
        <v>44634</v>
      </c>
      <c r="C81" s="1" t="n">
        <v>46199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</v>
      </c>
      <c r="C82" s="1" t="n">
        <v>46199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40920-2021</t>
        </is>
      </c>
      <c r="B83" s="1" t="n">
        <v>44421</v>
      </c>
      <c r="C83" s="1" t="n">
        <v>46199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38608-2024</t>
        </is>
      </c>
      <c r="B84" s="1" t="n">
        <v>45546</v>
      </c>
      <c r="C84" s="1" t="n">
        <v>46199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10244-2024</t>
        </is>
      </c>
      <c r="B85" s="1" t="n">
        <v>45365</v>
      </c>
      <c r="C85" s="1" t="n">
        <v>46199</v>
      </c>
      <c r="D85" t="inlineStr">
        <is>
          <t>KALMAR LÄN</t>
        </is>
      </c>
      <c r="E85" t="inlineStr">
        <is>
          <t>HÖGSBY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53129-2022</t>
        </is>
      </c>
      <c r="B86" s="1" t="n">
        <v>44876</v>
      </c>
      <c r="C86" s="1" t="n">
        <v>46199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13808-2024</t>
        </is>
      </c>
      <c r="B87" s="1" t="n">
        <v>45391</v>
      </c>
      <c r="C87" s="1" t="n">
        <v>46199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40464-2023</t>
        </is>
      </c>
      <c r="B88" s="1" t="n">
        <v>45170</v>
      </c>
      <c r="C88" s="1" t="n">
        <v>46199</v>
      </c>
      <c r="D88" t="inlineStr">
        <is>
          <t>KALMAR LÄN</t>
        </is>
      </c>
      <c r="E88" t="inlineStr">
        <is>
          <t>HÖGSBY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22407-2025</t>
        </is>
      </c>
      <c r="B89" s="1" t="n">
        <v>45786</v>
      </c>
      <c r="C89" s="1" t="n">
        <v>46199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14193-2024</t>
        </is>
      </c>
      <c r="B90" s="1" t="n">
        <v>45393</v>
      </c>
      <c r="C90" s="1" t="n">
        <v>46199</v>
      </c>
      <c r="D90" t="inlineStr">
        <is>
          <t>KALMAR LÄN</t>
        </is>
      </c>
      <c r="E90" t="inlineStr">
        <is>
          <t>HÖGSBY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37320-2022</t>
        </is>
      </c>
      <c r="B91" s="1" t="n">
        <v>44809</v>
      </c>
      <c r="C91" s="1" t="n">
        <v>46199</v>
      </c>
      <c r="D91" t="inlineStr">
        <is>
          <t>KALMAR LÄN</t>
        </is>
      </c>
      <c r="E91" t="inlineStr">
        <is>
          <t>HÖGSBY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40137-2024</t>
        </is>
      </c>
      <c r="B92" s="1" t="n">
        <v>45554</v>
      </c>
      <c r="C92" s="1" t="n">
        <v>46199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HYPERLINK("https://klasma.github.io/Logging_0821/knärot/A 40137-2024 karta knärot.png", "A 40137-2024")</f>
        <v/>
      </c>
      <c r="V92">
        <f>HYPERLINK("https://klasma.github.io/Logging_0821/klagomål/A 40137-2024 FSC-klagomål.docx", "A 40137-2024")</f>
        <v/>
      </c>
      <c r="W92">
        <f>HYPERLINK("https://klasma.github.io/Logging_0821/klagomålsmail/A 40137-2024 FSC-klagomål mail.docx", "A 40137-2024")</f>
        <v/>
      </c>
      <c r="X92">
        <f>HYPERLINK("https://klasma.github.io/Logging_0821/tillsyn/A 40137-2024 tillsynsbegäran.docx", "A 40137-2024")</f>
        <v/>
      </c>
      <c r="Y92">
        <f>HYPERLINK("https://klasma.github.io/Logging_0821/tillsynsmail/A 40137-2024 tillsynsbegäran mail.docx", "A 40137-2024")</f>
        <v/>
      </c>
    </row>
    <row r="93" ht="15" customHeight="1">
      <c r="A93" t="inlineStr">
        <is>
          <t>A 24601-2024</t>
        </is>
      </c>
      <c r="B93" s="1" t="n">
        <v>45460</v>
      </c>
      <c r="C93" s="1" t="n">
        <v>46199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14326-2025</t>
        </is>
      </c>
      <c r="B94" s="1" t="n">
        <v>45740</v>
      </c>
      <c r="C94" s="1" t="n">
        <v>46199</v>
      </c>
      <c r="D94" t="inlineStr">
        <is>
          <t>KALMAR LÄN</t>
        </is>
      </c>
      <c r="E94" t="inlineStr">
        <is>
          <t>HÖGSBY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57168-2025</t>
        </is>
      </c>
      <c r="B95" s="1" t="n">
        <v>45979</v>
      </c>
      <c r="C95" s="1" t="n">
        <v>46199</v>
      </c>
      <c r="D95" t="inlineStr">
        <is>
          <t>KALMAR LÄN</t>
        </is>
      </c>
      <c r="E95" t="inlineStr">
        <is>
          <t>HÖGSBY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62385-2023</t>
        </is>
      </c>
      <c r="B96" s="1" t="n">
        <v>45268</v>
      </c>
      <c r="C96" s="1" t="n">
        <v>46199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50458-2022</t>
        </is>
      </c>
      <c r="B97" s="1" t="n">
        <v>44866</v>
      </c>
      <c r="C97" s="1" t="n">
        <v>46199</v>
      </c>
      <c r="D97" t="inlineStr">
        <is>
          <t>KALMAR LÄN</t>
        </is>
      </c>
      <c r="E97" t="inlineStr">
        <is>
          <t>HÖGSBY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58017-2025</t>
        </is>
      </c>
      <c r="B98" s="1" t="n">
        <v>45982</v>
      </c>
      <c r="C98" s="1" t="n">
        <v>46199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26545-2024</t>
        </is>
      </c>
      <c r="B99" s="1" t="n">
        <v>45469</v>
      </c>
      <c r="C99" s="1" t="n">
        <v>46199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24013-2025</t>
        </is>
      </c>
      <c r="B100" s="1" t="n">
        <v>45796</v>
      </c>
      <c r="C100" s="1" t="n">
        <v>46199</v>
      </c>
      <c r="D100" t="inlineStr">
        <is>
          <t>KALMAR LÄN</t>
        </is>
      </c>
      <c r="E100" t="inlineStr">
        <is>
          <t>HÖGSBY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32632-2025</t>
        </is>
      </c>
      <c r="B101" s="1" t="n">
        <v>45838</v>
      </c>
      <c r="C101" s="1" t="n">
        <v>46199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24378-2025</t>
        </is>
      </c>
      <c r="B102" s="1" t="n">
        <v>45797</v>
      </c>
      <c r="C102" s="1" t="n">
        <v>46199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39235-2021</t>
        </is>
      </c>
      <c r="B103" s="1" t="n">
        <v>44413</v>
      </c>
      <c r="C103" s="1" t="n">
        <v>46199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3549-2024</t>
        </is>
      </c>
      <c r="B104" s="1" t="n">
        <v>45320</v>
      </c>
      <c r="C104" s="1" t="n">
        <v>46199</v>
      </c>
      <c r="D104" t="inlineStr">
        <is>
          <t>KALMAR LÄN</t>
        </is>
      </c>
      <c r="E104" t="inlineStr">
        <is>
          <t>HÖGSBY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59430-2023</t>
        </is>
      </c>
      <c r="B105" s="1" t="n">
        <v>45254</v>
      </c>
      <c r="C105" s="1" t="n">
        <v>46199</v>
      </c>
      <c r="D105" t="inlineStr">
        <is>
          <t>KALMAR LÄN</t>
        </is>
      </c>
      <c r="E105" t="inlineStr">
        <is>
          <t>HÖGSBY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54941-2022</t>
        </is>
      </c>
      <c r="B106" s="1" t="n">
        <v>44886</v>
      </c>
      <c r="C106" s="1" t="n">
        <v>46199</v>
      </c>
      <c r="D106" t="inlineStr">
        <is>
          <t>KALMAR LÄN</t>
        </is>
      </c>
      <c r="E106" t="inlineStr">
        <is>
          <t>HÖGSBY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58679-2022</t>
        </is>
      </c>
      <c r="B107" s="1" t="n">
        <v>44902</v>
      </c>
      <c r="C107" s="1" t="n">
        <v>46199</v>
      </c>
      <c r="D107" t="inlineStr">
        <is>
          <t>KALMAR LÄN</t>
        </is>
      </c>
      <c r="E107" t="inlineStr">
        <is>
          <t>HÖGSBY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41706-2023</t>
        </is>
      </c>
      <c r="B108" s="1" t="n">
        <v>45176</v>
      </c>
      <c r="C108" s="1" t="n">
        <v>46199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52117-2024</t>
        </is>
      </c>
      <c r="B109" s="1" t="n">
        <v>45608</v>
      </c>
      <c r="C109" s="1" t="n">
        <v>46199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12210-2025</t>
        </is>
      </c>
      <c r="B110" s="1" t="n">
        <v>45729</v>
      </c>
      <c r="C110" s="1" t="n">
        <v>46199</v>
      </c>
      <c r="D110" t="inlineStr">
        <is>
          <t>KALMAR LÄN</t>
        </is>
      </c>
      <c r="E110" t="inlineStr">
        <is>
          <t>HÖGSBY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45835-2025</t>
        </is>
      </c>
      <c r="B111" s="1" t="n">
        <v>45923</v>
      </c>
      <c r="C111" s="1" t="n">
        <v>46199</v>
      </c>
      <c r="D111" t="inlineStr">
        <is>
          <t>KALMAR LÄN</t>
        </is>
      </c>
      <c r="E111" t="inlineStr">
        <is>
          <t>HÖGSBY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59109-2025</t>
        </is>
      </c>
      <c r="B112" s="1" t="n">
        <v>45988</v>
      </c>
      <c r="C112" s="1" t="n">
        <v>46199</v>
      </c>
      <c r="D112" t="inlineStr">
        <is>
          <t>KALMAR LÄN</t>
        </is>
      </c>
      <c r="E112" t="inlineStr">
        <is>
          <t>HÖGSBY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57006-2024</t>
        </is>
      </c>
      <c r="B113" s="1" t="n">
        <v>45626</v>
      </c>
      <c r="C113" s="1" t="n">
        <v>46199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20398-2025</t>
        </is>
      </c>
      <c r="B114" s="1" t="n">
        <v>45775</v>
      </c>
      <c r="C114" s="1" t="n">
        <v>46199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60266-2025</t>
        </is>
      </c>
      <c r="B115" s="1" t="n">
        <v>45994</v>
      </c>
      <c r="C115" s="1" t="n">
        <v>46199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61030-2025</t>
        </is>
      </c>
      <c r="B116" s="1" t="n">
        <v>45999</v>
      </c>
      <c r="C116" s="1" t="n">
        <v>46199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61031-2025</t>
        </is>
      </c>
      <c r="B117" s="1" t="n">
        <v>45999</v>
      </c>
      <c r="C117" s="1" t="n">
        <v>46199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18.4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37954-2024</t>
        </is>
      </c>
      <c r="B118" s="1" t="n">
        <v>45544</v>
      </c>
      <c r="C118" s="1" t="n">
        <v>46199</v>
      </c>
      <c r="D118" t="inlineStr">
        <is>
          <t>KALMAR LÄN</t>
        </is>
      </c>
      <c r="E118" t="inlineStr">
        <is>
          <t>HÖGSBY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38596-2024</t>
        </is>
      </c>
      <c r="B119" s="1" t="n">
        <v>45546</v>
      </c>
      <c r="C119" s="1" t="n">
        <v>46199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61490-2025</t>
        </is>
      </c>
      <c r="B120" s="1" t="n">
        <v>46001</v>
      </c>
      <c r="C120" s="1" t="n">
        <v>46199</v>
      </c>
      <c r="D120" t="inlineStr">
        <is>
          <t>KALMAR LÄN</t>
        </is>
      </c>
      <c r="E120" t="inlineStr">
        <is>
          <t>HÖGSBY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61484-2025</t>
        </is>
      </c>
      <c r="B121" s="1" t="n">
        <v>46001</v>
      </c>
      <c r="C121" s="1" t="n">
        <v>46199</v>
      </c>
      <c r="D121" t="inlineStr">
        <is>
          <t>KALMAR LÄN</t>
        </is>
      </c>
      <c r="E121" t="inlineStr">
        <is>
          <t>HÖGSBY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61021-2025</t>
        </is>
      </c>
      <c r="B122" s="1" t="n">
        <v>45999</v>
      </c>
      <c r="C122" s="1" t="n">
        <v>46199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61481-2025</t>
        </is>
      </c>
      <c r="B123" s="1" t="n">
        <v>46001</v>
      </c>
      <c r="C123" s="1" t="n">
        <v>46199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61028-2025</t>
        </is>
      </c>
      <c r="B124" s="1" t="n">
        <v>45999</v>
      </c>
      <c r="C124" s="1" t="n">
        <v>46199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61029-2025</t>
        </is>
      </c>
      <c r="B125" s="1" t="n">
        <v>45999</v>
      </c>
      <c r="C125" s="1" t="n">
        <v>46199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62720-2025</t>
        </is>
      </c>
      <c r="B126" s="1" t="n">
        <v>46008</v>
      </c>
      <c r="C126" s="1" t="n">
        <v>46199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62722-2025</t>
        </is>
      </c>
      <c r="B127" s="1" t="n">
        <v>46008</v>
      </c>
      <c r="C127" s="1" t="n">
        <v>46199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62563-2025</t>
        </is>
      </c>
      <c r="B128" s="1" t="n">
        <v>46007</v>
      </c>
      <c r="C128" s="1" t="n">
        <v>46199</v>
      </c>
      <c r="D128" t="inlineStr">
        <is>
          <t>KALMAR LÄN</t>
        </is>
      </c>
      <c r="E128" t="inlineStr">
        <is>
          <t>HÖGSBY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35423-2021</t>
        </is>
      </c>
      <c r="B129" s="1" t="n">
        <v>44385</v>
      </c>
      <c r="C129" s="1" t="n">
        <v>46199</v>
      </c>
      <c r="D129" t="inlineStr">
        <is>
          <t>KALMAR LÄN</t>
        </is>
      </c>
      <c r="E129" t="inlineStr">
        <is>
          <t>HÖGSBY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62918-2025</t>
        </is>
      </c>
      <c r="B130" s="1" t="n">
        <v>46009</v>
      </c>
      <c r="C130" s="1" t="n">
        <v>46199</v>
      </c>
      <c r="D130" t="inlineStr">
        <is>
          <t>KALMAR LÄN</t>
        </is>
      </c>
      <c r="E130" t="inlineStr">
        <is>
          <t>HÖGSBY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63483-2025</t>
        </is>
      </c>
      <c r="B131" s="1" t="n">
        <v>46013</v>
      </c>
      <c r="C131" s="1" t="n">
        <v>46199</v>
      </c>
      <c r="D131" t="inlineStr">
        <is>
          <t>KALMAR LÄN</t>
        </is>
      </c>
      <c r="E131" t="inlineStr">
        <is>
          <t>HÖGSBY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50946-2025</t>
        </is>
      </c>
      <c r="B132" s="1" t="n">
        <v>45946</v>
      </c>
      <c r="C132" s="1" t="n">
        <v>46199</v>
      </c>
      <c r="D132" t="inlineStr">
        <is>
          <t>KALMAR LÄN</t>
        </is>
      </c>
      <c r="E132" t="inlineStr">
        <is>
          <t>HÖGSBY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50947-2025</t>
        </is>
      </c>
      <c r="B133" s="1" t="n">
        <v>45946</v>
      </c>
      <c r="C133" s="1" t="n">
        <v>46199</v>
      </c>
      <c r="D133" t="inlineStr">
        <is>
          <t>KALMAR LÄN</t>
        </is>
      </c>
      <c r="E133" t="inlineStr">
        <is>
          <t>HÖGSBY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34577-2025</t>
        </is>
      </c>
      <c r="B134" s="1" t="n">
        <v>45847</v>
      </c>
      <c r="C134" s="1" t="n">
        <v>46199</v>
      </c>
      <c r="D134" t="inlineStr">
        <is>
          <t>KALMAR LÄN</t>
        </is>
      </c>
      <c r="E134" t="inlineStr">
        <is>
          <t>HÖGSBY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50950-2025</t>
        </is>
      </c>
      <c r="B135" s="1" t="n">
        <v>45946</v>
      </c>
      <c r="C135" s="1" t="n">
        <v>46199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34579-2025</t>
        </is>
      </c>
      <c r="B136" s="1" t="n">
        <v>45847</v>
      </c>
      <c r="C136" s="1" t="n">
        <v>46199</v>
      </c>
      <c r="D136" t="inlineStr">
        <is>
          <t>KALMAR LÄN</t>
        </is>
      </c>
      <c r="E136" t="inlineStr">
        <is>
          <t>HÖGSBY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51720-2025</t>
        </is>
      </c>
      <c r="B137" s="1" t="n">
        <v>45950</v>
      </c>
      <c r="C137" s="1" t="n">
        <v>46199</v>
      </c>
      <c r="D137" t="inlineStr">
        <is>
          <t>KALMAR LÄN</t>
        </is>
      </c>
      <c r="E137" t="inlineStr">
        <is>
          <t>HÖGSBY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40135-2024</t>
        </is>
      </c>
      <c r="B138" s="1" t="n">
        <v>45554</v>
      </c>
      <c r="C138" s="1" t="n">
        <v>46199</v>
      </c>
      <c r="D138" t="inlineStr">
        <is>
          <t>KALMAR LÄN</t>
        </is>
      </c>
      <c r="E138" t="inlineStr">
        <is>
          <t>HÖGSBY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52575-2025</t>
        </is>
      </c>
      <c r="B139" s="1" t="n">
        <v>45953</v>
      </c>
      <c r="C139" s="1" t="n">
        <v>46199</v>
      </c>
      <c r="D139" t="inlineStr">
        <is>
          <t>KALMAR LÄN</t>
        </is>
      </c>
      <c r="E139" t="inlineStr">
        <is>
          <t>HÖGSBY</t>
        </is>
      </c>
      <c r="F139" t="inlineStr">
        <is>
          <t>Kyrkan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52533-2025</t>
        </is>
      </c>
      <c r="B140" s="1" t="n">
        <v>45954</v>
      </c>
      <c r="C140" s="1" t="n">
        <v>46199</v>
      </c>
      <c r="D140" t="inlineStr">
        <is>
          <t>KALMAR LÄN</t>
        </is>
      </c>
      <c r="E140" t="inlineStr">
        <is>
          <t>HÖGSBY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52545-2025</t>
        </is>
      </c>
      <c r="B141" s="1" t="n">
        <v>45954</v>
      </c>
      <c r="C141" s="1" t="n">
        <v>46199</v>
      </c>
      <c r="D141" t="inlineStr">
        <is>
          <t>KALMAR LÄN</t>
        </is>
      </c>
      <c r="E141" t="inlineStr">
        <is>
          <t>HÖGSBY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2527-2026</t>
        </is>
      </c>
      <c r="B142" s="1" t="n">
        <v>46037</v>
      </c>
      <c r="C142" s="1" t="n">
        <v>46199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3050-2026</t>
        </is>
      </c>
      <c r="B143" s="1" t="n">
        <v>46038</v>
      </c>
      <c r="C143" s="1" t="n">
        <v>46199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54735-2025</t>
        </is>
      </c>
      <c r="B144" s="1" t="n">
        <v>45966</v>
      </c>
      <c r="C144" s="1" t="n">
        <v>46199</v>
      </c>
      <c r="D144" t="inlineStr">
        <is>
          <t>KALMAR LÄN</t>
        </is>
      </c>
      <c r="E144" t="inlineStr">
        <is>
          <t>HÖGSBY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11478-2023</t>
        </is>
      </c>
      <c r="B145" s="1" t="n">
        <v>44991</v>
      </c>
      <c r="C145" s="1" t="n">
        <v>46199</v>
      </c>
      <c r="D145" t="inlineStr">
        <is>
          <t>KALMAR LÄN</t>
        </is>
      </c>
      <c r="E145" t="inlineStr">
        <is>
          <t>HÖGSBY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3548-2024</t>
        </is>
      </c>
      <c r="B146" s="1" t="n">
        <v>45320</v>
      </c>
      <c r="C146" s="1" t="n">
        <v>46199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56332-2024</t>
        </is>
      </c>
      <c r="B147" s="1" t="n">
        <v>45624</v>
      </c>
      <c r="C147" s="1" t="n">
        <v>46199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57173-2022</t>
        </is>
      </c>
      <c r="B148" s="1" t="n">
        <v>44895</v>
      </c>
      <c r="C148" s="1" t="n">
        <v>46199</v>
      </c>
      <c r="D148" t="inlineStr">
        <is>
          <t>KALMAR LÄN</t>
        </is>
      </c>
      <c r="E148" t="inlineStr">
        <is>
          <t>HÖGSBY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38068-2025</t>
        </is>
      </c>
      <c r="B149" s="1" t="n">
        <v>45882</v>
      </c>
      <c r="C149" s="1" t="n">
        <v>46199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4739-2025</t>
        </is>
      </c>
      <c r="B150" s="1" t="n">
        <v>45688</v>
      </c>
      <c r="C150" s="1" t="n">
        <v>46199</v>
      </c>
      <c r="D150" t="inlineStr">
        <is>
          <t>KALMAR LÄN</t>
        </is>
      </c>
      <c r="E150" t="inlineStr">
        <is>
          <t>HÖGSBY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61955-2023</t>
        </is>
      </c>
      <c r="B151" s="1" t="n">
        <v>45266</v>
      </c>
      <c r="C151" s="1" t="n">
        <v>46199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22688-2025</t>
        </is>
      </c>
      <c r="B152" s="1" t="n">
        <v>45789</v>
      </c>
      <c r="C152" s="1" t="n">
        <v>46199</v>
      </c>
      <c r="D152" t="inlineStr">
        <is>
          <t>KALMAR LÄN</t>
        </is>
      </c>
      <c r="E152" t="inlineStr">
        <is>
          <t>HÖGSBY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65130-2023</t>
        </is>
      </c>
      <c r="B153" s="1" t="n">
        <v>45288</v>
      </c>
      <c r="C153" s="1" t="n">
        <v>46199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56353-2025</t>
        </is>
      </c>
      <c r="B154" s="1" t="n">
        <v>45974</v>
      </c>
      <c r="C154" s="1" t="n">
        <v>46199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7678-2024</t>
        </is>
      </c>
      <c r="B155" s="1" t="n">
        <v>45348</v>
      </c>
      <c r="C155" s="1" t="n">
        <v>46199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57000-2024</t>
        </is>
      </c>
      <c r="B156" s="1" t="n">
        <v>45626</v>
      </c>
      <c r="C156" s="1" t="n">
        <v>46199</v>
      </c>
      <c r="D156" t="inlineStr">
        <is>
          <t>KALMAR LÄN</t>
        </is>
      </c>
      <c r="E156" t="inlineStr">
        <is>
          <t>HÖGSBY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7166-2026</t>
        </is>
      </c>
      <c r="B157" s="1" t="n">
        <v>46058</v>
      </c>
      <c r="C157" s="1" t="n">
        <v>46199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8108-2025</t>
        </is>
      </c>
      <c r="B158" s="1" t="n">
        <v>45707</v>
      </c>
      <c r="C158" s="1" t="n">
        <v>46199</v>
      </c>
      <c r="D158" t="inlineStr">
        <is>
          <t>KALMAR LÄN</t>
        </is>
      </c>
      <c r="E158" t="inlineStr">
        <is>
          <t>HÖGSBY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25223-2022</t>
        </is>
      </c>
      <c r="B159" s="1" t="n">
        <v>44729</v>
      </c>
      <c r="C159" s="1" t="n">
        <v>46199</v>
      </c>
      <c r="D159" t="inlineStr">
        <is>
          <t>KALMAR LÄN</t>
        </is>
      </c>
      <c r="E159" t="inlineStr">
        <is>
          <t>HÖGSBY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7443-2026</t>
        </is>
      </c>
      <c r="B160" s="1" t="n">
        <v>46059</v>
      </c>
      <c r="C160" s="1" t="n">
        <v>46199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30890-2023</t>
        </is>
      </c>
      <c r="B161" s="1" t="n">
        <v>45113</v>
      </c>
      <c r="C161" s="1" t="n">
        <v>46199</v>
      </c>
      <c r="D161" t="inlineStr">
        <is>
          <t>KALMAR LÄN</t>
        </is>
      </c>
      <c r="E161" t="inlineStr">
        <is>
          <t>HÖGSBY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60853-2021</t>
        </is>
      </c>
      <c r="B162" s="1" t="n">
        <v>44496</v>
      </c>
      <c r="C162" s="1" t="n">
        <v>46199</v>
      </c>
      <c r="D162" t="inlineStr">
        <is>
          <t>KALMAR LÄN</t>
        </is>
      </c>
      <c r="E162" t="inlineStr">
        <is>
          <t>HÖGSBY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10871-2023</t>
        </is>
      </c>
      <c r="B163" s="1" t="n">
        <v>44991</v>
      </c>
      <c r="C163" s="1" t="n">
        <v>46199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32049-2023</t>
        </is>
      </c>
      <c r="B164" s="1" t="n">
        <v>45119</v>
      </c>
      <c r="C164" s="1" t="n">
        <v>46199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52116-2024</t>
        </is>
      </c>
      <c r="B165" s="1" t="n">
        <v>45608</v>
      </c>
      <c r="C165" s="1" t="n">
        <v>46199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50428-2024</t>
        </is>
      </c>
      <c r="B166" s="1" t="n">
        <v>45600</v>
      </c>
      <c r="C166" s="1" t="n">
        <v>46199</v>
      </c>
      <c r="D166" t="inlineStr">
        <is>
          <t>KALMAR LÄN</t>
        </is>
      </c>
      <c r="E166" t="inlineStr">
        <is>
          <t>HÖGSBY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11029-2026</t>
        </is>
      </c>
      <c r="B167" s="1" t="n">
        <v>46079</v>
      </c>
      <c r="C167" s="1" t="n">
        <v>46199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53413-2024</t>
        </is>
      </c>
      <c r="B168" s="1" t="n">
        <v>45614</v>
      </c>
      <c r="C168" s="1" t="n">
        <v>46199</v>
      </c>
      <c r="D168" t="inlineStr">
        <is>
          <t>KALMAR LÄN</t>
        </is>
      </c>
      <c r="E168" t="inlineStr">
        <is>
          <t>HÖGSBY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12396-2023</t>
        </is>
      </c>
      <c r="B169" s="1" t="n">
        <v>44999</v>
      </c>
      <c r="C169" s="1" t="n">
        <v>46199</v>
      </c>
      <c r="D169" t="inlineStr">
        <is>
          <t>KALMAR LÄN</t>
        </is>
      </c>
      <c r="E169" t="inlineStr">
        <is>
          <t>HÖGSBY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13098-2026</t>
        </is>
      </c>
      <c r="B170" s="1" t="n">
        <v>46093</v>
      </c>
      <c r="C170" s="1" t="n">
        <v>46199</v>
      </c>
      <c r="D170" t="inlineStr">
        <is>
          <t>KALMAR LÄN</t>
        </is>
      </c>
      <c r="E170" t="inlineStr">
        <is>
          <t>HÖGSBY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44437-2023</t>
        </is>
      </c>
      <c r="B171" s="1" t="n">
        <v>45189</v>
      </c>
      <c r="C171" s="1" t="n">
        <v>46199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31707-2023</t>
        </is>
      </c>
      <c r="B172" s="1" t="n">
        <v>45105</v>
      </c>
      <c r="C172" s="1" t="n">
        <v>46199</v>
      </c>
      <c r="D172" t="inlineStr">
        <is>
          <t>KALMAR LÄN</t>
        </is>
      </c>
      <c r="E172" t="inlineStr">
        <is>
          <t>HÖGSBY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6823-2025</t>
        </is>
      </c>
      <c r="B173" s="1" t="n">
        <v>45700</v>
      </c>
      <c r="C173" s="1" t="n">
        <v>46199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6824-2025</t>
        </is>
      </c>
      <c r="B174" s="1" t="n">
        <v>45700</v>
      </c>
      <c r="C174" s="1" t="n">
        <v>46199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10409-2023</t>
        </is>
      </c>
      <c r="B175" s="1" t="n">
        <v>44987</v>
      </c>
      <c r="C175" s="1" t="n">
        <v>46199</v>
      </c>
      <c r="D175" t="inlineStr">
        <is>
          <t>KALMAR LÄN</t>
        </is>
      </c>
      <c r="E175" t="inlineStr">
        <is>
          <t>HÖGSBY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38802-2024</t>
        </is>
      </c>
      <c r="B176" s="1" t="n">
        <v>45547</v>
      </c>
      <c r="C176" s="1" t="n">
        <v>46199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14894-2025</t>
        </is>
      </c>
      <c r="B177" s="1" t="n">
        <v>45743</v>
      </c>
      <c r="C177" s="1" t="n">
        <v>46199</v>
      </c>
      <c r="D177" t="inlineStr">
        <is>
          <t>KALMAR LÄN</t>
        </is>
      </c>
      <c r="E177" t="inlineStr">
        <is>
          <t>HÖGSBY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39629-2024</t>
        </is>
      </c>
      <c r="B178" s="1" t="n">
        <v>45552</v>
      </c>
      <c r="C178" s="1" t="n">
        <v>46199</v>
      </c>
      <c r="D178" t="inlineStr">
        <is>
          <t>KALMAR LÄN</t>
        </is>
      </c>
      <c r="E178" t="inlineStr">
        <is>
          <t>HÖGSBY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53108-2023</t>
        </is>
      </c>
      <c r="B179" s="1" t="n">
        <v>45228</v>
      </c>
      <c r="C179" s="1" t="n">
        <v>46199</v>
      </c>
      <c r="D179" t="inlineStr">
        <is>
          <t>KALMAR LÄN</t>
        </is>
      </c>
      <c r="E179" t="inlineStr">
        <is>
          <t>HÖGSBY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15864-2026</t>
        </is>
      </c>
      <c r="B180" s="1" t="n">
        <v>46107</v>
      </c>
      <c r="C180" s="1" t="n">
        <v>46199</v>
      </c>
      <c r="D180" t="inlineStr">
        <is>
          <t>KALMAR LÄN</t>
        </is>
      </c>
      <c r="E180" t="inlineStr">
        <is>
          <t>HÖGSBY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15377-2026</t>
        </is>
      </c>
      <c r="B181" s="1" t="n">
        <v>46106</v>
      </c>
      <c r="C181" s="1" t="n">
        <v>46199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49338-2022</t>
        </is>
      </c>
      <c r="B182" s="1" t="n">
        <v>44861</v>
      </c>
      <c r="C182" s="1" t="n">
        <v>46199</v>
      </c>
      <c r="D182" t="inlineStr">
        <is>
          <t>KALMAR LÄN</t>
        </is>
      </c>
      <c r="E182" t="inlineStr">
        <is>
          <t>HÖGSBY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16342-2026</t>
        </is>
      </c>
      <c r="B183" s="1" t="n">
        <v>46111</v>
      </c>
      <c r="C183" s="1" t="n">
        <v>46199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15997-2026</t>
        </is>
      </c>
      <c r="B184" s="1" t="n">
        <v>46108</v>
      </c>
      <c r="C184" s="1" t="n">
        <v>46199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16207-2026</t>
        </is>
      </c>
      <c r="B185" s="1" t="n">
        <v>46111</v>
      </c>
      <c r="C185" s="1" t="n">
        <v>46199</v>
      </c>
      <c r="D185" t="inlineStr">
        <is>
          <t>KALMAR LÄN</t>
        </is>
      </c>
      <c r="E185" t="inlineStr">
        <is>
          <t>HÖGSBY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22544-2023</t>
        </is>
      </c>
      <c r="B186" s="1" t="n">
        <v>45071</v>
      </c>
      <c r="C186" s="1" t="n">
        <v>46199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53327-2022</t>
        </is>
      </c>
      <c r="B187" s="1" t="n">
        <v>44879</v>
      </c>
      <c r="C187" s="1" t="n">
        <v>46199</v>
      </c>
      <c r="D187" t="inlineStr">
        <is>
          <t>KALMAR LÄN</t>
        </is>
      </c>
      <c r="E187" t="inlineStr">
        <is>
          <t>HÖGSBY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58050-2023</t>
        </is>
      </c>
      <c r="B188" s="1" t="n">
        <v>45247</v>
      </c>
      <c r="C188" s="1" t="n">
        <v>46199</v>
      </c>
      <c r="D188" t="inlineStr">
        <is>
          <t>KALMAR LÄN</t>
        </is>
      </c>
      <c r="E188" t="inlineStr">
        <is>
          <t>HÖGSBY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22755-2026</t>
        </is>
      </c>
      <c r="B189" s="1" t="n">
        <v>46157</v>
      </c>
      <c r="C189" s="1" t="n">
        <v>46199</v>
      </c>
      <c r="D189" t="inlineStr">
        <is>
          <t>KALMAR LÄN</t>
        </is>
      </c>
      <c r="E189" t="inlineStr">
        <is>
          <t>HÖGSBY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22757-2026</t>
        </is>
      </c>
      <c r="B190" s="1" t="n">
        <v>46157</v>
      </c>
      <c r="C190" s="1" t="n">
        <v>46199</v>
      </c>
      <c r="D190" t="inlineStr">
        <is>
          <t>KALMAR LÄN</t>
        </is>
      </c>
      <c r="E190" t="inlineStr">
        <is>
          <t>HÖGSBY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54238-2021</t>
        </is>
      </c>
      <c r="B191" s="1" t="n">
        <v>44470</v>
      </c>
      <c r="C191" s="1" t="n">
        <v>46199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17090-2026</t>
        </is>
      </c>
      <c r="B192" s="1" t="n">
        <v>46114</v>
      </c>
      <c r="C192" s="1" t="n">
        <v>46199</v>
      </c>
      <c r="D192" t="inlineStr">
        <is>
          <t>KALMAR LÄN</t>
        </is>
      </c>
      <c r="E192" t="inlineStr">
        <is>
          <t>HÖGSBY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16014-2025</t>
        </is>
      </c>
      <c r="B193" s="1" t="n">
        <v>45749</v>
      </c>
      <c r="C193" s="1" t="n">
        <v>46199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56706-2023</t>
        </is>
      </c>
      <c r="B194" s="1" t="n">
        <v>45244</v>
      </c>
      <c r="C194" s="1" t="n">
        <v>46199</v>
      </c>
      <c r="D194" t="inlineStr">
        <is>
          <t>KALMAR LÄN</t>
        </is>
      </c>
      <c r="E194" t="inlineStr">
        <is>
          <t>HÖGSBY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62562-2022</t>
        </is>
      </c>
      <c r="B195" s="1" t="n">
        <v>44924</v>
      </c>
      <c r="C195" s="1" t="n">
        <v>46199</v>
      </c>
      <c r="D195" t="inlineStr">
        <is>
          <t>KALMAR LÄN</t>
        </is>
      </c>
      <c r="E195" t="inlineStr">
        <is>
          <t>HÖGSBY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23116-2026</t>
        </is>
      </c>
      <c r="B196" s="1" t="n">
        <v>46161</v>
      </c>
      <c r="C196" s="1" t="n">
        <v>46199</v>
      </c>
      <c r="D196" t="inlineStr">
        <is>
          <t>KALMAR LÄN</t>
        </is>
      </c>
      <c r="E196" t="inlineStr">
        <is>
          <t>HÖGSBY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35723-2024</t>
        </is>
      </c>
      <c r="B197" s="1" t="n">
        <v>45532</v>
      </c>
      <c r="C197" s="1" t="n">
        <v>46199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49485-2022</t>
        </is>
      </c>
      <c r="B198" s="1" t="n">
        <v>44861</v>
      </c>
      <c r="C198" s="1" t="n">
        <v>46199</v>
      </c>
      <c r="D198" t="inlineStr">
        <is>
          <t>KALMAR LÄN</t>
        </is>
      </c>
      <c r="E198" t="inlineStr">
        <is>
          <t>HÖGSBY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23209-2026</t>
        </is>
      </c>
      <c r="B199" s="1" t="n">
        <v>46162</v>
      </c>
      <c r="C199" s="1" t="n">
        <v>46199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3622-2022</t>
        </is>
      </c>
      <c r="B200" s="1" t="n">
        <v>44586</v>
      </c>
      <c r="C200" s="1" t="n">
        <v>46199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17934-2026</t>
        </is>
      </c>
      <c r="B201" s="1" t="n">
        <v>46122</v>
      </c>
      <c r="C201" s="1" t="n">
        <v>46199</v>
      </c>
      <c r="D201" t="inlineStr">
        <is>
          <t>KALMAR LÄN</t>
        </is>
      </c>
      <c r="E201" t="inlineStr">
        <is>
          <t>HÖGSBY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17953-2026</t>
        </is>
      </c>
      <c r="B202" s="1" t="n">
        <v>46122</v>
      </c>
      <c r="C202" s="1" t="n">
        <v>46199</v>
      </c>
      <c r="D202" t="inlineStr">
        <is>
          <t>KALMAR LÄN</t>
        </is>
      </c>
      <c r="E202" t="inlineStr">
        <is>
          <t>HÖGSBY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9424-2023</t>
        </is>
      </c>
      <c r="B203" s="1" t="n">
        <v>44981</v>
      </c>
      <c r="C203" s="1" t="n">
        <v>46199</v>
      </c>
      <c r="D203" t="inlineStr">
        <is>
          <t>KALMAR LÄN</t>
        </is>
      </c>
      <c r="E203" t="inlineStr">
        <is>
          <t>HÖGSBY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23937-2026</t>
        </is>
      </c>
      <c r="B204" s="1" t="n">
        <v>46167</v>
      </c>
      <c r="C204" s="1" t="n">
        <v>46199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18099-2023</t>
        </is>
      </c>
      <c r="B205" s="1" t="n">
        <v>45040</v>
      </c>
      <c r="C205" s="1" t="n">
        <v>46199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24417-2026</t>
        </is>
      </c>
      <c r="B206" s="1" t="n">
        <v>46169</v>
      </c>
      <c r="C206" s="1" t="n">
        <v>46199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59281-2022</t>
        </is>
      </c>
      <c r="B207" s="1" t="n">
        <v>44904</v>
      </c>
      <c r="C207" s="1" t="n">
        <v>46199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2079-2023</t>
        </is>
      </c>
      <c r="B208" s="1" t="n">
        <v>44939</v>
      </c>
      <c r="C208" s="1" t="n">
        <v>46199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50367-2022</t>
        </is>
      </c>
      <c r="B209" s="1" t="n">
        <v>44866</v>
      </c>
      <c r="C209" s="1" t="n">
        <v>46199</v>
      </c>
      <c r="D209" t="inlineStr">
        <is>
          <t>KALMAR LÄN</t>
        </is>
      </c>
      <c r="E209" t="inlineStr">
        <is>
          <t>HÖGSBY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37811-2024</t>
        </is>
      </c>
      <c r="B210" s="1" t="n">
        <v>45544</v>
      </c>
      <c r="C210" s="1" t="n">
        <v>46199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28648-2023</t>
        </is>
      </c>
      <c r="B211" s="1" t="n">
        <v>45103</v>
      </c>
      <c r="C211" s="1" t="n">
        <v>46199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30490-2023</t>
        </is>
      </c>
      <c r="B212" s="1" t="n">
        <v>45111</v>
      </c>
      <c r="C212" s="1" t="n">
        <v>46199</v>
      </c>
      <c r="D212" t="inlineStr">
        <is>
          <t>KALMAR LÄN</t>
        </is>
      </c>
      <c r="E212" t="inlineStr">
        <is>
          <t>HÖGSBY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6597-2024</t>
        </is>
      </c>
      <c r="B213" s="1" t="n">
        <v>45341</v>
      </c>
      <c r="C213" s="1" t="n">
        <v>46199</v>
      </c>
      <c r="D213" t="inlineStr">
        <is>
          <t>KALMAR LÄN</t>
        </is>
      </c>
      <c r="E213" t="inlineStr">
        <is>
          <t>HÖGSBY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17216-2023</t>
        </is>
      </c>
      <c r="B214" s="1" t="n">
        <v>45034</v>
      </c>
      <c r="C214" s="1" t="n">
        <v>46199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27830-2023</t>
        </is>
      </c>
      <c r="B215" s="1" t="n">
        <v>45093</v>
      </c>
      <c r="C215" s="1" t="n">
        <v>46199</v>
      </c>
      <c r="D215" t="inlineStr">
        <is>
          <t>KALMAR LÄN</t>
        </is>
      </c>
      <c r="E215" t="inlineStr">
        <is>
          <t>HÖGSBY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24893-2026</t>
        </is>
      </c>
      <c r="B216" s="1" t="n">
        <v>46174</v>
      </c>
      <c r="C216" s="1" t="n">
        <v>46199</v>
      </c>
      <c r="D216" t="inlineStr">
        <is>
          <t>KALMAR LÄN</t>
        </is>
      </c>
      <c r="E216" t="inlineStr">
        <is>
          <t>HÖGSBY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59409-2022</t>
        </is>
      </c>
      <c r="B217" s="1" t="n">
        <v>44907</v>
      </c>
      <c r="C217" s="1" t="n">
        <v>46199</v>
      </c>
      <c r="D217" t="inlineStr">
        <is>
          <t>KALMAR LÄN</t>
        </is>
      </c>
      <c r="E217" t="inlineStr">
        <is>
          <t>HÖGSBY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56339-2024</t>
        </is>
      </c>
      <c r="B218" s="1" t="n">
        <v>45624</v>
      </c>
      <c r="C218" s="1" t="n">
        <v>46199</v>
      </c>
      <c r="D218" t="inlineStr">
        <is>
          <t>KALMAR LÄN</t>
        </is>
      </c>
      <c r="E218" t="inlineStr">
        <is>
          <t>HÖGSBY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1768-2024</t>
        </is>
      </c>
      <c r="B219" s="1" t="n">
        <v>45307</v>
      </c>
      <c r="C219" s="1" t="n">
        <v>46199</v>
      </c>
      <c r="D219" t="inlineStr">
        <is>
          <t>KALMAR LÄN</t>
        </is>
      </c>
      <c r="E219" t="inlineStr">
        <is>
          <t>HÖGSBY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31429-2023</t>
        </is>
      </c>
      <c r="B220" s="1" t="n">
        <v>45114</v>
      </c>
      <c r="C220" s="1" t="n">
        <v>46199</v>
      </c>
      <c r="D220" t="inlineStr">
        <is>
          <t>KALMAR LÄN</t>
        </is>
      </c>
      <c r="E220" t="inlineStr">
        <is>
          <t>HÖGSBY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60555-2021</t>
        </is>
      </c>
      <c r="B221" s="1" t="n">
        <v>44496</v>
      </c>
      <c r="C221" s="1" t="n">
        <v>46199</v>
      </c>
      <c r="D221" t="inlineStr">
        <is>
          <t>KALMAR LÄN</t>
        </is>
      </c>
      <c r="E221" t="inlineStr">
        <is>
          <t>HÖGSBY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25355-2026</t>
        </is>
      </c>
      <c r="B222" s="1" t="n">
        <v>46176</v>
      </c>
      <c r="C222" s="1" t="n">
        <v>46199</v>
      </c>
      <c r="D222" t="inlineStr">
        <is>
          <t>KALMAR LÄN</t>
        </is>
      </c>
      <c r="E222" t="inlineStr">
        <is>
          <t>HÖGSBY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25352-2026</t>
        </is>
      </c>
      <c r="B223" s="1" t="n">
        <v>46176</v>
      </c>
      <c r="C223" s="1" t="n">
        <v>46199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13308-2024</t>
        </is>
      </c>
      <c r="B224" s="1" t="n">
        <v>45386</v>
      </c>
      <c r="C224" s="1" t="n">
        <v>46199</v>
      </c>
      <c r="D224" t="inlineStr">
        <is>
          <t>KALMAR LÄN</t>
        </is>
      </c>
      <c r="E224" t="inlineStr">
        <is>
          <t>HÖGSBY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19484-2026</t>
        </is>
      </c>
      <c r="B225" s="1" t="n">
        <v>46134</v>
      </c>
      <c r="C225" s="1" t="n">
        <v>46199</v>
      </c>
      <c r="D225" t="inlineStr">
        <is>
          <t>KALMAR LÄN</t>
        </is>
      </c>
      <c r="E225" t="inlineStr">
        <is>
          <t>HÖGSBY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17864-2025</t>
        </is>
      </c>
      <c r="B226" s="1" t="n">
        <v>45758</v>
      </c>
      <c r="C226" s="1" t="n">
        <v>46199</v>
      </c>
      <c r="D226" t="inlineStr">
        <is>
          <t>KALMAR LÄN</t>
        </is>
      </c>
      <c r="E226" t="inlineStr">
        <is>
          <t>HÖGSBY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46329-2024</t>
        </is>
      </c>
      <c r="B227" s="1" t="n">
        <v>45581</v>
      </c>
      <c r="C227" s="1" t="n">
        <v>46199</v>
      </c>
      <c r="D227" t="inlineStr">
        <is>
          <t>KALMAR LÄN</t>
        </is>
      </c>
      <c r="E227" t="inlineStr">
        <is>
          <t>HÖGSBY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20770-2023</t>
        </is>
      </c>
      <c r="B228" s="1" t="n">
        <v>45058</v>
      </c>
      <c r="C228" s="1" t="n">
        <v>46199</v>
      </c>
      <c r="D228" t="inlineStr">
        <is>
          <t>KALMAR LÄN</t>
        </is>
      </c>
      <c r="E228" t="inlineStr">
        <is>
          <t>HÖGSBY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73709-2021</t>
        </is>
      </c>
      <c r="B229" s="1" t="n">
        <v>44552</v>
      </c>
      <c r="C229" s="1" t="n">
        <v>46199</v>
      </c>
      <c r="D229" t="inlineStr">
        <is>
          <t>KALMAR LÄN</t>
        </is>
      </c>
      <c r="E229" t="inlineStr">
        <is>
          <t>HÖGSBY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14273-2024</t>
        </is>
      </c>
      <c r="B230" s="1" t="n">
        <v>45393</v>
      </c>
      <c r="C230" s="1" t="n">
        <v>46199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38600-2024</t>
        </is>
      </c>
      <c r="B231" s="1" t="n">
        <v>45546</v>
      </c>
      <c r="C231" s="1" t="n">
        <v>46199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11694-2025</t>
        </is>
      </c>
      <c r="B232" s="1" t="n">
        <v>45727</v>
      </c>
      <c r="C232" s="1" t="n">
        <v>46199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7599-2024</t>
        </is>
      </c>
      <c r="B233" s="1" t="n">
        <v>45348</v>
      </c>
      <c r="C233" s="1" t="n">
        <v>46199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43544-2025</t>
        </is>
      </c>
      <c r="B234" s="1" t="n">
        <v>45911</v>
      </c>
      <c r="C234" s="1" t="n">
        <v>46199</v>
      </c>
      <c r="D234" t="inlineStr">
        <is>
          <t>KALMAR LÄN</t>
        </is>
      </c>
      <c r="E234" t="inlineStr">
        <is>
          <t>HÖGSBY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16766-2025</t>
        </is>
      </c>
      <c r="B235" s="1" t="n">
        <v>45754</v>
      </c>
      <c r="C235" s="1" t="n">
        <v>46199</v>
      </c>
      <c r="D235" t="inlineStr">
        <is>
          <t>KALMAR LÄN</t>
        </is>
      </c>
      <c r="E235" t="inlineStr">
        <is>
          <t>HÖGSBY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8463-2023</t>
        </is>
      </c>
      <c r="B236" s="1" t="n">
        <v>44972</v>
      </c>
      <c r="C236" s="1" t="n">
        <v>46199</v>
      </c>
      <c r="D236" t="inlineStr">
        <is>
          <t>KALMAR LÄN</t>
        </is>
      </c>
      <c r="E236" t="inlineStr">
        <is>
          <t>HÖGSBY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43557-2025</t>
        </is>
      </c>
      <c r="B237" s="1" t="n">
        <v>45911</v>
      </c>
      <c r="C237" s="1" t="n">
        <v>46199</v>
      </c>
      <c r="D237" t="inlineStr">
        <is>
          <t>KALMAR LÄN</t>
        </is>
      </c>
      <c r="E237" t="inlineStr">
        <is>
          <t>HÖGSBY</t>
        </is>
      </c>
      <c r="F237" t="inlineStr">
        <is>
          <t>Kommuner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9592-2024</t>
        </is>
      </c>
      <c r="B238" s="1" t="n">
        <v>45360</v>
      </c>
      <c r="C238" s="1" t="n">
        <v>46199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23887-2025</t>
        </is>
      </c>
      <c r="B239" s="1" t="n">
        <v>45793</v>
      </c>
      <c r="C239" s="1" t="n">
        <v>46199</v>
      </c>
      <c r="D239" t="inlineStr">
        <is>
          <t>KALMAR LÄN</t>
        </is>
      </c>
      <c r="E239" t="inlineStr">
        <is>
          <t>HÖGSBY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51724-2025</t>
        </is>
      </c>
      <c r="B240" s="1" t="n">
        <v>45951</v>
      </c>
      <c r="C240" s="1" t="n">
        <v>46199</v>
      </c>
      <c r="D240" t="inlineStr">
        <is>
          <t>KALMAR LÄN</t>
        </is>
      </c>
      <c r="E240" t="inlineStr">
        <is>
          <t>HÖGSBY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25948-2025</t>
        </is>
      </c>
      <c r="B241" s="1" t="n">
        <v>45804</v>
      </c>
      <c r="C241" s="1" t="n">
        <v>46199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9700-2023</t>
        </is>
      </c>
      <c r="B242" s="1" t="n">
        <v>44984</v>
      </c>
      <c r="C242" s="1" t="n">
        <v>46199</v>
      </c>
      <c r="D242" t="inlineStr">
        <is>
          <t>KALMAR LÄN</t>
        </is>
      </c>
      <c r="E242" t="inlineStr">
        <is>
          <t>HÖGSBY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29646-2025</t>
        </is>
      </c>
      <c r="B243" s="1" t="n">
        <v>45825</v>
      </c>
      <c r="C243" s="1" t="n">
        <v>46199</v>
      </c>
      <c r="D243" t="inlineStr">
        <is>
          <t>KALMAR LÄN</t>
        </is>
      </c>
      <c r="E243" t="inlineStr">
        <is>
          <t>HÖGSBY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41619-2025</t>
        </is>
      </c>
      <c r="B244" s="1" t="n">
        <v>45901</v>
      </c>
      <c r="C244" s="1" t="n">
        <v>46199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41479-2023</t>
        </is>
      </c>
      <c r="B245" s="1" t="n">
        <v>45175</v>
      </c>
      <c r="C245" s="1" t="n">
        <v>46199</v>
      </c>
      <c r="D245" t="inlineStr">
        <is>
          <t>KALMAR LÄN</t>
        </is>
      </c>
      <c r="E245" t="inlineStr">
        <is>
          <t>HÖGSBY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53501-2024</t>
        </is>
      </c>
      <c r="B246" s="1" t="n">
        <v>45614</v>
      </c>
      <c r="C246" s="1" t="n">
        <v>46199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39237-2021</t>
        </is>
      </c>
      <c r="B247" s="1" t="n">
        <v>44413</v>
      </c>
      <c r="C247" s="1" t="n">
        <v>46199</v>
      </c>
      <c r="D247" t="inlineStr">
        <is>
          <t>KALMAR LÄN</t>
        </is>
      </c>
      <c r="E247" t="inlineStr">
        <is>
          <t>HÖGSBY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35087-2023</t>
        </is>
      </c>
      <c r="B248" s="1" t="n">
        <v>45145</v>
      </c>
      <c r="C248" s="1" t="n">
        <v>46199</v>
      </c>
      <c r="D248" t="inlineStr">
        <is>
          <t>KALMAR LÄN</t>
        </is>
      </c>
      <c r="E248" t="inlineStr">
        <is>
          <t>HÖGSBY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10413-2023</t>
        </is>
      </c>
      <c r="B249" s="1" t="n">
        <v>44987</v>
      </c>
      <c r="C249" s="1" t="n">
        <v>46199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37497-2022</t>
        </is>
      </c>
      <c r="B250" s="1" t="n">
        <v>44809</v>
      </c>
      <c r="C250" s="1" t="n">
        <v>46199</v>
      </c>
      <c r="D250" t="inlineStr">
        <is>
          <t>KALMAR LÄN</t>
        </is>
      </c>
      <c r="E250" t="inlineStr">
        <is>
          <t>HÖGSBY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11343-2023</t>
        </is>
      </c>
      <c r="B251" s="1" t="n">
        <v>44993</v>
      </c>
      <c r="C251" s="1" t="n">
        <v>46199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26151-2026</t>
        </is>
      </c>
      <c r="B252" s="1" t="n">
        <v>46181</v>
      </c>
      <c r="C252" s="1" t="n">
        <v>46199</v>
      </c>
      <c r="D252" t="inlineStr">
        <is>
          <t>KALMAR LÄN</t>
        </is>
      </c>
      <c r="E252" t="inlineStr">
        <is>
          <t>HÖGSBY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11707-2025</t>
        </is>
      </c>
      <c r="B253" s="1" t="n">
        <v>45727</v>
      </c>
      <c r="C253" s="1" t="n">
        <v>46199</v>
      </c>
      <c r="D253" t="inlineStr">
        <is>
          <t>KALMAR LÄN</t>
        </is>
      </c>
      <c r="E253" t="inlineStr">
        <is>
          <t>HÖGSBY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8116-2025</t>
        </is>
      </c>
      <c r="B254" s="1" t="n">
        <v>45707</v>
      </c>
      <c r="C254" s="1" t="n">
        <v>46199</v>
      </c>
      <c r="D254" t="inlineStr">
        <is>
          <t>KALMAR LÄN</t>
        </is>
      </c>
      <c r="E254" t="inlineStr">
        <is>
          <t>HÖGSBY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38520-2023</t>
        </is>
      </c>
      <c r="B255" s="1" t="n">
        <v>45162</v>
      </c>
      <c r="C255" s="1" t="n">
        <v>46199</v>
      </c>
      <c r="D255" t="inlineStr">
        <is>
          <t>KALMAR LÄN</t>
        </is>
      </c>
      <c r="E255" t="inlineStr">
        <is>
          <t>HÖGSBY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7680-2024</t>
        </is>
      </c>
      <c r="B256" s="1" t="n">
        <v>45348</v>
      </c>
      <c r="C256" s="1" t="n">
        <v>46199</v>
      </c>
      <c r="D256" t="inlineStr">
        <is>
          <t>KALMAR LÄN</t>
        </is>
      </c>
      <c r="E256" t="inlineStr">
        <is>
          <t>HÖGSBY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55703-2023</t>
        </is>
      </c>
      <c r="B257" s="1" t="n">
        <v>45239</v>
      </c>
      <c r="C257" s="1" t="n">
        <v>46199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47859-2023</t>
        </is>
      </c>
      <c r="B258" s="1" t="n">
        <v>45204</v>
      </c>
      <c r="C258" s="1" t="n">
        <v>46199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7325-2025</t>
        </is>
      </c>
      <c r="B259" s="1" t="n">
        <v>45702</v>
      </c>
      <c r="C259" s="1" t="n">
        <v>46199</v>
      </c>
      <c r="D259" t="inlineStr">
        <is>
          <t>KALMAR LÄN</t>
        </is>
      </c>
      <c r="E259" t="inlineStr">
        <is>
          <t>HÖGSBY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10704-2022</t>
        </is>
      </c>
      <c r="B260" s="1" t="n">
        <v>44625</v>
      </c>
      <c r="C260" s="1" t="n">
        <v>46199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10706-2022</t>
        </is>
      </c>
      <c r="B261" s="1" t="n">
        <v>44625</v>
      </c>
      <c r="C261" s="1" t="n">
        <v>46199</v>
      </c>
      <c r="D261" t="inlineStr">
        <is>
          <t>KALMAR LÄN</t>
        </is>
      </c>
      <c r="E261" t="inlineStr">
        <is>
          <t>HÖGSBY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4821-2026</t>
        </is>
      </c>
      <c r="B262" s="1" t="n">
        <v>46048</v>
      </c>
      <c r="C262" s="1" t="n">
        <v>46199</v>
      </c>
      <c r="D262" t="inlineStr">
        <is>
          <t>KALMAR LÄN</t>
        </is>
      </c>
      <c r="E262" t="inlineStr">
        <is>
          <t>HÖGSBY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47503-2023</t>
        </is>
      </c>
      <c r="B263" s="1" t="n">
        <v>45203</v>
      </c>
      <c r="C263" s="1" t="n">
        <v>46199</v>
      </c>
      <c r="D263" t="inlineStr">
        <is>
          <t>KALMAR LÄN</t>
        </is>
      </c>
      <c r="E263" t="inlineStr">
        <is>
          <t>HÖGSBY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40990-2023</t>
        </is>
      </c>
      <c r="B264" s="1" t="n">
        <v>45173</v>
      </c>
      <c r="C264" s="1" t="n">
        <v>46199</v>
      </c>
      <c r="D264" t="inlineStr">
        <is>
          <t>KALMAR LÄN</t>
        </is>
      </c>
      <c r="E264" t="inlineStr">
        <is>
          <t>HÖGSBY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63508-2025</t>
        </is>
      </c>
      <c r="B265" s="1" t="n">
        <v>46013</v>
      </c>
      <c r="C265" s="1" t="n">
        <v>46199</v>
      </c>
      <c r="D265" t="inlineStr">
        <is>
          <t>KALMAR LÄN</t>
        </is>
      </c>
      <c r="E265" t="inlineStr">
        <is>
          <t>HÖGSBY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39892-2024</t>
        </is>
      </c>
      <c r="B266" s="1" t="n">
        <v>45553</v>
      </c>
      <c r="C266" s="1" t="n">
        <v>46199</v>
      </c>
      <c r="D266" t="inlineStr">
        <is>
          <t>KALMAR LÄN</t>
        </is>
      </c>
      <c r="E266" t="inlineStr">
        <is>
          <t>HÖGSBY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45650-2023</t>
        </is>
      </c>
      <c r="B267" s="1" t="n">
        <v>45194</v>
      </c>
      <c r="C267" s="1" t="n">
        <v>46199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40155-2023</t>
        </is>
      </c>
      <c r="B268" s="1" t="n">
        <v>45168</v>
      </c>
      <c r="C268" s="1" t="n">
        <v>46199</v>
      </c>
      <c r="D268" t="inlineStr">
        <is>
          <t>KALMAR LÄN</t>
        </is>
      </c>
      <c r="E268" t="inlineStr">
        <is>
          <t>HÖGSBY</t>
        </is>
      </c>
      <c r="F268" t="inlineStr">
        <is>
          <t>Kommuner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63508-2025</t>
        </is>
      </c>
      <c r="B269" s="1" t="n">
        <v>46013</v>
      </c>
      <c r="C269" s="1" t="n">
        <v>46199</v>
      </c>
      <c r="D269" t="inlineStr">
        <is>
          <t>KALMAR LÄN</t>
        </is>
      </c>
      <c r="E269" t="inlineStr">
        <is>
          <t>HÖGSBY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50414-2024</t>
        </is>
      </c>
      <c r="B270" s="1" t="n">
        <v>45600</v>
      </c>
      <c r="C270" s="1" t="n">
        <v>46199</v>
      </c>
      <c r="D270" t="inlineStr">
        <is>
          <t>KALMAR LÄN</t>
        </is>
      </c>
      <c r="E270" t="inlineStr">
        <is>
          <t>HÖGSBY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38797-2024</t>
        </is>
      </c>
      <c r="B271" s="1" t="n">
        <v>45547</v>
      </c>
      <c r="C271" s="1" t="n">
        <v>46199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26109-2026</t>
        </is>
      </c>
      <c r="B272" s="1" t="n">
        <v>46181</v>
      </c>
      <c r="C272" s="1" t="n">
        <v>46199</v>
      </c>
      <c r="D272" t="inlineStr">
        <is>
          <t>KALMAR LÄN</t>
        </is>
      </c>
      <c r="E272" t="inlineStr">
        <is>
          <t>HÖGSBY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26760-2026</t>
        </is>
      </c>
      <c r="B273" s="1" t="n">
        <v>46184</v>
      </c>
      <c r="C273" s="1" t="n">
        <v>46199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26752-2026</t>
        </is>
      </c>
      <c r="B274" s="1" t="n">
        <v>46184</v>
      </c>
      <c r="C274" s="1" t="n">
        <v>46199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59581-2024</t>
        </is>
      </c>
      <c r="B275" s="1" t="n">
        <v>45638</v>
      </c>
      <c r="C275" s="1" t="n">
        <v>46199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25861-2023</t>
        </is>
      </c>
      <c r="B276" s="1" t="n">
        <v>45090</v>
      </c>
      <c r="C276" s="1" t="n">
        <v>46199</v>
      </c>
      <c r="D276" t="inlineStr">
        <is>
          <t>KALMAR LÄN</t>
        </is>
      </c>
      <c r="E276" t="inlineStr">
        <is>
          <t>HÖGSBY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25876-2023</t>
        </is>
      </c>
      <c r="B277" s="1" t="n">
        <v>45090</v>
      </c>
      <c r="C277" s="1" t="n">
        <v>46199</v>
      </c>
      <c r="D277" t="inlineStr">
        <is>
          <t>KALMAR LÄN</t>
        </is>
      </c>
      <c r="E277" t="inlineStr">
        <is>
          <t>HÖGSBY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38285-2023</t>
        </is>
      </c>
      <c r="B278" s="1" t="n">
        <v>45160</v>
      </c>
      <c r="C278" s="1" t="n">
        <v>46199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17185-2022</t>
        </is>
      </c>
      <c r="B279" s="1" t="n">
        <v>44677</v>
      </c>
      <c r="C279" s="1" t="n">
        <v>46199</v>
      </c>
      <c r="D279" t="inlineStr">
        <is>
          <t>KALMAR LÄN</t>
        </is>
      </c>
      <c r="E279" t="inlineStr">
        <is>
          <t>HÖGSBY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44865-2023</t>
        </is>
      </c>
      <c r="B280" s="1" t="n">
        <v>45190</v>
      </c>
      <c r="C280" s="1" t="n">
        <v>46199</v>
      </c>
      <c r="D280" t="inlineStr">
        <is>
          <t>KALMAR LÄN</t>
        </is>
      </c>
      <c r="E280" t="inlineStr">
        <is>
          <t>HÖGSBY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6819-2025</t>
        </is>
      </c>
      <c r="B281" s="1" t="n">
        <v>45700</v>
      </c>
      <c r="C281" s="1" t="n">
        <v>46199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6828-2025</t>
        </is>
      </c>
      <c r="B282" s="1" t="n">
        <v>45700</v>
      </c>
      <c r="C282" s="1" t="n">
        <v>46199</v>
      </c>
      <c r="D282" t="inlineStr">
        <is>
          <t>KALMAR LÄN</t>
        </is>
      </c>
      <c r="E282" t="inlineStr">
        <is>
          <t>HÖGSBY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26764-2026</t>
        </is>
      </c>
      <c r="B283" s="1" t="n">
        <v>46184</v>
      </c>
      <c r="C283" s="1" t="n">
        <v>46199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27916-2023</t>
        </is>
      </c>
      <c r="B284" s="1" t="n">
        <v>45093</v>
      </c>
      <c r="C284" s="1" t="n">
        <v>46199</v>
      </c>
      <c r="D284" t="inlineStr">
        <is>
          <t>KALMAR LÄN</t>
        </is>
      </c>
      <c r="E284" t="inlineStr">
        <is>
          <t>HÖGSBY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54483-2022</t>
        </is>
      </c>
      <c r="B285" s="1" t="n">
        <v>44882</v>
      </c>
      <c r="C285" s="1" t="n">
        <v>46199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26757-2026</t>
        </is>
      </c>
      <c r="B286" s="1" t="n">
        <v>46184</v>
      </c>
      <c r="C286" s="1" t="n">
        <v>46199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58045-2023</t>
        </is>
      </c>
      <c r="B287" s="1" t="n">
        <v>45247</v>
      </c>
      <c r="C287" s="1" t="n">
        <v>46199</v>
      </c>
      <c r="D287" t="inlineStr">
        <is>
          <t>KALMAR LÄN</t>
        </is>
      </c>
      <c r="E287" t="inlineStr">
        <is>
          <t>HÖGSBY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35047-2023</t>
        </is>
      </c>
      <c r="B288" s="1" t="n">
        <v>45145</v>
      </c>
      <c r="C288" s="1" t="n">
        <v>46199</v>
      </c>
      <c r="D288" t="inlineStr">
        <is>
          <t>KALMAR LÄN</t>
        </is>
      </c>
      <c r="E288" t="inlineStr">
        <is>
          <t>HÖGSBY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63379-2023</t>
        </is>
      </c>
      <c r="B289" s="1" t="n">
        <v>45274</v>
      </c>
      <c r="C289" s="1" t="n">
        <v>46199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36909-2023</t>
        </is>
      </c>
      <c r="B290" s="1" t="n">
        <v>45154</v>
      </c>
      <c r="C290" s="1" t="n">
        <v>46199</v>
      </c>
      <c r="D290" t="inlineStr">
        <is>
          <t>KALMAR LÄN</t>
        </is>
      </c>
      <c r="E290" t="inlineStr">
        <is>
          <t>HÖGSBY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26967-2026</t>
        </is>
      </c>
      <c r="B291" s="1" t="n">
        <v>46185</v>
      </c>
      <c r="C291" s="1" t="n">
        <v>46199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27365-2026</t>
        </is>
      </c>
      <c r="B292" s="1" t="n">
        <v>46184</v>
      </c>
      <c r="C292" s="1" t="n">
        <v>46199</v>
      </c>
      <c r="D292" t="inlineStr">
        <is>
          <t>KALMAR LÄN</t>
        </is>
      </c>
      <c r="E292" t="inlineStr">
        <is>
          <t>HÖGSBY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30294-2022</t>
        </is>
      </c>
      <c r="B293" s="1" t="n">
        <v>44760</v>
      </c>
      <c r="C293" s="1" t="n">
        <v>46199</v>
      </c>
      <c r="D293" t="inlineStr">
        <is>
          <t>KALMAR LÄN</t>
        </is>
      </c>
      <c r="E293" t="inlineStr">
        <is>
          <t>HÖGSBY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60446-2023</t>
        </is>
      </c>
      <c r="B294" s="1" t="n">
        <v>45259</v>
      </c>
      <c r="C294" s="1" t="n">
        <v>46199</v>
      </c>
      <c r="D294" t="inlineStr">
        <is>
          <t>KALMAR LÄN</t>
        </is>
      </c>
      <c r="E294" t="inlineStr">
        <is>
          <t>HÖGSBY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10405-2025</t>
        </is>
      </c>
      <c r="B295" s="1" t="n">
        <v>45720</v>
      </c>
      <c r="C295" s="1" t="n">
        <v>46199</v>
      </c>
      <c r="D295" t="inlineStr">
        <is>
          <t>KALMAR LÄN</t>
        </is>
      </c>
      <c r="E295" t="inlineStr">
        <is>
          <t>HÖGSBY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27367-2026</t>
        </is>
      </c>
      <c r="B296" s="1" t="n">
        <v>46184</v>
      </c>
      <c r="C296" s="1" t="n">
        <v>46199</v>
      </c>
      <c r="D296" t="inlineStr">
        <is>
          <t>KALMAR LÄN</t>
        </is>
      </c>
      <c r="E296" t="inlineStr">
        <is>
          <t>HÖGSBY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26963-2026</t>
        </is>
      </c>
      <c r="B297" s="1" t="n">
        <v>46185</v>
      </c>
      <c r="C297" s="1" t="n">
        <v>46199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27689-2026</t>
        </is>
      </c>
      <c r="B298" s="1" t="n">
        <v>46188</v>
      </c>
      <c r="C298" s="1" t="n">
        <v>46199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1582-2024</t>
        </is>
      </c>
      <c r="B299" s="1" t="n">
        <v>45306</v>
      </c>
      <c r="C299" s="1" t="n">
        <v>46199</v>
      </c>
      <c r="D299" t="inlineStr">
        <is>
          <t>KALMAR LÄN</t>
        </is>
      </c>
      <c r="E299" t="inlineStr">
        <is>
          <t>HÖGSBY</t>
        </is>
      </c>
      <c r="F299" t="inlineStr">
        <is>
          <t>Övriga Aktiebolag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21801-2026</t>
        </is>
      </c>
      <c r="B300" s="1" t="n">
        <v>46150</v>
      </c>
      <c r="C300" s="1" t="n">
        <v>46199</v>
      </c>
      <c r="D300" t="inlineStr">
        <is>
          <t>KALMAR LÄN</t>
        </is>
      </c>
      <c r="E300" t="inlineStr">
        <is>
          <t>HÖGSBY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27812-2026</t>
        </is>
      </c>
      <c r="B301" s="1" t="n">
        <v>46191</v>
      </c>
      <c r="C301" s="1" t="n">
        <v>46199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74478-2021</t>
        </is>
      </c>
      <c r="B302" s="1" t="n">
        <v>44559</v>
      </c>
      <c r="C302" s="1" t="n">
        <v>46199</v>
      </c>
      <c r="D302" t="inlineStr">
        <is>
          <t>KALMAR LÄN</t>
        </is>
      </c>
      <c r="E302" t="inlineStr">
        <is>
          <t>HÖGSBY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28160-2026</t>
        </is>
      </c>
      <c r="B303" s="1" t="n">
        <v>46195</v>
      </c>
      <c r="C303" s="1" t="n">
        <v>46199</v>
      </c>
      <c r="D303" t="inlineStr">
        <is>
          <t>KALMAR LÄN</t>
        </is>
      </c>
      <c r="E303" t="inlineStr">
        <is>
          <t>HÖGSBY</t>
        </is>
      </c>
      <c r="F303" t="inlineStr">
        <is>
          <t>Kommuner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28265-2026</t>
        </is>
      </c>
      <c r="B304" s="1" t="n">
        <v>46196</v>
      </c>
      <c r="C304" s="1" t="n">
        <v>46199</v>
      </c>
      <c r="D304" t="inlineStr">
        <is>
          <t>KALMAR LÄN</t>
        </is>
      </c>
      <c r="E304" t="inlineStr">
        <is>
          <t>HÖGSBY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56705-2023</t>
        </is>
      </c>
      <c r="B305" s="1" t="n">
        <v>45244</v>
      </c>
      <c r="C305" s="1" t="n">
        <v>46199</v>
      </c>
      <c r="D305" t="inlineStr">
        <is>
          <t>KALMAR LÄN</t>
        </is>
      </c>
      <c r="E305" t="inlineStr">
        <is>
          <t>HÖGSBY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28808-2026</t>
        </is>
      </c>
      <c r="B306" s="1" t="n">
        <v>46198</v>
      </c>
      <c r="C306" s="1" t="n">
        <v>46199</v>
      </c>
      <c r="D306" t="inlineStr">
        <is>
          <t>KALMAR LÄN</t>
        </is>
      </c>
      <c r="E306" t="inlineStr">
        <is>
          <t>HÖGSBY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28815-2026</t>
        </is>
      </c>
      <c r="B307" s="1" t="n">
        <v>46198</v>
      </c>
      <c r="C307" s="1" t="n">
        <v>46199</v>
      </c>
      <c r="D307" t="inlineStr">
        <is>
          <t>KALMAR LÄN</t>
        </is>
      </c>
      <c r="E307" t="inlineStr">
        <is>
          <t>HÖGSBY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28830-2026</t>
        </is>
      </c>
      <c r="B308" s="1" t="n">
        <v>46198</v>
      </c>
      <c r="C308" s="1" t="n">
        <v>46199</v>
      </c>
      <c r="D308" t="inlineStr">
        <is>
          <t>KALMAR LÄN</t>
        </is>
      </c>
      <c r="E308" t="inlineStr">
        <is>
          <t>HÖGSBY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28573-2026</t>
        </is>
      </c>
      <c r="B309" s="1" t="n">
        <v>46197</v>
      </c>
      <c r="C309" s="1" t="n">
        <v>46199</v>
      </c>
      <c r="D309" t="inlineStr">
        <is>
          <t>KALMAR LÄN</t>
        </is>
      </c>
      <c r="E309" t="inlineStr">
        <is>
          <t>HÖGSBY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28574-2026</t>
        </is>
      </c>
      <c r="B310" s="1" t="n">
        <v>46197</v>
      </c>
      <c r="C310" s="1" t="n">
        <v>46199</v>
      </c>
      <c r="D310" t="inlineStr">
        <is>
          <t>KALMAR LÄN</t>
        </is>
      </c>
      <c r="E310" t="inlineStr">
        <is>
          <t>HÖGSBY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28691-2026</t>
        </is>
      </c>
      <c r="B311" s="1" t="n">
        <v>46198</v>
      </c>
      <c r="C311" s="1" t="n">
        <v>46199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38824-2024</t>
        </is>
      </c>
      <c r="B312" s="1" t="n">
        <v>45547</v>
      </c>
      <c r="C312" s="1" t="n">
        <v>46199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28634-2026</t>
        </is>
      </c>
      <c r="B313" s="1" t="n">
        <v>46198</v>
      </c>
      <c r="C313" s="1" t="n">
        <v>46199</v>
      </c>
      <c r="D313" t="inlineStr">
        <is>
          <t>KALMAR LÄN</t>
        </is>
      </c>
      <c r="E313" t="inlineStr">
        <is>
          <t>HÖGSBY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28692-2026</t>
        </is>
      </c>
      <c r="B314" s="1" t="n">
        <v>46198</v>
      </c>
      <c r="C314" s="1" t="n">
        <v>46199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28697-2026</t>
        </is>
      </c>
      <c r="B315" s="1" t="n">
        <v>46198</v>
      </c>
      <c r="C315" s="1" t="n">
        <v>46199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47443-2025</t>
        </is>
      </c>
      <c r="B316" s="1" t="n">
        <v>45930</v>
      </c>
      <c r="C316" s="1" t="n">
        <v>46199</v>
      </c>
      <c r="D316" t="inlineStr">
        <is>
          <t>KALMAR LÄN</t>
        </is>
      </c>
      <c r="E316" t="inlineStr">
        <is>
          <t>HÖGSBY</t>
        </is>
      </c>
      <c r="F316" t="inlineStr">
        <is>
          <t>Kyrkan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4931-2024</t>
        </is>
      </c>
      <c r="B317" s="1" t="n">
        <v>45329</v>
      </c>
      <c r="C317" s="1" t="n">
        <v>46199</v>
      </c>
      <c r="D317" t="inlineStr">
        <is>
          <t>KALMAR LÄN</t>
        </is>
      </c>
      <c r="E317" t="inlineStr">
        <is>
          <t>HÖGSBY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28702-2026</t>
        </is>
      </c>
      <c r="B318" s="1" t="n">
        <v>46198</v>
      </c>
      <c r="C318" s="1" t="n">
        <v>46199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28713-2026</t>
        </is>
      </c>
      <c r="B319" s="1" t="n">
        <v>46198</v>
      </c>
      <c r="C319" s="1" t="n">
        <v>46199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22562-2026</t>
        </is>
      </c>
      <c r="B320" s="1" t="n">
        <v>46155</v>
      </c>
      <c r="C320" s="1" t="n">
        <v>46199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22564-2026</t>
        </is>
      </c>
      <c r="B321" s="1" t="n">
        <v>46155</v>
      </c>
      <c r="C321" s="1" t="n">
        <v>46199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49486-2022</t>
        </is>
      </c>
      <c r="B322" s="1" t="n">
        <v>44861</v>
      </c>
      <c r="C322" s="1" t="n">
        <v>46199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26927-2023</t>
        </is>
      </c>
      <c r="B323" s="1" t="n">
        <v>45093</v>
      </c>
      <c r="C323" s="1" t="n">
        <v>46199</v>
      </c>
      <c r="D323" t="inlineStr">
        <is>
          <t>KALMAR LÄN</t>
        </is>
      </c>
      <c r="E323" t="inlineStr">
        <is>
          <t>HÖGSBY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71635-2021</t>
        </is>
      </c>
      <c r="B324" s="1" t="n">
        <v>44543</v>
      </c>
      <c r="C324" s="1" t="n">
        <v>46199</v>
      </c>
      <c r="D324" t="inlineStr">
        <is>
          <t>KALMAR LÄN</t>
        </is>
      </c>
      <c r="E324" t="inlineStr">
        <is>
          <t>HÖGSBY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8613-2022</t>
        </is>
      </c>
      <c r="B325" s="1" t="n">
        <v>44613</v>
      </c>
      <c r="C325" s="1" t="n">
        <v>46199</v>
      </c>
      <c r="D325" t="inlineStr">
        <is>
          <t>KALMAR LÄN</t>
        </is>
      </c>
      <c r="E325" t="inlineStr">
        <is>
          <t>HÖGSBY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4252-2023</t>
        </is>
      </c>
      <c r="B326" s="1" t="n">
        <v>44953</v>
      </c>
      <c r="C326" s="1" t="n">
        <v>46199</v>
      </c>
      <c r="D326" t="inlineStr">
        <is>
          <t>KALMAR LÄN</t>
        </is>
      </c>
      <c r="E326" t="inlineStr">
        <is>
          <t>HÖGSBY</t>
        </is>
      </c>
      <c r="F326" t="inlineStr">
        <is>
          <t>Övriga Aktiebolag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6478-2022</t>
        </is>
      </c>
      <c r="B327" s="1" t="n">
        <v>44601</v>
      </c>
      <c r="C327" s="1" t="n">
        <v>46199</v>
      </c>
      <c r="D327" t="inlineStr">
        <is>
          <t>KALMAR LÄN</t>
        </is>
      </c>
      <c r="E327" t="inlineStr">
        <is>
          <t>HÖGSBY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38597-2024</t>
        </is>
      </c>
      <c r="B328" s="1" t="n">
        <v>45546</v>
      </c>
      <c r="C328" s="1" t="n">
        <v>46199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22524-2024</t>
        </is>
      </c>
      <c r="B329" s="1" t="n">
        <v>45447</v>
      </c>
      <c r="C329" s="1" t="n">
        <v>46199</v>
      </c>
      <c r="D329" t="inlineStr">
        <is>
          <t>KALMAR LÄN</t>
        </is>
      </c>
      <c r="E329" t="inlineStr">
        <is>
          <t>HÖGSBY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51621-2023</t>
        </is>
      </c>
      <c r="B330" s="1" t="n">
        <v>45222</v>
      </c>
      <c r="C330" s="1" t="n">
        <v>46199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15034-2023</t>
        </is>
      </c>
      <c r="B331" s="1" t="n">
        <v>45015</v>
      </c>
      <c r="C331" s="1" t="n">
        <v>46199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58753-2022</t>
        </is>
      </c>
      <c r="B332" s="1" t="n">
        <v>44903</v>
      </c>
      <c r="C332" s="1" t="n">
        <v>46199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51619-2023</t>
        </is>
      </c>
      <c r="B333" s="1" t="n">
        <v>45222</v>
      </c>
      <c r="C333" s="1" t="n">
        <v>46199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50727-2023</t>
        </is>
      </c>
      <c r="B334" s="1" t="n">
        <v>45217</v>
      </c>
      <c r="C334" s="1" t="n">
        <v>46199</v>
      </c>
      <c r="D334" t="inlineStr">
        <is>
          <t>KALMAR LÄN</t>
        </is>
      </c>
      <c r="E334" t="inlineStr">
        <is>
          <t>HÖGSBY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51624-2023</t>
        </is>
      </c>
      <c r="B335" s="1" t="n">
        <v>45222</v>
      </c>
      <c r="C335" s="1" t="n">
        <v>46199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24292-2022</t>
        </is>
      </c>
      <c r="B336" s="1" t="n">
        <v>44725</v>
      </c>
      <c r="C336" s="1" t="n">
        <v>46199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9427-2023</t>
        </is>
      </c>
      <c r="B337" s="1" t="n">
        <v>44981</v>
      </c>
      <c r="C337" s="1" t="n">
        <v>46199</v>
      </c>
      <c r="D337" t="inlineStr">
        <is>
          <t>KALMAR LÄN</t>
        </is>
      </c>
      <c r="E337" t="inlineStr">
        <is>
          <t>HÖGSBY</t>
        </is>
      </c>
      <c r="F337" t="inlineStr">
        <is>
          <t>Övriga Aktiebolag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43213-2023</t>
        </is>
      </c>
      <c r="B338" s="1" t="n">
        <v>45183</v>
      </c>
      <c r="C338" s="1" t="n">
        <v>46199</v>
      </c>
      <c r="D338" t="inlineStr">
        <is>
          <t>KALMAR LÄN</t>
        </is>
      </c>
      <c r="E338" t="inlineStr">
        <is>
          <t>HÖGSBY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3982-2023</t>
        </is>
      </c>
      <c r="B339" s="1" t="n">
        <v>44950</v>
      </c>
      <c r="C339" s="1" t="n">
        <v>46199</v>
      </c>
      <c r="D339" t="inlineStr">
        <is>
          <t>KALMAR LÄN</t>
        </is>
      </c>
      <c r="E339" t="inlineStr">
        <is>
          <t>HÖGSBY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44436-2023</t>
        </is>
      </c>
      <c r="B340" s="1" t="n">
        <v>45189</v>
      </c>
      <c r="C340" s="1" t="n">
        <v>46199</v>
      </c>
      <c r="D340" t="inlineStr">
        <is>
          <t>KALMAR LÄN</t>
        </is>
      </c>
      <c r="E340" t="inlineStr">
        <is>
          <t>HÖGSBY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14394-2023</t>
        </is>
      </c>
      <c r="B341" s="1" t="n">
        <v>45012</v>
      </c>
      <c r="C341" s="1" t="n">
        <v>46199</v>
      </c>
      <c r="D341" t="inlineStr">
        <is>
          <t>KALMAR LÄN</t>
        </is>
      </c>
      <c r="E341" t="inlineStr">
        <is>
          <t>HÖGSBY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33112-2023</t>
        </is>
      </c>
      <c r="B342" s="1" t="n">
        <v>45126</v>
      </c>
      <c r="C342" s="1" t="n">
        <v>46199</v>
      </c>
      <c r="D342" t="inlineStr">
        <is>
          <t>KALMAR LÄN</t>
        </is>
      </c>
      <c r="E342" t="inlineStr">
        <is>
          <t>HÖGSBY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9454-2023</t>
        </is>
      </c>
      <c r="B343" s="1" t="n">
        <v>44981</v>
      </c>
      <c r="C343" s="1" t="n">
        <v>46199</v>
      </c>
      <c r="D343" t="inlineStr">
        <is>
          <t>KALMAR LÄN</t>
        </is>
      </c>
      <c r="E343" t="inlineStr">
        <is>
          <t>HÖGSBY</t>
        </is>
      </c>
      <c r="F343" t="inlineStr">
        <is>
          <t>Övriga Aktiebolag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47797-2024</t>
        </is>
      </c>
      <c r="B344" s="1" t="n">
        <v>45588</v>
      </c>
      <c r="C344" s="1" t="n">
        <v>46199</v>
      </c>
      <c r="D344" t="inlineStr">
        <is>
          <t>KALMAR LÄN</t>
        </is>
      </c>
      <c r="E344" t="inlineStr">
        <is>
          <t>HÖGSBY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5430-2025</t>
        </is>
      </c>
      <c r="B345" s="1" t="n">
        <v>45692</v>
      </c>
      <c r="C345" s="1" t="n">
        <v>46199</v>
      </c>
      <c r="D345" t="inlineStr">
        <is>
          <t>KALMAR LÄN</t>
        </is>
      </c>
      <c r="E345" t="inlineStr">
        <is>
          <t>HÖGSBY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55697-2023</t>
        </is>
      </c>
      <c r="B346" s="1" t="n">
        <v>45239</v>
      </c>
      <c r="C346" s="1" t="n">
        <v>46199</v>
      </c>
      <c r="D346" t="inlineStr">
        <is>
          <t>KALMAR LÄN</t>
        </is>
      </c>
      <c r="E346" t="inlineStr">
        <is>
          <t>HÖGSBY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6216-2024</t>
        </is>
      </c>
      <c r="B347" s="1" t="n">
        <v>45337</v>
      </c>
      <c r="C347" s="1" t="n">
        <v>46199</v>
      </c>
      <c r="D347" t="inlineStr">
        <is>
          <t>KALMAR LÄN</t>
        </is>
      </c>
      <c r="E347" t="inlineStr">
        <is>
          <t>HÖGSBY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12757-2023</t>
        </is>
      </c>
      <c r="B348" s="1" t="n">
        <v>45001</v>
      </c>
      <c r="C348" s="1" t="n">
        <v>46199</v>
      </c>
      <c r="D348" t="inlineStr">
        <is>
          <t>KALMAR LÄN</t>
        </is>
      </c>
      <c r="E348" t="inlineStr">
        <is>
          <t>HÖGSBY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64130-2023</t>
        </is>
      </c>
      <c r="B349" s="1" t="n">
        <v>45279</v>
      </c>
      <c r="C349" s="1" t="n">
        <v>46199</v>
      </c>
      <c r="D349" t="inlineStr">
        <is>
          <t>KALMAR LÄN</t>
        </is>
      </c>
      <c r="E349" t="inlineStr">
        <is>
          <t>HÖGSBY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36573-2023</t>
        </is>
      </c>
      <c r="B350" s="1" t="n">
        <v>45153</v>
      </c>
      <c r="C350" s="1" t="n">
        <v>46199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10412-2022</t>
        </is>
      </c>
      <c r="B351" s="1" t="n">
        <v>44623</v>
      </c>
      <c r="C351" s="1" t="n">
        <v>46199</v>
      </c>
      <c r="D351" t="inlineStr">
        <is>
          <t>KALMAR LÄN</t>
        </is>
      </c>
      <c r="E351" t="inlineStr">
        <is>
          <t>HÖGSBY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53328-2022</t>
        </is>
      </c>
      <c r="B352" s="1" t="n">
        <v>44879</v>
      </c>
      <c r="C352" s="1" t="n">
        <v>46199</v>
      </c>
      <c r="D352" t="inlineStr">
        <is>
          <t>KALMAR LÄN</t>
        </is>
      </c>
      <c r="E352" t="inlineStr">
        <is>
          <t>HÖGSBY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28650-2023</t>
        </is>
      </c>
      <c r="B353" s="1" t="n">
        <v>45103</v>
      </c>
      <c r="C353" s="1" t="n">
        <v>46199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59408-2022</t>
        </is>
      </c>
      <c r="B354" s="1" t="n">
        <v>44907</v>
      </c>
      <c r="C354" s="1" t="n">
        <v>46199</v>
      </c>
      <c r="D354" t="inlineStr">
        <is>
          <t>KALMAR LÄN</t>
        </is>
      </c>
      <c r="E354" t="inlineStr">
        <is>
          <t>HÖGSBY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47502-2023</t>
        </is>
      </c>
      <c r="B355" s="1" t="n">
        <v>45203</v>
      </c>
      <c r="C355" s="1" t="n">
        <v>46199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47571-2023</t>
        </is>
      </c>
      <c r="B356" s="1" t="n">
        <v>45203</v>
      </c>
      <c r="C356" s="1" t="n">
        <v>46199</v>
      </c>
      <c r="D356" t="inlineStr">
        <is>
          <t>KALMAR LÄN</t>
        </is>
      </c>
      <c r="E356" t="inlineStr">
        <is>
          <t>HÖGSBY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7438-2023</t>
        </is>
      </c>
      <c r="B357" s="1" t="n">
        <v>44966</v>
      </c>
      <c r="C357" s="1" t="n">
        <v>46199</v>
      </c>
      <c r="D357" t="inlineStr">
        <is>
          <t>KALMAR LÄN</t>
        </is>
      </c>
      <c r="E357" t="inlineStr">
        <is>
          <t>HÖGSBY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55902-2024</t>
        </is>
      </c>
      <c r="B358" s="1" t="n">
        <v>45622</v>
      </c>
      <c r="C358" s="1" t="n">
        <v>46199</v>
      </c>
      <c r="D358" t="inlineStr">
        <is>
          <t>KALMAR LÄN</t>
        </is>
      </c>
      <c r="E358" t="inlineStr">
        <is>
          <t>HÖGSBY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17250-2024</t>
        </is>
      </c>
      <c r="B359" s="1" t="n">
        <v>45414</v>
      </c>
      <c r="C359" s="1" t="n">
        <v>46199</v>
      </c>
      <c r="D359" t="inlineStr">
        <is>
          <t>KALMAR LÄN</t>
        </is>
      </c>
      <c r="E359" t="inlineStr">
        <is>
          <t>HÖGSBY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34078-2024</t>
        </is>
      </c>
      <c r="B360" s="1" t="n">
        <v>45523</v>
      </c>
      <c r="C360" s="1" t="n">
        <v>46199</v>
      </c>
      <c r="D360" t="inlineStr">
        <is>
          <t>KALMAR LÄN</t>
        </is>
      </c>
      <c r="E360" t="inlineStr">
        <is>
          <t>HÖGSBY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21569-2025</t>
        </is>
      </c>
      <c r="B361" s="1" t="n">
        <v>45782</v>
      </c>
      <c r="C361" s="1" t="n">
        <v>46199</v>
      </c>
      <c r="D361" t="inlineStr">
        <is>
          <t>KALMAR LÄN</t>
        </is>
      </c>
      <c r="E361" t="inlineStr">
        <is>
          <t>HÖGSBY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2026-06-26T00:48:09Z</dcterms:created>
  <dcterms:modified xmlns:dcterms="http://purl.org/dc/terms/" xmlns:xsi="http://www.w3.org/2001/XMLSchema-instance" xsi:type="dcterms:W3CDTF">2026-06-26T00:48:09Z</dcterms:modified>
</cp:coreProperties>
</file>