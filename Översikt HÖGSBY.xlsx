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46289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46289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46289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46289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46289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46289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46289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46289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46289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46289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46289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46289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46289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A 7410-2024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45345</v>
      </c>
      <c r="E16" s="1" t="n">
        <v>46289</v>
      </c>
      <c r="F16" t="inlineStr">
        <is>
          <t>KALMAR LÄN</t>
        </is>
      </c>
      <c r="G16" t="inlineStr">
        <is>
          <t>HÖGSBY</t>
        </is>
      </c>
      <c r="I16" t="n">
        <v>2.7</v>
      </c>
      <c r="J16" t="n">
        <v>5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16</v>
      </c>
      <c r="U16" t="n">
        <v>0</v>
      </c>
      <c r="V16" s="2" t="inlineStr">
        <is>
          <t>Knärot
Talltita
Blåsippa
Mattlummer
Tjäder</t>
        </is>
      </c>
      <c r="W16">
        <f>HYPERLINK("https://klasma.github.io/Logging_0821/artfynd/A 7410-2024 artfynd.xlsx", "A 7410-2024")</f>
        <v/>
      </c>
      <c r="X16">
        <f>HYPERLINK("https://klasma.github.io/Logging_0821/kartor/A 7410-2024 karta.png", "A 7410-2024")</f>
        <v/>
      </c>
      <c r="Y16">
        <f>HYPERLINK("https://klasma.github.io/Logging_0821/kartor_geotiff/A 7410-2024 georefererad karta.tif", "A 7410-2024")</f>
        <v/>
      </c>
      <c r="Z16">
        <f>HYPERLINK("https://klasma.github.io/Logging_0821/knärot/A 7410-2024 karta knärot.png", "A 7410-2024")</f>
        <v/>
      </c>
      <c r="AA16">
        <f>HYPERLINK("https://klasma.github.io/Logging_0821/klagomål/A 7410-2024 FSC-klagomål.docx", "A 7410-2024")</f>
        <v/>
      </c>
      <c r="AB16">
        <f>HYPERLINK("https://klasma.github.io/Logging_0821/klagomålsmail/A 7410-2024 FSC-klagomål mail.docx", "A 7410-2024")</f>
        <v/>
      </c>
      <c r="AC16">
        <f>HYPERLINK("https://klasma.github.io/Logging_0821/tillsyn/A 7410-2024 tillsynsbegäran.docx", "A 7410-2024")</f>
        <v/>
      </c>
      <c r="AD16">
        <f>HYPERLINK("https://klasma.github.io/Logging_0821/tillsynsmail/A 7410-2024 tillsynsbegäran mail.docx", "A 7410-2024")</f>
        <v/>
      </c>
      <c r="AE16">
        <f>HYPERLINK("https://klasma.github.io/Logging_0821/fåglar/A 7410-2024 prioriterade fågelarter.docx", "A 7410-2024")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46289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46289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58017-2025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45982</v>
      </c>
      <c r="E19" s="1" t="n">
        <v>46289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8.4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Backvickermal
Björksplintborre
Blåmossa
Kornknutmossa</t>
        </is>
      </c>
      <c r="W19">
        <f>HYPERLINK("https://klasma.github.io/Logging_0821/artfynd/A 58017-2025 artfynd.xlsx", "A 58017-2025")</f>
        <v/>
      </c>
      <c r="X19">
        <f>HYPERLINK("https://klasma.github.io/Logging_0821/kartor/A 58017-2025 karta.png", "A 58017-2025")</f>
        <v/>
      </c>
      <c r="Y19">
        <f>HYPERLINK("https://klasma.github.io/Logging_0821/kartor_geotiff/A 58017-2025 georefererad karta.tif", "A 58017-2025")</f>
        <v/>
      </c>
      <c r="AA19">
        <f>HYPERLINK("https://klasma.github.io/Logging_0821/klagomål/A 58017-2025 FSC-klagomål.docx", "A 58017-2025")</f>
        <v/>
      </c>
      <c r="AB19">
        <f>HYPERLINK("https://klasma.github.io/Logging_0821/klagomålsmail/A 58017-2025 FSC-klagomål mail.docx", "A 58017-2025")</f>
        <v/>
      </c>
      <c r="AC19">
        <f>HYPERLINK("https://klasma.github.io/Logging_0821/tillsyn/A 58017-2025 tillsynsbegäran.docx", "A 58017-2025")</f>
        <v/>
      </c>
      <c r="AD19">
        <f>HYPERLINK("https://klasma.github.io/Logging_0821/tillsynsmail/A 58017-2025 tillsynsbegäran mail.docx", "A 58017-2025")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46289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56995-2024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45626</v>
      </c>
      <c r="E21" s="1" t="n">
        <v>46289</v>
      </c>
      <c r="F21" t="inlineStr">
        <is>
          <t>KALMAR LÄN</t>
        </is>
      </c>
      <c r="G21" t="inlineStr">
        <is>
          <t>HÖGSBY</t>
        </is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Underviol
Blåsippa
Spillkråka
Gullviva</t>
        </is>
      </c>
      <c r="W21">
        <f>HYPERLINK("https://klasma.github.io/Logging_0821/artfynd/A 56995-2024 artfynd.xlsx", "A 56995-2024")</f>
        <v/>
      </c>
      <c r="X21">
        <f>HYPERLINK("https://klasma.github.io/Logging_0821/kartor/A 56995-2024 karta.png", "A 56995-2024")</f>
        <v/>
      </c>
      <c r="Y21">
        <f>HYPERLINK("https://klasma.github.io/Logging_0821/kartor_geotiff/A 56995-2024 georefererad karta.tif", "A 56995-2024")</f>
        <v/>
      </c>
      <c r="AA21">
        <f>HYPERLINK("https://klasma.github.io/Logging_0821/klagomål/A 56995-2024 FSC-klagomål.docx", "A 56995-2024")</f>
        <v/>
      </c>
      <c r="AB21">
        <f>HYPERLINK("https://klasma.github.io/Logging_0821/klagomålsmail/A 56995-2024 FSC-klagomål mail.docx", "A 56995-2024")</f>
        <v/>
      </c>
      <c r="AC21">
        <f>HYPERLINK("https://klasma.github.io/Logging_0821/tillsyn/A 56995-2024 tillsynsbegäran.docx", "A 56995-2024")</f>
        <v/>
      </c>
      <c r="AD21">
        <f>HYPERLINK("https://klasma.github.io/Logging_0821/tillsynsmail/A 56995-2024 tillsynsbegäran mail.docx", "A 56995-2024")</f>
        <v/>
      </c>
      <c r="AE21">
        <f>HYPERLINK("https://klasma.github.io/Logging_0821/fåglar/A 56995-2024 prioriterade fågelarter.docx", "A 56995-2024")</f>
        <v/>
      </c>
    </row>
    <row r="22" ht="15" customHeight="1">
      <c r="A22" t="inlineStr">
        <is>
          <t>A 26772-2026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46289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7.8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Talltita
Vårärt
Vanlig flatbagge
Blåsippa</t>
        </is>
      </c>
      <c r="W22">
        <f>HYPERLINK("https://klasma.github.io/Logging_0821/artfynd/A 26772-2026 artfynd.xlsx", "A 26772-2026")</f>
        <v/>
      </c>
      <c r="X22">
        <f>HYPERLINK("https://klasma.github.io/Logging_0821/kartor/A 26772-2026 karta.png", "A 26772-2026")</f>
        <v/>
      </c>
      <c r="Y22">
        <f>HYPERLINK("https://klasma.github.io/Logging_0821/kartor_geotiff/A 26772-2026 georefererad karta.tif", "A 26772-2026")</f>
        <v/>
      </c>
      <c r="AA22">
        <f>HYPERLINK("https://klasma.github.io/Logging_0821/klagomål/A 26772-2026 FSC-klagomål.docx", "A 26772-2026")</f>
        <v/>
      </c>
      <c r="AB22">
        <f>HYPERLINK("https://klasma.github.io/Logging_0821/klagomålsmail/A 26772-2026 FSC-klagomål mail.docx", "A 26772-2026")</f>
        <v/>
      </c>
      <c r="AC22">
        <f>HYPERLINK("https://klasma.github.io/Logging_0821/tillsyn/A 26772-2026 tillsynsbegäran.docx", "A 26772-2026")</f>
        <v/>
      </c>
      <c r="AD22">
        <f>HYPERLINK("https://klasma.github.io/Logging_0821/tillsynsmail/A 26772-2026 tillsynsbegäran mail.docx", "A 26772-2026")</f>
        <v/>
      </c>
      <c r="AE22">
        <f>HYPERLINK("https://klasma.github.io/Logging_0821/fåglar/A 26772-2026 prioriterade fågelarter.docx", "A 26772-2026")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46289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46289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46289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46289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46289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46289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46289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62371-2023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46289</v>
      </c>
      <c r="F30" t="inlineStr">
        <is>
          <t>KALMAR LÄN</t>
        </is>
      </c>
      <c r="G30" t="inlineStr">
        <is>
          <t>HÖGSBY</t>
        </is>
      </c>
      <c r="I30" t="n">
        <v>4.5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Spillkråka</t>
        </is>
      </c>
      <c r="W30">
        <f>HYPERLINK("https://klasma.github.io/Logging_0821/artfynd/A 62371-2023 artfynd.xlsx", "A 62371-2023")</f>
        <v/>
      </c>
      <c r="X30">
        <f>HYPERLINK("https://klasma.github.io/Logging_0821/kartor/A 62371-2023 karta.png", "A 62371-2023")</f>
        <v/>
      </c>
      <c r="Y30">
        <f>HYPERLINK("https://klasma.github.io/Logging_0821/kartor_geotiff/A 62371-2023 georefererad karta.tif", "A 62371-2023")</f>
        <v/>
      </c>
      <c r="Z30">
        <f>HYPERLINK("https://klasma.github.io/Logging_0821/knärot/A 62371-2023 karta knärot.png", "A 62371-2023")</f>
        <v/>
      </c>
      <c r="AA30">
        <f>HYPERLINK("https://klasma.github.io/Logging_0821/klagomål/A 62371-2023 FSC-klagomål.docx", "A 62371-2023")</f>
        <v/>
      </c>
      <c r="AB30">
        <f>HYPERLINK("https://klasma.github.io/Logging_0821/klagomålsmail/A 62371-2023 FSC-klagomål mail.docx", "A 62371-2023")</f>
        <v/>
      </c>
      <c r="AC30">
        <f>HYPERLINK("https://klasma.github.io/Logging_0821/tillsyn/A 62371-2023 tillsynsbegäran.docx", "A 62371-2023")</f>
        <v/>
      </c>
      <c r="AD30">
        <f>HYPERLINK("https://klasma.github.io/Logging_0821/tillsynsmail/A 62371-2023 tillsynsbegäran mail.docx", "A 62371-2023")</f>
        <v/>
      </c>
      <c r="AE30">
        <f>HYPERLINK("https://klasma.github.io/Logging_0821/fåglar/A 62371-2023 prioriterade fågelarter.docx", "A 62371-2023")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46289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46289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46289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46289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46289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46289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26775-2026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46184</v>
      </c>
      <c r="E37" s="1" t="n">
        <v>46289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Blåsippa</t>
        </is>
      </c>
      <c r="W37">
        <f>HYPERLINK("https://klasma.github.io/Logging_0821/artfynd/A 26775-2026 artfynd.xlsx", "A 26775-2026")</f>
        <v/>
      </c>
      <c r="X37">
        <f>HYPERLINK("https://klasma.github.io/Logging_0821/kartor/A 26775-2026 karta.png", "A 26775-2026")</f>
        <v/>
      </c>
      <c r="Y37">
        <f>HYPERLINK("https://klasma.github.io/Logging_0821/kartor_geotiff/A 26775-2026 georefererad karta.tif", "A 26775-2026")</f>
        <v/>
      </c>
      <c r="AA37">
        <f>HYPERLINK("https://klasma.github.io/Logging_0821/klagomål/A 26775-2026 FSC-klagomål.docx", "A 26775-2026")</f>
        <v/>
      </c>
      <c r="AB37">
        <f>HYPERLINK("https://klasma.github.io/Logging_0821/klagomålsmail/A 26775-2026 FSC-klagomål mail.docx", "A 26775-2026")</f>
        <v/>
      </c>
      <c r="AC37">
        <f>HYPERLINK("https://klasma.github.io/Logging_0821/tillsyn/A 26775-2026 tillsynsbegäran.docx", "A 26775-2026")</f>
        <v/>
      </c>
      <c r="AD37">
        <f>HYPERLINK("https://klasma.github.io/Logging_0821/tillsynsmail/A 26775-2026 tillsynsbegäran mail.docx", "A 26775-2026")</f>
        <v/>
      </c>
    </row>
    <row r="38" ht="15" customHeight="1">
      <c r="A38" t="inlineStr">
        <is>
          <t>A 26759-2026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46184</v>
      </c>
      <c r="E38" s="1" t="n">
        <v>46289</v>
      </c>
      <c r="F38" t="inlineStr">
        <is>
          <t>KALMAR LÄN</t>
        </is>
      </c>
      <c r="G38" t="inlineStr">
        <is>
          <t>HÖGSBY</t>
        </is>
      </c>
      <c r="H38" t="inlineStr">
        <is>
          <t>Sveaskog</t>
        </is>
      </c>
      <c r="I38" t="n">
        <v>5.5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Kungsfågel</t>
        </is>
      </c>
      <c r="W38">
        <f>HYPERLINK("https://klasma.github.io/Logging_0821/artfynd/A 26759-2026 artfynd.xlsx", "A 26759-2026")</f>
        <v/>
      </c>
      <c r="X38">
        <f>HYPERLINK("https://klasma.github.io/Logging_0821/kartor/A 26759-2026 karta.png", "A 26759-2026")</f>
        <v/>
      </c>
      <c r="Y38">
        <f>HYPERLINK("https://klasma.github.io/Logging_0821/kartor_geotiff/A 26759-2026 georefererad karta.tif", "A 26759-2026")</f>
        <v/>
      </c>
      <c r="AA38">
        <f>HYPERLINK("https://klasma.github.io/Logging_0821/klagomål/A 26759-2026 FSC-klagomål.docx", "A 26759-2026")</f>
        <v/>
      </c>
      <c r="AB38">
        <f>HYPERLINK("https://klasma.github.io/Logging_0821/klagomålsmail/A 26759-2026 FSC-klagomål mail.docx", "A 26759-2026")</f>
        <v/>
      </c>
      <c r="AC38">
        <f>HYPERLINK("https://klasma.github.io/Logging_0821/tillsyn/A 26759-2026 tillsynsbegäran.docx", "A 26759-2026")</f>
        <v/>
      </c>
      <c r="AD38">
        <f>HYPERLINK("https://klasma.github.io/Logging_0821/tillsynsmail/A 26759-2026 tillsynsbegäran mail.docx", "A 26759-2026")</f>
        <v/>
      </c>
      <c r="AE38">
        <f>HYPERLINK("https://klasma.github.io/Logging_0821/fåglar/A 26759-2026 prioriterade fågelarter.docx", "A 26759-2026")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46289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46289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46289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38802-2024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45547</v>
      </c>
      <c r="E42" s="1" t="n">
        <v>46289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38802-2024 artfynd.xlsx", "A 38802-2024")</f>
        <v/>
      </c>
      <c r="X42">
        <f>HYPERLINK("https://klasma.github.io/Logging_0821/kartor/A 38802-2024 karta.png", "A 38802-2024")</f>
        <v/>
      </c>
      <c r="Y42">
        <f>HYPERLINK("https://klasma.github.io/Logging_0821/kartor_geotiff/A 38802-2024 georefererad karta.tif", "A 38802-2024")</f>
        <v/>
      </c>
      <c r="AA42">
        <f>HYPERLINK("https://klasma.github.io/Logging_0821/klagomål/A 38802-2024 FSC-klagomål.docx", "A 38802-2024")</f>
        <v/>
      </c>
      <c r="AB42">
        <f>HYPERLINK("https://klasma.github.io/Logging_0821/klagomålsmail/A 38802-2024 FSC-klagomål mail.docx", "A 38802-2024")</f>
        <v/>
      </c>
      <c r="AC42">
        <f>HYPERLINK("https://klasma.github.io/Logging_0821/tillsyn/A 38802-2024 tillsynsbegäran.docx", "A 38802-2024")</f>
        <v/>
      </c>
      <c r="AD42">
        <f>HYPERLINK("https://klasma.github.io/Logging_0821/tillsynsmail/A 38802-2024 tillsynsbegäran mail.docx", "A 38802-2024")</f>
        <v/>
      </c>
    </row>
    <row r="43" ht="15" customHeight="1">
      <c r="A43" t="inlineStr">
        <is>
          <t>A 52177-2022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46289</v>
      </c>
      <c r="F43" t="inlineStr">
        <is>
          <t>KALMAR LÄN</t>
        </is>
      </c>
      <c r="G43" t="inlineStr">
        <is>
          <t>HÖGSBY</t>
        </is>
      </c>
      <c r="I43" t="n">
        <v>0.9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Nordfladdermus</t>
        </is>
      </c>
      <c r="W43">
        <f>HYPERLINK("https://klasma.github.io/Logging_0821/artfynd/A 52177-2022 artfynd.xlsx", "A 52177-2022")</f>
        <v/>
      </c>
      <c r="X43">
        <f>HYPERLINK("https://klasma.github.io/Logging_0821/kartor/A 52177-2022 karta.png", "A 52177-2022")</f>
        <v/>
      </c>
      <c r="Y43">
        <f>HYPERLINK("https://klasma.github.io/Logging_0821/kartor_geotiff/A 52177-2022 georefererad karta.tif", "A 52177-2022")</f>
        <v/>
      </c>
      <c r="AA43">
        <f>HYPERLINK("https://klasma.github.io/Logging_0821/klagomål/A 52177-2022 FSC-klagomål.docx", "A 52177-2022")</f>
        <v/>
      </c>
      <c r="AB43">
        <f>HYPERLINK("https://klasma.github.io/Logging_0821/klagomålsmail/A 52177-2022 FSC-klagomål mail.docx", "A 52177-2022")</f>
        <v/>
      </c>
      <c r="AC43">
        <f>HYPERLINK("https://klasma.github.io/Logging_0821/tillsyn/A 52177-2022 tillsynsbegäran.docx", "A 52177-2022")</f>
        <v/>
      </c>
      <c r="AD43">
        <f>HYPERLINK("https://klasma.github.io/Logging_0821/tillsynsmail/A 52177-2022 tillsynsbegäran mail.docx", "A 52177-2022")</f>
        <v/>
      </c>
    </row>
    <row r="44" ht="15" customHeight="1">
      <c r="A44" t="inlineStr">
        <is>
          <t>A 58792-2022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46289</v>
      </c>
      <c r="F44" t="inlineStr">
        <is>
          <t>KALMAR LÄN</t>
        </is>
      </c>
      <c r="G44" t="inlineStr">
        <is>
          <t>HÖGSBY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58792-2022 artfynd.xlsx", "A 58792-2022")</f>
        <v/>
      </c>
      <c r="X44">
        <f>HYPERLINK("https://klasma.github.io/Logging_0821/kartor/A 58792-2022 karta.png", "A 58792-2022")</f>
        <v/>
      </c>
      <c r="Y44">
        <f>HYPERLINK("https://klasma.github.io/Logging_0821/kartor_geotiff/A 58792-2022 georefererad karta.tif", "A 58792-2022")</f>
        <v/>
      </c>
      <c r="AA44">
        <f>HYPERLINK("https://klasma.github.io/Logging_0821/klagomål/A 58792-2022 FSC-klagomål.docx", "A 58792-2022")</f>
        <v/>
      </c>
      <c r="AB44">
        <f>HYPERLINK("https://klasma.github.io/Logging_0821/klagomålsmail/A 58792-2022 FSC-klagomål mail.docx", "A 58792-2022")</f>
        <v/>
      </c>
      <c r="AC44">
        <f>HYPERLINK("https://klasma.github.io/Logging_0821/tillsyn/A 58792-2022 tillsynsbegäran.docx", "A 58792-2022")</f>
        <v/>
      </c>
      <c r="AD44">
        <f>HYPERLINK("https://klasma.github.io/Logging_0821/tillsynsmail/A 58792-2022 tillsynsbegäran mail.docx", "A 58792-2022")</f>
        <v/>
      </c>
    </row>
    <row r="45" ht="15" customHeight="1">
      <c r="A45" t="inlineStr">
        <is>
          <t>A 59407-2022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46289</v>
      </c>
      <c r="F45" t="inlineStr">
        <is>
          <t>KALMAR LÄN</t>
        </is>
      </c>
      <c r="G45" t="inlineStr">
        <is>
          <t>HÖGSBY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Blåsippa</t>
        </is>
      </c>
      <c r="W45">
        <f>HYPERLINK("https://klasma.github.io/Logging_0821/artfynd/A 59407-2022 artfynd.xlsx", "A 59407-2022")</f>
        <v/>
      </c>
      <c r="X45">
        <f>HYPERLINK("https://klasma.github.io/Logging_0821/kartor/A 59407-2022 karta.png", "A 59407-2022")</f>
        <v/>
      </c>
      <c r="Y45">
        <f>HYPERLINK("https://klasma.github.io/Logging_0821/kartor_geotiff/A 59407-2022 georefererad karta.tif", "A 59407-2022")</f>
        <v/>
      </c>
      <c r="AA45">
        <f>HYPERLINK("https://klasma.github.io/Logging_0821/klagomål/A 59407-2022 FSC-klagomål.docx", "A 59407-2022")</f>
        <v/>
      </c>
      <c r="AB45">
        <f>HYPERLINK("https://klasma.github.io/Logging_0821/klagomålsmail/A 59407-2022 FSC-klagomål mail.docx", "A 59407-2022")</f>
        <v/>
      </c>
      <c r="AC45">
        <f>HYPERLINK("https://klasma.github.io/Logging_0821/tillsyn/A 59407-2022 tillsynsbegäran.docx", "A 59407-2022")</f>
        <v/>
      </c>
      <c r="AD45">
        <f>HYPERLINK("https://klasma.github.io/Logging_0821/tillsynsmail/A 59407-2022 tillsynsbegäran mail.docx", "A 59407-2022")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46289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35075-2023 artfynd.xlsx", "A 35075-2023")</f>
        <v/>
      </c>
      <c r="X46">
        <f>HYPERLINK("https://klasma.github.io/Logging_0821/kartor/A 35075-2023 karta.png", "A 35075-2023")</f>
        <v/>
      </c>
      <c r="Y46">
        <f>HYPERLINK("https://klasma.github.io/Logging_0821/kartor_geotiff/A 35075-2023 georefererad karta.tif", "A 35075-2023")</f>
        <v/>
      </c>
      <c r="AA46">
        <f>HYPERLINK("https://klasma.github.io/Logging_0821/klagomål/A 35075-2023 FSC-klagomål.docx", "A 35075-2023")</f>
        <v/>
      </c>
      <c r="AB46">
        <f>HYPERLINK("https://klasma.github.io/Logging_0821/klagomålsmail/A 35075-2023 FSC-klagomål mail.docx", "A 35075-2023")</f>
        <v/>
      </c>
      <c r="AC46">
        <f>HYPERLINK("https://klasma.github.io/Logging_0821/tillsyn/A 35075-2023 tillsynsbegäran.docx", "A 35075-2023")</f>
        <v/>
      </c>
      <c r="AD46">
        <f>HYPERLINK("https://klasma.github.io/Logging_0821/tillsynsmail/A 35075-2023 tillsynsbegäran mail.docx", "A 35075-2023")</f>
        <v/>
      </c>
    </row>
    <row r="47" ht="15" customHeight="1">
      <c r="A47" t="inlineStr">
        <is>
          <t>A 38596-2024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45546</v>
      </c>
      <c r="E47" s="1" t="n">
        <v>46289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38596-2024 artfynd.xlsx", "A 38596-2024")</f>
        <v/>
      </c>
      <c r="X47">
        <f>HYPERLINK("https://klasma.github.io/Logging_0821/kartor/A 38596-2024 karta.png", "A 38596-2024")</f>
        <v/>
      </c>
      <c r="Y47">
        <f>HYPERLINK("https://klasma.github.io/Logging_0821/kartor_geotiff/A 38596-2024 georefererad karta.tif", "A 38596-2024")</f>
        <v/>
      </c>
      <c r="AA47">
        <f>HYPERLINK("https://klasma.github.io/Logging_0821/klagomål/A 38596-2024 FSC-klagomål.docx", "A 38596-2024")</f>
        <v/>
      </c>
      <c r="AB47">
        <f>HYPERLINK("https://klasma.github.io/Logging_0821/klagomålsmail/A 38596-2024 FSC-klagomål mail.docx", "A 38596-2024")</f>
        <v/>
      </c>
      <c r="AC47">
        <f>HYPERLINK("https://klasma.github.io/Logging_0821/tillsyn/A 38596-2024 tillsynsbegäran.docx", "A 38596-2024")</f>
        <v/>
      </c>
      <c r="AD47">
        <f>HYPERLINK("https://klasma.github.io/Logging_0821/tillsynsmail/A 38596-2024 tillsynsbegäran mail.docx", "A 38596-2024")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46289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46289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19519-2025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45770</v>
      </c>
      <c r="E50" s="1" t="n">
        <v>46289</v>
      </c>
      <c r="F50" t="inlineStr">
        <is>
          <t>KALMAR LÄN</t>
        </is>
      </c>
      <c r="G50" t="inlineStr">
        <is>
          <t>HÖGSBY</t>
        </is>
      </c>
      <c r="I50" t="n">
        <v>3.5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HYPERLINK("https://klasma.github.io/Logging_0821/artfynd/A 19519-2025 artfynd.xlsx", "A 19519-2025")</f>
        <v/>
      </c>
      <c r="X50">
        <f>HYPERLINK("https://klasma.github.io/Logging_0821/kartor/A 19519-2025 karta.png", "A 19519-2025")</f>
        <v/>
      </c>
      <c r="Y50">
        <f>HYPERLINK("https://klasma.github.io/Logging_0821/kartor_geotiff/A 19519-2025 georefererad karta.tif", "A 19519-2025")</f>
        <v/>
      </c>
      <c r="AA50">
        <f>HYPERLINK("https://klasma.github.io/Logging_0821/klagomål/A 19519-2025 FSC-klagomål.docx", "A 19519-2025")</f>
        <v/>
      </c>
      <c r="AB50">
        <f>HYPERLINK("https://klasma.github.io/Logging_0821/klagomålsmail/A 19519-2025 FSC-klagomål mail.docx", "A 19519-2025")</f>
        <v/>
      </c>
      <c r="AC50">
        <f>HYPERLINK("https://klasma.github.io/Logging_0821/tillsyn/A 19519-2025 tillsynsbegäran.docx", "A 19519-2025")</f>
        <v/>
      </c>
      <c r="AD50">
        <f>HYPERLINK("https://klasma.github.io/Logging_0821/tillsynsmail/A 19519-2025 tillsynsbegäran mail.docx", "A 19519-2025")</f>
        <v/>
      </c>
    </row>
    <row r="51" ht="15" customHeight="1">
      <c r="A51" t="inlineStr">
        <is>
          <t>A 59700-2023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45256</v>
      </c>
      <c r="E51" s="1" t="n">
        <v>46289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59700-2023 artfynd.xlsx", "A 59700-2023")</f>
        <v/>
      </c>
      <c r="X51">
        <f>HYPERLINK("https://klasma.github.io/Logging_0821/kartor/A 59700-2023 karta.png", "A 59700-2023")</f>
        <v/>
      </c>
      <c r="Y51">
        <f>HYPERLINK("https://klasma.github.io/Logging_0821/kartor_geotiff/A 59700-2023 georefererad karta.tif", "A 59700-2023")</f>
        <v/>
      </c>
      <c r="AA51">
        <f>HYPERLINK("https://klasma.github.io/Logging_0821/klagomål/A 59700-2023 FSC-klagomål.docx", "A 59700-2023")</f>
        <v/>
      </c>
      <c r="AB51">
        <f>HYPERLINK("https://klasma.github.io/Logging_0821/klagomålsmail/A 59700-2023 FSC-klagomål mail.docx", "A 59700-2023")</f>
        <v/>
      </c>
      <c r="AC51">
        <f>HYPERLINK("https://klasma.github.io/Logging_0821/tillsyn/A 59700-2023 tillsynsbegäran.docx", "A 59700-2023")</f>
        <v/>
      </c>
      <c r="AD51">
        <f>HYPERLINK("https://klasma.github.io/Logging_0821/tillsynsmail/A 59700-2023 tillsynsbegäran mail.docx", "A 59700-2023")</f>
        <v/>
      </c>
      <c r="AE51">
        <f>HYPERLINK("https://klasma.github.io/Logging_0821/fåglar/A 59700-2023 prioriterade fågelarter.docx", "A 59700-2023")</f>
        <v/>
      </c>
    </row>
    <row r="52" ht="15" customHeight="1">
      <c r="A52" t="inlineStr">
        <is>
          <t>A 17994-2026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46124</v>
      </c>
      <c r="E52" s="1" t="n">
        <v>46289</v>
      </c>
      <c r="F52" t="inlineStr">
        <is>
          <t>KALMAR LÄN</t>
        </is>
      </c>
      <c r="G52" t="inlineStr">
        <is>
          <t>HÖGSBY</t>
        </is>
      </c>
      <c r="I52" t="n">
        <v>1.7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Mindre bastardsvärmare</t>
        </is>
      </c>
      <c r="W52">
        <f>HYPERLINK("https://klasma.github.io/Logging_0821/artfynd/A 17994-2026 artfynd.xlsx", "A 17994-2026")</f>
        <v/>
      </c>
      <c r="X52">
        <f>HYPERLINK("https://klasma.github.io/Logging_0821/kartor/A 17994-2026 karta.png", "A 17994-2026")</f>
        <v/>
      </c>
      <c r="Y52">
        <f>HYPERLINK("https://klasma.github.io/Logging_0821/kartor_geotiff/A 17994-2026 georefererad karta.tif", "A 17994-2026")</f>
        <v/>
      </c>
      <c r="AA52">
        <f>HYPERLINK("https://klasma.github.io/Logging_0821/klagomål/A 17994-2026 FSC-klagomål.docx", "A 17994-2026")</f>
        <v/>
      </c>
      <c r="AB52">
        <f>HYPERLINK("https://klasma.github.io/Logging_0821/klagomålsmail/A 17994-2026 FSC-klagomål mail.docx", "A 17994-2026")</f>
        <v/>
      </c>
      <c r="AC52">
        <f>HYPERLINK("https://klasma.github.io/Logging_0821/tillsyn/A 17994-2026 tillsynsbegäran.docx", "A 17994-2026")</f>
        <v/>
      </c>
      <c r="AD52">
        <f>HYPERLINK("https://klasma.github.io/Logging_0821/tillsynsmail/A 17994-2026 tillsynsbegäran mail.docx", "A 17994-2026")</f>
        <v/>
      </c>
    </row>
    <row r="53" ht="15" customHeight="1">
      <c r="A53" t="inlineStr">
        <is>
          <t>A 19463-2026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46289</v>
      </c>
      <c r="F53" t="inlineStr">
        <is>
          <t>KALMAR LÄN</t>
        </is>
      </c>
      <c r="G53" t="inlineStr">
        <is>
          <t>HÖGSBY</t>
        </is>
      </c>
      <c r="I53" t="n">
        <v>4.1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HYPERLINK("https://klasma.github.io/Logging_0821/artfynd/A 19463-2026 artfynd.xlsx", "A 19463-2026")</f>
        <v/>
      </c>
      <c r="X53">
        <f>HYPERLINK("https://klasma.github.io/Logging_0821/kartor/A 19463-2026 karta.png", "A 19463-2026")</f>
        <v/>
      </c>
      <c r="Y53">
        <f>HYPERLINK("https://klasma.github.io/Logging_0821/kartor_geotiff/A 19463-2026 georefererad karta.tif", "A 19463-2026")</f>
        <v/>
      </c>
      <c r="AA53">
        <f>HYPERLINK("https://klasma.github.io/Logging_0821/klagomål/A 19463-2026 FSC-klagomål.docx", "A 19463-2026")</f>
        <v/>
      </c>
      <c r="AB53">
        <f>HYPERLINK("https://klasma.github.io/Logging_0821/klagomålsmail/A 19463-2026 FSC-klagomål mail.docx", "A 19463-2026")</f>
        <v/>
      </c>
      <c r="AC53">
        <f>HYPERLINK("https://klasma.github.io/Logging_0821/tillsyn/A 19463-2026 tillsynsbegäran.docx", "A 19463-2026")</f>
        <v/>
      </c>
      <c r="AD53">
        <f>HYPERLINK("https://klasma.github.io/Logging_0821/tillsynsmail/A 19463-2026 tillsynsbegäran mail.docx", "A 19463-2026")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46289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38267-2025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46289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Flikig tallfibbla</t>
        </is>
      </c>
      <c r="W55">
        <f>HYPERLINK("https://klasma.github.io/Logging_0821/artfynd/A 38267-2025 artfynd.xlsx", "A 38267-2025")</f>
        <v/>
      </c>
      <c r="X55">
        <f>HYPERLINK("https://klasma.github.io/Logging_0821/kartor/A 38267-2025 karta.png", "A 38267-2025")</f>
        <v/>
      </c>
      <c r="Y55">
        <f>HYPERLINK("https://klasma.github.io/Logging_0821/kartor_geotiff/A 38267-2025 georefererad karta.tif", "A 38267-2025")</f>
        <v/>
      </c>
      <c r="AA55">
        <f>HYPERLINK("https://klasma.github.io/Logging_0821/klagomål/A 38267-2025 FSC-klagomål.docx", "A 38267-2025")</f>
        <v/>
      </c>
      <c r="AB55">
        <f>HYPERLINK("https://klasma.github.io/Logging_0821/klagomålsmail/A 38267-2025 FSC-klagomål mail.docx", "A 38267-2025")</f>
        <v/>
      </c>
      <c r="AC55">
        <f>HYPERLINK("https://klasma.github.io/Logging_0821/tillsyn/A 38267-2025 tillsynsbegäran.docx", "A 38267-2025")</f>
        <v/>
      </c>
      <c r="AD55">
        <f>HYPERLINK("https://klasma.github.io/Logging_0821/tillsynsmail/A 38267-2025 tillsynsbegäran mail.docx", "A 38267-2025")</f>
        <v/>
      </c>
    </row>
    <row r="56" ht="15" customHeight="1">
      <c r="A56" t="inlineStr">
        <is>
          <t>A 22757-2026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46289</v>
      </c>
      <c r="F56" t="inlineStr">
        <is>
          <t>KALMAR LÄN</t>
        </is>
      </c>
      <c r="G56" t="inlineStr">
        <is>
          <t>HÖGSBY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Blåsippa</t>
        </is>
      </c>
      <c r="W56">
        <f>HYPERLINK("https://klasma.github.io/Logging_0821/artfynd/A 22757-2026 artfynd.xlsx", "A 22757-2026")</f>
        <v/>
      </c>
      <c r="X56">
        <f>HYPERLINK("https://klasma.github.io/Logging_0821/kartor/A 22757-2026 karta.png", "A 22757-2026")</f>
        <v/>
      </c>
      <c r="Y56">
        <f>HYPERLINK("https://klasma.github.io/Logging_0821/kartor_geotiff/A 22757-2026 georefererad karta.tif", "A 22757-2026")</f>
        <v/>
      </c>
      <c r="AA56">
        <f>HYPERLINK("https://klasma.github.io/Logging_0821/klagomål/A 22757-2026 FSC-klagomål.docx", "A 22757-2026")</f>
        <v/>
      </c>
      <c r="AB56">
        <f>HYPERLINK("https://klasma.github.io/Logging_0821/klagomålsmail/A 22757-2026 FSC-klagomål mail.docx", "A 22757-2026")</f>
        <v/>
      </c>
      <c r="AC56">
        <f>HYPERLINK("https://klasma.github.io/Logging_0821/tillsyn/A 22757-2026 tillsynsbegäran.docx", "A 22757-2026")</f>
        <v/>
      </c>
      <c r="AD56">
        <f>HYPERLINK("https://klasma.github.io/Logging_0821/tillsynsmail/A 22757-2026 tillsynsbegäran mail.docx", "A 22757-2026")</f>
        <v/>
      </c>
    </row>
    <row r="57" ht="15" customHeight="1">
      <c r="A57" t="inlineStr">
        <is>
          <t>A 23859-2026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46289</v>
      </c>
      <c r="F57" t="inlineStr">
        <is>
          <t>KALMAR LÄN</t>
        </is>
      </c>
      <c r="G57" t="inlineStr">
        <is>
          <t>HÖGSBY</t>
        </is>
      </c>
      <c r="I57" t="n">
        <v>3.8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HYPERLINK("https://klasma.github.io/Logging_0821/artfynd/A 23859-2026 artfynd.xlsx", "A 23859-2026")</f>
        <v/>
      </c>
      <c r="X57">
        <f>HYPERLINK("https://klasma.github.io/Logging_0821/kartor/A 23859-2026 karta.png", "A 23859-2026")</f>
        <v/>
      </c>
      <c r="Y57">
        <f>HYPERLINK("https://klasma.github.io/Logging_0821/kartor_geotiff/A 23859-2026 georefererad karta.tif", "A 23859-2026")</f>
        <v/>
      </c>
      <c r="AA57">
        <f>HYPERLINK("https://klasma.github.io/Logging_0821/klagomål/A 23859-2026 FSC-klagomål.docx", "A 23859-2026")</f>
        <v/>
      </c>
      <c r="AB57">
        <f>HYPERLINK("https://klasma.github.io/Logging_0821/klagomålsmail/A 23859-2026 FSC-klagomål mail.docx", "A 23859-2026")</f>
        <v/>
      </c>
      <c r="AC57">
        <f>HYPERLINK("https://klasma.github.io/Logging_0821/tillsyn/A 23859-2026 tillsynsbegäran.docx", "A 23859-2026")</f>
        <v/>
      </c>
      <c r="AD57">
        <f>HYPERLINK("https://klasma.github.io/Logging_0821/tillsynsmail/A 23859-2026 tillsynsbegäran mail.docx", "A 23859-2026")</f>
        <v/>
      </c>
    </row>
    <row r="58" ht="15" customHeight="1">
      <c r="A58" t="inlineStr">
        <is>
          <t>A 26145-2026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46289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Gullviva</t>
        </is>
      </c>
      <c r="W58">
        <f>HYPERLINK("https://klasma.github.io/Logging_0821/artfynd/A 26145-2026 artfynd.xlsx", "A 26145-2026")</f>
        <v/>
      </c>
      <c r="X58">
        <f>HYPERLINK("https://klasma.github.io/Logging_0821/kartor/A 26145-2026 karta.png", "A 26145-2026")</f>
        <v/>
      </c>
      <c r="Y58">
        <f>HYPERLINK("https://klasma.github.io/Logging_0821/kartor_geotiff/A 26145-2026 georefererad karta.tif", "A 26145-2026")</f>
        <v/>
      </c>
      <c r="AA58">
        <f>HYPERLINK("https://klasma.github.io/Logging_0821/klagomål/A 26145-2026 FSC-klagomål.docx", "A 26145-2026")</f>
        <v/>
      </c>
      <c r="AB58">
        <f>HYPERLINK("https://klasma.github.io/Logging_0821/klagomålsmail/A 26145-2026 FSC-klagomål mail.docx", "A 26145-2026")</f>
        <v/>
      </c>
      <c r="AC58">
        <f>HYPERLINK("https://klasma.github.io/Logging_0821/tillsyn/A 26145-2026 tillsynsbegäran.docx", "A 26145-2026")</f>
        <v/>
      </c>
      <c r="AD58">
        <f>HYPERLINK("https://klasma.github.io/Logging_0821/tillsynsmail/A 26145-2026 tillsynsbegäran mail.docx", "A 26145-2026")</f>
        <v/>
      </c>
    </row>
    <row r="59" ht="15" customHeight="1">
      <c r="A59" t="inlineStr">
        <is>
          <t>A 27366-2026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46289</v>
      </c>
      <c r="F59" t="inlineStr">
        <is>
          <t>KALMAR LÄN</t>
        </is>
      </c>
      <c r="G59" t="inlineStr">
        <is>
          <t>HÖGSBY</t>
        </is>
      </c>
      <c r="I59" t="n">
        <v>4.4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Nattviol</t>
        </is>
      </c>
      <c r="W59">
        <f>HYPERLINK("https://klasma.github.io/Logging_0821/artfynd/A 27366-2026 artfynd.xlsx", "A 27366-2026")</f>
        <v/>
      </c>
      <c r="X59">
        <f>HYPERLINK("https://klasma.github.io/Logging_0821/kartor/A 27366-2026 karta.png", "A 27366-2026")</f>
        <v/>
      </c>
      <c r="Y59">
        <f>HYPERLINK("https://klasma.github.io/Logging_0821/kartor_geotiff/A 27366-2026 georefererad karta.tif", "A 27366-2026")</f>
        <v/>
      </c>
      <c r="AA59">
        <f>HYPERLINK("https://klasma.github.io/Logging_0821/klagomål/A 27366-2026 FSC-klagomål.docx", "A 27366-2026")</f>
        <v/>
      </c>
      <c r="AB59">
        <f>HYPERLINK("https://klasma.github.io/Logging_0821/klagomålsmail/A 27366-2026 FSC-klagomål mail.docx", "A 27366-2026")</f>
        <v/>
      </c>
      <c r="AC59">
        <f>HYPERLINK("https://klasma.github.io/Logging_0821/tillsyn/A 27366-2026 tillsynsbegäran.docx", "A 27366-2026")</f>
        <v/>
      </c>
      <c r="AD59">
        <f>HYPERLINK("https://klasma.github.io/Logging_0821/tillsynsmail/A 27366-2026 tillsynsbegäran mail.docx", "A 27366-2026")</f>
        <v/>
      </c>
    </row>
    <row r="60" ht="15" customHeight="1">
      <c r="A60" t="inlineStr">
        <is>
          <t>A 28894-2026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46199</v>
      </c>
      <c r="E60" s="1" t="n">
        <v>46289</v>
      </c>
      <c r="F60" t="inlineStr">
        <is>
          <t>KALMAR LÄN</t>
        </is>
      </c>
      <c r="G60" t="inlineStr">
        <is>
          <t>HÖGSBY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HYPERLINK("https://klasma.github.io/Logging_0821/artfynd/A 28894-2026 artfynd.xlsx", "A 28894-2026")</f>
        <v/>
      </c>
      <c r="X60">
        <f>HYPERLINK("https://klasma.github.io/Logging_0821/kartor/A 28894-2026 karta.png", "A 28894-2026")</f>
        <v/>
      </c>
      <c r="Y60">
        <f>HYPERLINK("https://klasma.github.io/Logging_0821/kartor_geotiff/A 28894-2026 georefererad karta.tif", "A 28894-2026")</f>
        <v/>
      </c>
      <c r="AA60">
        <f>HYPERLINK("https://klasma.github.io/Logging_0821/klagomål/A 28894-2026 FSC-klagomål.docx", "A 28894-2026")</f>
        <v/>
      </c>
      <c r="AB60">
        <f>HYPERLINK("https://klasma.github.io/Logging_0821/klagomålsmail/A 28894-2026 FSC-klagomål mail.docx", "A 28894-2026")</f>
        <v/>
      </c>
      <c r="AC60">
        <f>HYPERLINK("https://klasma.github.io/Logging_0821/tillsyn/A 28894-2026 tillsynsbegäran.docx", "A 28894-2026")</f>
        <v/>
      </c>
      <c r="AD60">
        <f>HYPERLINK("https://klasma.github.io/Logging_0821/tillsynsmail/A 28894-2026 tillsynsbegäran mail.docx", "A 28894-2026")</f>
        <v/>
      </c>
      <c r="AE60">
        <f>HYPERLINK("https://klasma.github.io/Logging_0821/fåglar/A 28894-2026 prioriterade fågelarter.docx", "A 28894-2026")</f>
        <v/>
      </c>
    </row>
    <row r="61" ht="15" customHeight="1">
      <c r="A61" t="inlineStr">
        <is>
          <t>A 30186-2026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46206</v>
      </c>
      <c r="E61" s="1" t="n">
        <v>46289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Gullklöver</t>
        </is>
      </c>
      <c r="W61">
        <f>HYPERLINK("https://klasma.github.io/Logging_0821/artfynd/A 30186-2026 artfynd.xlsx", "A 30186-2026")</f>
        <v/>
      </c>
      <c r="X61">
        <f>HYPERLINK("https://klasma.github.io/Logging_0821/kartor/A 30186-2026 karta.png", "A 30186-2026")</f>
        <v/>
      </c>
      <c r="Y61">
        <f>HYPERLINK("https://klasma.github.io/Logging_0821/kartor_geotiff/A 30186-2026 georefererad karta.tif", "A 30186-2026")</f>
        <v/>
      </c>
      <c r="AA61">
        <f>HYPERLINK("https://klasma.github.io/Logging_0821/klagomål/A 30186-2026 FSC-klagomål.docx", "A 30186-2026")</f>
        <v/>
      </c>
      <c r="AB61">
        <f>HYPERLINK("https://klasma.github.io/Logging_0821/klagomålsmail/A 30186-2026 FSC-klagomål mail.docx", "A 30186-2026")</f>
        <v/>
      </c>
      <c r="AC61">
        <f>HYPERLINK("https://klasma.github.io/Logging_0821/tillsyn/A 30186-2026 tillsynsbegäran.docx", "A 30186-2026")</f>
        <v/>
      </c>
      <c r="AD61">
        <f>HYPERLINK("https://klasma.github.io/Logging_0821/tillsynsmail/A 30186-2026 tillsynsbegäran mail.docx", "A 30186-2026")</f>
        <v/>
      </c>
    </row>
    <row r="62" ht="15" customHeight="1">
      <c r="A62" t="inlineStr">
        <is>
          <t>A 33784-2026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46289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HYPERLINK("https://klasma.github.io/Logging_0821/artfynd/A 33784-2026 artfynd.xlsx", "A 33784-2026")</f>
        <v/>
      </c>
      <c r="X62">
        <f>HYPERLINK("https://klasma.github.io/Logging_0821/kartor/A 33784-2026 karta.png", "A 33784-2026")</f>
        <v/>
      </c>
      <c r="Y62">
        <f>HYPERLINK("https://klasma.github.io/Logging_0821/kartor_geotiff/A 33784-2026 georefererad karta.tif", "A 33784-2026")</f>
        <v/>
      </c>
      <c r="AA62">
        <f>HYPERLINK("https://klasma.github.io/Logging_0821/klagomål/A 33784-2026 FSC-klagomål.docx", "A 33784-2026")</f>
        <v/>
      </c>
      <c r="AB62">
        <f>HYPERLINK("https://klasma.github.io/Logging_0821/klagomålsmail/A 33784-2026 FSC-klagomål mail.docx", "A 33784-2026")</f>
        <v/>
      </c>
      <c r="AC62">
        <f>HYPERLINK("https://klasma.github.io/Logging_0821/tillsyn/A 33784-2026 tillsynsbegäran.docx", "A 33784-2026")</f>
        <v/>
      </c>
      <c r="AD62">
        <f>HYPERLINK("https://klasma.github.io/Logging_0821/tillsynsmail/A 33784-2026 tillsynsbegäran mail.docx", "A 33784-2026")</f>
        <v/>
      </c>
      <c r="AE62">
        <f>HYPERLINK("https://klasma.github.io/Logging_0821/fåglar/A 33784-2026 prioriterade fågelarter.docx", "A 33784-2026")</f>
        <v/>
      </c>
    </row>
    <row r="63" ht="15" customHeight="1">
      <c r="A63" t="inlineStr">
        <is>
          <t>A 30800-2026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46289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Grönpyrola</t>
        </is>
      </c>
      <c r="W63">
        <f>HYPERLINK("https://klasma.github.io/Logging_0821/artfynd/A 30800-2026 artfynd.xlsx", "A 30800-2026")</f>
        <v/>
      </c>
      <c r="X63">
        <f>HYPERLINK("https://klasma.github.io/Logging_0821/kartor/A 30800-2026 karta.png", "A 30800-2026")</f>
        <v/>
      </c>
      <c r="Y63">
        <f>HYPERLINK("https://klasma.github.io/Logging_0821/kartor_geotiff/A 30800-2026 georefererad karta.tif", "A 30800-2026")</f>
        <v/>
      </c>
      <c r="AA63">
        <f>HYPERLINK("https://klasma.github.io/Logging_0821/klagomål/A 30800-2026 FSC-klagomål.docx", "A 30800-2026")</f>
        <v/>
      </c>
      <c r="AB63">
        <f>HYPERLINK("https://klasma.github.io/Logging_0821/klagomålsmail/A 30800-2026 FSC-klagomål mail.docx", "A 30800-2026")</f>
        <v/>
      </c>
      <c r="AC63">
        <f>HYPERLINK("https://klasma.github.io/Logging_0821/tillsyn/A 30800-2026 tillsynsbegäran.docx", "A 30800-2026")</f>
        <v/>
      </c>
      <c r="AD63">
        <f>HYPERLINK("https://klasma.github.io/Logging_0821/tillsynsmail/A 30800-2026 tillsynsbegäran mail.docx", "A 30800-2026")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46289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46289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46289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46289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46289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46289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46289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46289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46289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46289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46289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46289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46289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46289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46289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46289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46289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46289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46289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46289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46289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46289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46289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46289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46289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46289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46289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46289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46289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46289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46289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44634</v>
      </c>
      <c r="E96" s="1" t="n">
        <v>46289</v>
      </c>
      <c r="F96" t="inlineStr">
        <is>
          <t>KALMAR LÄN</t>
        </is>
      </c>
      <c r="G96" t="inlineStr">
        <is>
          <t>HÖGSBY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46289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45170</v>
      </c>
      <c r="E98" s="1" t="n">
        <v>46289</v>
      </c>
      <c r="F98" t="inlineStr">
        <is>
          <t>KALMAR LÄN</t>
        </is>
      </c>
      <c r="G98" t="inlineStr">
        <is>
          <t>HÖGSBY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45189</v>
      </c>
      <c r="E99" s="1" t="n">
        <v>46289</v>
      </c>
      <c r="F99" t="inlineStr">
        <is>
          <t>KALMAR LÄN</t>
        </is>
      </c>
      <c r="G99" t="inlineStr">
        <is>
          <t>HÖGSBY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45105</v>
      </c>
      <c r="E100" s="1" t="n">
        <v>46289</v>
      </c>
      <c r="F100" t="inlineStr">
        <is>
          <t>KALMAR LÄN</t>
        </is>
      </c>
      <c r="G100" t="inlineStr">
        <is>
          <t>HÖGSBY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46289</v>
      </c>
      <c r="F101" t="inlineStr">
        <is>
          <t>KALMAR LÄN</t>
        </is>
      </c>
      <c r="G101" t="inlineStr">
        <is>
          <t>HÖGSBY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46289</v>
      </c>
      <c r="F102" t="inlineStr">
        <is>
          <t>KALMAR LÄN</t>
        </is>
      </c>
      <c r="G102" t="inlineStr">
        <is>
          <t>HÖGSBY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62274-2021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46289</v>
      </c>
      <c r="F103" t="inlineStr">
        <is>
          <t>KALMAR LÄN</t>
        </is>
      </c>
      <c r="G103" t="inlineStr">
        <is>
          <t>HÖGSBY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44987</v>
      </c>
      <c r="E104" s="1" t="n">
        <v>46289</v>
      </c>
      <c r="F104" t="inlineStr">
        <is>
          <t>KALMAR LÄN</t>
        </is>
      </c>
      <c r="G104" t="inlineStr">
        <is>
          <t>HÖGSBY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46289</v>
      </c>
      <c r="F105" t="inlineStr">
        <is>
          <t>KALMAR LÄN</t>
        </is>
      </c>
      <c r="G105" t="inlineStr">
        <is>
          <t>HÖGSBY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46289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45552</v>
      </c>
      <c r="E107" s="1" t="n">
        <v>46289</v>
      </c>
      <c r="F107" t="inlineStr">
        <is>
          <t>KALMAR LÄN</t>
        </is>
      </c>
      <c r="G107" t="inlineStr">
        <is>
          <t>HÖGSBY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45228</v>
      </c>
      <c r="E108" s="1" t="n">
        <v>46289</v>
      </c>
      <c r="F108" t="inlineStr">
        <is>
          <t>KALMAR LÄN</t>
        </is>
      </c>
      <c r="G108" t="inlineStr">
        <is>
          <t>HÖGSBY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46289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HYPERLINK("https://klasma.github.io/Logging_0821/knärot/A 40137-2024 karta knärot.png", "A 40137-2024")</f>
        <v/>
      </c>
      <c r="AA109">
        <f>HYPERLINK("https://klasma.github.io/Logging_0821/klagomål/A 40137-2024 FSC-klagomål.docx", "A 40137-2024")</f>
        <v/>
      </c>
      <c r="AB109">
        <f>HYPERLINK("https://klasma.github.io/Logging_0821/klagomålsmail/A 40137-2024 FSC-klagomål mail.docx", "A 40137-2024")</f>
        <v/>
      </c>
      <c r="AC109">
        <f>HYPERLINK("https://klasma.github.io/Logging_0821/tillsyn/A 40137-2024 tillsynsbegäran.docx", "A 40137-2024")</f>
        <v/>
      </c>
      <c r="AD109">
        <f>HYPERLINK("https://klasma.github.io/Logging_0821/tillsynsmail/A 40137-2024 tillsynsbegäran mail.docx", "A 40137-2024")</f>
        <v/>
      </c>
    </row>
    <row r="110" ht="15" customHeight="1">
      <c r="A110" t="inlineStr">
        <is>
          <t>A 49338-2022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46289</v>
      </c>
      <c r="F110" t="inlineStr">
        <is>
          <t>KALMAR LÄN</t>
        </is>
      </c>
      <c r="G110" t="inlineStr">
        <is>
          <t>HÖGSBY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45071</v>
      </c>
      <c r="E111" s="1" t="n">
        <v>46289</v>
      </c>
      <c r="F111" t="inlineStr">
        <is>
          <t>KALMAR LÄN</t>
        </is>
      </c>
      <c r="G111" t="inlineStr">
        <is>
          <t>HÖGSBY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46289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45247</v>
      </c>
      <c r="E113" s="1" t="n">
        <v>46289</v>
      </c>
      <c r="F113" t="inlineStr">
        <is>
          <t>KALMAR LÄN</t>
        </is>
      </c>
      <c r="G113" t="inlineStr">
        <is>
          <t>HÖGSBY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46289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46289</v>
      </c>
      <c r="F115" t="inlineStr">
        <is>
          <t>KALMAR LÄN</t>
        </is>
      </c>
      <c r="G115" t="inlineStr">
        <is>
          <t>HÖGSBY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46289</v>
      </c>
      <c r="F116" t="inlineStr">
        <is>
          <t>KALMAR LÄN</t>
        </is>
      </c>
      <c r="G116" t="inlineStr">
        <is>
          <t>HÖGSBY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46289</v>
      </c>
      <c r="F117" t="inlineStr">
        <is>
          <t>KALMAR LÄN</t>
        </is>
      </c>
      <c r="G117" t="inlineStr">
        <is>
          <t>HÖGSBY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46289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46289</v>
      </c>
      <c r="F119" t="inlineStr">
        <is>
          <t>KALMAR LÄN</t>
        </is>
      </c>
      <c r="G119" t="inlineStr">
        <is>
          <t>HÖGSBY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45532</v>
      </c>
      <c r="E120" s="1" t="n">
        <v>46289</v>
      </c>
      <c r="F120" t="inlineStr">
        <is>
          <t>KALMAR LÄN</t>
        </is>
      </c>
      <c r="G120" t="inlineStr">
        <is>
          <t>HÖGSBY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46289</v>
      </c>
      <c r="F121" t="inlineStr">
        <is>
          <t>KALMAR LÄN</t>
        </is>
      </c>
      <c r="G121" t="inlineStr">
        <is>
          <t>HÖGSBY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45391</v>
      </c>
      <c r="E122" s="1" t="n">
        <v>46289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3622-2022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46289</v>
      </c>
      <c r="F123" t="inlineStr">
        <is>
          <t>KALMAR LÄN</t>
        </is>
      </c>
      <c r="G123" t="inlineStr">
        <is>
          <t>HÖGSBY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46289</v>
      </c>
      <c r="F124" t="inlineStr">
        <is>
          <t>KALMAR LÄN</t>
        </is>
      </c>
      <c r="G124" t="inlineStr">
        <is>
          <t>HÖGSBY</t>
        </is>
      </c>
      <c r="H124" t="inlineStr">
        <is>
          <t>Övriga Aktiebolag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46289</v>
      </c>
      <c r="F125" t="inlineStr">
        <is>
          <t>KALMAR LÄN</t>
        </is>
      </c>
      <c r="G125" t="inlineStr">
        <is>
          <t>HÖGSBY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44809</v>
      </c>
      <c r="E126" s="1" t="n">
        <v>46289</v>
      </c>
      <c r="F126" t="inlineStr">
        <is>
          <t>KALMAR LÄN</t>
        </is>
      </c>
      <c r="G126" t="inlineStr">
        <is>
          <t>HÖGSBY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45040</v>
      </c>
      <c r="E127" s="1" t="n">
        <v>46289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46289</v>
      </c>
      <c r="F128" t="inlineStr">
        <is>
          <t>KALMAR LÄN</t>
        </is>
      </c>
      <c r="G128" t="inlineStr">
        <is>
          <t>HÖGSBY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59281-2022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44904</v>
      </c>
      <c r="E129" s="1" t="n">
        <v>46289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46289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46289</v>
      </c>
      <c r="F131" t="inlineStr">
        <is>
          <t>KALMAR LÄN</t>
        </is>
      </c>
      <c r="G131" t="inlineStr">
        <is>
          <t>HÖGSBY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46289</v>
      </c>
      <c r="F132" t="inlineStr">
        <is>
          <t>KALMAR LÄN</t>
        </is>
      </c>
      <c r="G132" t="inlineStr">
        <is>
          <t>HÖGSBY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46289</v>
      </c>
      <c r="F133" t="inlineStr">
        <is>
          <t>KALMAR LÄN</t>
        </is>
      </c>
      <c r="G133" t="inlineStr">
        <is>
          <t>HÖGSBY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46289</v>
      </c>
      <c r="F134" t="inlineStr">
        <is>
          <t>KALMAR LÄN</t>
        </is>
      </c>
      <c r="G134" t="inlineStr">
        <is>
          <t>HÖGSBY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46289</v>
      </c>
      <c r="F135" t="inlineStr">
        <is>
          <t>KALMAR LÄN</t>
        </is>
      </c>
      <c r="G135" t="inlineStr">
        <is>
          <t>HÖGSBY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37811-2024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45544</v>
      </c>
      <c r="E136" s="1" t="n">
        <v>46289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28648-2023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45103</v>
      </c>
      <c r="E137" s="1" t="n">
        <v>46289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26545-2024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45469</v>
      </c>
      <c r="E138" s="1" t="n">
        <v>46289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46289</v>
      </c>
      <c r="F139" t="inlineStr">
        <is>
          <t>KALMAR LÄN</t>
        </is>
      </c>
      <c r="G139" t="inlineStr">
        <is>
          <t>HÖGSBY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45341</v>
      </c>
      <c r="E140" s="1" t="n">
        <v>46289</v>
      </c>
      <c r="F140" t="inlineStr">
        <is>
          <t>KALMAR LÄN</t>
        </is>
      </c>
      <c r="G140" t="inlineStr">
        <is>
          <t>HÖGSBY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46289</v>
      </c>
      <c r="F141" t="inlineStr">
        <is>
          <t>KALMAR LÄN</t>
        </is>
      </c>
      <c r="G141" t="inlineStr">
        <is>
          <t>HÖGSBY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46289</v>
      </c>
      <c r="F142" t="inlineStr">
        <is>
          <t>KALMAR LÄN</t>
        </is>
      </c>
      <c r="G142" t="inlineStr">
        <is>
          <t>HÖGSBY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46289</v>
      </c>
      <c r="F143" t="inlineStr">
        <is>
          <t>KALMAR LÄN</t>
        </is>
      </c>
      <c r="G143" t="inlineStr">
        <is>
          <t>HÖGSBY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44907</v>
      </c>
      <c r="E144" s="1" t="n">
        <v>46289</v>
      </c>
      <c r="F144" t="inlineStr">
        <is>
          <t>KALMAR LÄN</t>
        </is>
      </c>
      <c r="G144" t="inlineStr">
        <is>
          <t>HÖGSBY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46289</v>
      </c>
      <c r="F145" t="inlineStr">
        <is>
          <t>KALMAR LÄN</t>
        </is>
      </c>
      <c r="G145" t="inlineStr">
        <is>
          <t>HÖGSBY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46289</v>
      </c>
      <c r="F146" t="inlineStr">
        <is>
          <t>KALMAR LÄN</t>
        </is>
      </c>
      <c r="G146" t="inlineStr">
        <is>
          <t>HÖGSBY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45307</v>
      </c>
      <c r="E147" s="1" t="n">
        <v>46289</v>
      </c>
      <c r="F147" t="inlineStr">
        <is>
          <t>KALMAR LÄN</t>
        </is>
      </c>
      <c r="G147" t="inlineStr">
        <is>
          <t>HÖGSBY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45114</v>
      </c>
      <c r="E148" s="1" t="n">
        <v>46289</v>
      </c>
      <c r="F148" t="inlineStr">
        <is>
          <t>KALMAR LÄN</t>
        </is>
      </c>
      <c r="G148" t="inlineStr">
        <is>
          <t>HÖGSBY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46289</v>
      </c>
      <c r="F149" t="inlineStr">
        <is>
          <t>KALMAR LÄN</t>
        </is>
      </c>
      <c r="G149" t="inlineStr">
        <is>
          <t>HÖGSBY</t>
        </is>
      </c>
      <c r="H149" t="inlineStr">
        <is>
          <t>Kyrkan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46289</v>
      </c>
      <c r="F150" t="inlineStr">
        <is>
          <t>KALMAR LÄN</t>
        </is>
      </c>
      <c r="G150" t="inlineStr">
        <is>
          <t>HÖGSBY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46289</v>
      </c>
      <c r="F151" t="inlineStr">
        <is>
          <t>KALMAR LÄN</t>
        </is>
      </c>
      <c r="G151" t="inlineStr">
        <is>
          <t>HÖGSBY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46289</v>
      </c>
      <c r="F152" t="inlineStr">
        <is>
          <t>KALMAR LÄN</t>
        </is>
      </c>
      <c r="G152" t="inlineStr">
        <is>
          <t>HÖGSBY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46289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46289</v>
      </c>
      <c r="F154" t="inlineStr">
        <is>
          <t>KALMAR LÄN</t>
        </is>
      </c>
      <c r="G154" t="inlineStr">
        <is>
          <t>HÖGSBY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46289</v>
      </c>
      <c r="F155" t="inlineStr">
        <is>
          <t>KALMAR LÄN</t>
        </is>
      </c>
      <c r="G155" t="inlineStr">
        <is>
          <t>HÖGSBY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73709-2021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44552</v>
      </c>
      <c r="E156" s="1" t="n">
        <v>46289</v>
      </c>
      <c r="F156" t="inlineStr">
        <is>
          <t>KALMAR LÄN</t>
        </is>
      </c>
      <c r="G156" t="inlineStr">
        <is>
          <t>HÖGSBY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14273-2024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45393</v>
      </c>
      <c r="E157" s="1" t="n">
        <v>46289</v>
      </c>
      <c r="F157" t="inlineStr">
        <is>
          <t>KALMAR LÄN</t>
        </is>
      </c>
      <c r="G157" t="inlineStr">
        <is>
          <t>HÖGSBY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46289</v>
      </c>
      <c r="F158" t="inlineStr">
        <is>
          <t>KALMAR LÄN</t>
        </is>
      </c>
      <c r="G158" t="inlineStr">
        <is>
          <t>HÖGSBY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46289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46289</v>
      </c>
      <c r="F160" t="inlineStr">
        <is>
          <t>KALMAR LÄN</t>
        </is>
      </c>
      <c r="G160" t="inlineStr">
        <is>
          <t>HÖGSBY</t>
        </is>
      </c>
      <c r="I160" t="n">
        <v>11.5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45348</v>
      </c>
      <c r="E161" s="1" t="n">
        <v>46289</v>
      </c>
      <c r="F161" t="inlineStr">
        <is>
          <t>KALMAR LÄN</t>
        </is>
      </c>
      <c r="G161" t="inlineStr">
        <is>
          <t>HÖGSBY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46289</v>
      </c>
      <c r="F162" t="inlineStr">
        <is>
          <t>KALMAR LÄN</t>
        </is>
      </c>
      <c r="G162" t="inlineStr">
        <is>
          <t>HÖGSBY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46289</v>
      </c>
      <c r="F163" t="inlineStr">
        <is>
          <t>KALMAR LÄN</t>
        </is>
      </c>
      <c r="G163" t="inlineStr">
        <is>
          <t>HÖGSBY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45360</v>
      </c>
      <c r="E164" s="1" t="n">
        <v>46289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46289</v>
      </c>
      <c r="F165" t="inlineStr">
        <is>
          <t>KALMAR LÄN</t>
        </is>
      </c>
      <c r="G165" t="inlineStr">
        <is>
          <t>HÖGSBY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57006-2024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45626</v>
      </c>
      <c r="E166" s="1" t="n">
        <v>46289</v>
      </c>
      <c r="F166" t="inlineStr">
        <is>
          <t>KALMAR LÄN</t>
        </is>
      </c>
      <c r="G166" t="inlineStr">
        <is>
          <t>HÖGSBY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46289</v>
      </c>
      <c r="F167" t="inlineStr">
        <is>
          <t>KALMAR LÄN</t>
        </is>
      </c>
      <c r="G167" t="inlineStr">
        <is>
          <t>HÖGSBY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46289</v>
      </c>
      <c r="F168" t="inlineStr">
        <is>
          <t>KALMAR LÄN</t>
        </is>
      </c>
      <c r="G168" t="inlineStr">
        <is>
          <t>HÖGSBY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46289</v>
      </c>
      <c r="F169" t="inlineStr">
        <is>
          <t>KALMAR LÄN</t>
        </is>
      </c>
      <c r="G169" t="inlineStr">
        <is>
          <t>HÖGSBY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44987</v>
      </c>
      <c r="E170" s="1" t="n">
        <v>46289</v>
      </c>
      <c r="F170" t="inlineStr">
        <is>
          <t>KALMAR LÄN</t>
        </is>
      </c>
      <c r="G170" t="inlineStr">
        <is>
          <t>HÖGSBY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46289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46289</v>
      </c>
      <c r="F172" t="inlineStr">
        <is>
          <t>KALMAR LÄN</t>
        </is>
      </c>
      <c r="G172" t="inlineStr">
        <is>
          <t>HÖGSBY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46289</v>
      </c>
      <c r="F173" t="inlineStr">
        <is>
          <t>KALMAR LÄN</t>
        </is>
      </c>
      <c r="G173" t="inlineStr">
        <is>
          <t>HÖGSBY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45348</v>
      </c>
      <c r="E174" s="1" t="n">
        <v>46289</v>
      </c>
      <c r="F174" t="inlineStr">
        <is>
          <t>KALMAR LÄN</t>
        </is>
      </c>
      <c r="G174" t="inlineStr">
        <is>
          <t>HÖGSBY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45239</v>
      </c>
      <c r="E175" s="1" t="n">
        <v>46289</v>
      </c>
      <c r="F175" t="inlineStr">
        <is>
          <t>KALMAR LÄN</t>
        </is>
      </c>
      <c r="G175" t="inlineStr">
        <is>
          <t>HÖGSBY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46289</v>
      </c>
      <c r="F176" t="inlineStr">
        <is>
          <t>KALMAR LÄN</t>
        </is>
      </c>
      <c r="G176" t="inlineStr">
        <is>
          <t>HÖGSBY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46289</v>
      </c>
      <c r="F177" t="inlineStr">
        <is>
          <t>KALMAR LÄN</t>
        </is>
      </c>
      <c r="G177" t="inlineStr">
        <is>
          <t>HÖGSBY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46289</v>
      </c>
      <c r="F178" t="inlineStr">
        <is>
          <t>KALMAR LÄN</t>
        </is>
      </c>
      <c r="G178" t="inlineStr">
        <is>
          <t>HÖGSBY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46289</v>
      </c>
      <c r="F179" t="inlineStr">
        <is>
          <t>KALMAR LÄN</t>
        </is>
      </c>
      <c r="G179" t="inlineStr">
        <is>
          <t>HÖGSBY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46289</v>
      </c>
      <c r="F180" t="inlineStr">
        <is>
          <t>KALMAR LÄN</t>
        </is>
      </c>
      <c r="G180" t="inlineStr">
        <is>
          <t>HÖGSBY</t>
        </is>
      </c>
      <c r="I180" t="n">
        <v>12.8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45702</v>
      </c>
      <c r="E181" s="1" t="n">
        <v>46289</v>
      </c>
      <c r="F181" t="inlineStr">
        <is>
          <t>KALMAR LÄN</t>
        </is>
      </c>
      <c r="G181" t="inlineStr">
        <is>
          <t>HÖGSBY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44625</v>
      </c>
      <c r="E182" s="1" t="n">
        <v>46289</v>
      </c>
      <c r="F182" t="inlineStr">
        <is>
          <t>KALMAR LÄN</t>
        </is>
      </c>
      <c r="G182" t="inlineStr">
        <is>
          <t>HÖGSBY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44625</v>
      </c>
      <c r="E183" s="1" t="n">
        <v>46289</v>
      </c>
      <c r="F183" t="inlineStr">
        <is>
          <t>KALMAR LÄN</t>
        </is>
      </c>
      <c r="G183" t="inlineStr">
        <is>
          <t>HÖGSBY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46289</v>
      </c>
      <c r="F184" t="inlineStr">
        <is>
          <t>KALMAR LÄN</t>
        </is>
      </c>
      <c r="G184" t="inlineStr">
        <is>
          <t>HÖGSBY</t>
        </is>
      </c>
      <c r="H184" t="inlineStr">
        <is>
          <t>Kyrkan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46289</v>
      </c>
      <c r="F185" t="inlineStr">
        <is>
          <t>KALMAR LÄN</t>
        </is>
      </c>
      <c r="G185" t="inlineStr">
        <is>
          <t>HÖGSBY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46289</v>
      </c>
      <c r="F186" t="inlineStr">
        <is>
          <t>KALMAR LÄN</t>
        </is>
      </c>
      <c r="G186" t="inlineStr">
        <is>
          <t>HÖGSBY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46289</v>
      </c>
      <c r="F187" t="inlineStr">
        <is>
          <t>KALMAR LÄN</t>
        </is>
      </c>
      <c r="G187" t="inlineStr">
        <is>
          <t>HÖGSBY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46289</v>
      </c>
      <c r="F188" t="inlineStr">
        <is>
          <t>KALMAR LÄN</t>
        </is>
      </c>
      <c r="G188" t="inlineStr">
        <is>
          <t>HÖGSBY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46289</v>
      </c>
      <c r="F189" t="inlineStr">
        <is>
          <t>KALMAR LÄN</t>
        </is>
      </c>
      <c r="G189" t="inlineStr">
        <is>
          <t>HÖGSBY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45194</v>
      </c>
      <c r="E190" s="1" t="n">
        <v>46289</v>
      </c>
      <c r="F190" t="inlineStr">
        <is>
          <t>KALMAR LÄN</t>
        </is>
      </c>
      <c r="G190" t="inlineStr">
        <is>
          <t>HÖGSBY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46289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46289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46289</v>
      </c>
      <c r="F193" t="inlineStr">
        <is>
          <t>KALMAR LÄN</t>
        </is>
      </c>
      <c r="G193" t="inlineStr">
        <is>
          <t>HÖGSBY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38797-2024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45547</v>
      </c>
      <c r="E194" s="1" t="n">
        <v>46289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46289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46289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65130-2023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45288</v>
      </c>
      <c r="E197" s="1" t="n">
        <v>46289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46289</v>
      </c>
      <c r="F198" t="inlineStr">
        <is>
          <t>KALMAR LÄN</t>
        </is>
      </c>
      <c r="G198" t="inlineStr">
        <is>
          <t>HÖGSBY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45348</v>
      </c>
      <c r="E199" s="1" t="n">
        <v>46289</v>
      </c>
      <c r="F199" t="inlineStr">
        <is>
          <t>KALMAR LÄN</t>
        </is>
      </c>
      <c r="G199" t="inlineStr">
        <is>
          <t>HÖGSBY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57000-2024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45626</v>
      </c>
      <c r="E200" s="1" t="n">
        <v>46289</v>
      </c>
      <c r="F200" t="inlineStr">
        <is>
          <t>KALMAR LÄN</t>
        </is>
      </c>
      <c r="G200" t="inlineStr">
        <is>
          <t>HÖGSBY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45090</v>
      </c>
      <c r="E201" s="1" t="n">
        <v>46289</v>
      </c>
      <c r="F201" t="inlineStr">
        <is>
          <t>KALMAR LÄN</t>
        </is>
      </c>
      <c r="G201" t="inlineStr">
        <is>
          <t>HÖGSBY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25876-2023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46289</v>
      </c>
      <c r="F202" t="inlineStr">
        <is>
          <t>KALMAR LÄN</t>
        </is>
      </c>
      <c r="G202" t="inlineStr">
        <is>
          <t>HÖGSBY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46289</v>
      </c>
      <c r="F203" t="inlineStr">
        <is>
          <t>KALMAR LÄN</t>
        </is>
      </c>
      <c r="G203" t="inlineStr">
        <is>
          <t>HÖGSBY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46289</v>
      </c>
      <c r="F204" t="inlineStr">
        <is>
          <t>KALMAR LÄN</t>
        </is>
      </c>
      <c r="G204" t="inlineStr">
        <is>
          <t>HÖGSBY</t>
        </is>
      </c>
      <c r="I204" t="n">
        <v>11.6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44677</v>
      </c>
      <c r="E205" s="1" t="n">
        <v>46289</v>
      </c>
      <c r="F205" t="inlineStr">
        <is>
          <t>KALMAR LÄN</t>
        </is>
      </c>
      <c r="G205" t="inlineStr">
        <is>
          <t>HÖGSBY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46289</v>
      </c>
      <c r="F206" t="inlineStr">
        <is>
          <t>KALMAR LÄN</t>
        </is>
      </c>
      <c r="G206" t="inlineStr">
        <is>
          <t>HÖGSBY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46289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46289</v>
      </c>
      <c r="F208" t="inlineStr">
        <is>
          <t>KALMAR LÄN</t>
        </is>
      </c>
      <c r="G208" t="inlineStr">
        <is>
          <t>HÖGSBY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46289</v>
      </c>
      <c r="F209" t="inlineStr">
        <is>
          <t>KALMAR LÄN</t>
        </is>
      </c>
      <c r="G209" t="inlineStr">
        <is>
          <t>HÖGSBY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60853-2021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44496</v>
      </c>
      <c r="E210" s="1" t="n">
        <v>46289</v>
      </c>
      <c r="F210" t="inlineStr">
        <is>
          <t>KALMAR LÄN</t>
        </is>
      </c>
      <c r="G210" t="inlineStr">
        <is>
          <t>HÖGSBY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46289</v>
      </c>
      <c r="F211" t="inlineStr">
        <is>
          <t>KALMAR LÄN</t>
        </is>
      </c>
      <c r="G211" t="inlineStr">
        <is>
          <t>HÖGSBY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46289</v>
      </c>
      <c r="F212" t="inlineStr">
        <is>
          <t>KALMAR LÄN</t>
        </is>
      </c>
      <c r="G212" t="inlineStr">
        <is>
          <t>HÖGSBY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46289</v>
      </c>
      <c r="F213" t="inlineStr">
        <is>
          <t>KALMAR LÄN</t>
        </is>
      </c>
      <c r="G213" t="inlineStr">
        <is>
          <t>HÖGSBY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46289</v>
      </c>
      <c r="F214" t="inlineStr">
        <is>
          <t>KALMAR LÄN</t>
        </is>
      </c>
      <c r="G214" t="inlineStr">
        <is>
          <t>HÖGSBY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46289</v>
      </c>
      <c r="F215" t="inlineStr">
        <is>
          <t>KALMAR LÄN</t>
        </is>
      </c>
      <c r="G215" t="inlineStr">
        <is>
          <t>HÖGSBY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46289</v>
      </c>
      <c r="F216" t="inlineStr">
        <is>
          <t>KALMAR LÄN</t>
        </is>
      </c>
      <c r="G216" t="inlineStr">
        <is>
          <t>HÖGSBY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46289</v>
      </c>
      <c r="F217" t="inlineStr">
        <is>
          <t>KALMAR LÄN</t>
        </is>
      </c>
      <c r="G217" t="inlineStr">
        <is>
          <t>HÖGSBY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46289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32049-2023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45119</v>
      </c>
      <c r="E219" s="1" t="n">
        <v>46289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46289</v>
      </c>
      <c r="F220" t="inlineStr">
        <is>
          <t>KALMAR LÄN</t>
        </is>
      </c>
      <c r="G220" t="inlineStr">
        <is>
          <t>HÖGSBY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30294-2022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44760</v>
      </c>
      <c r="E221" s="1" t="n">
        <v>46289</v>
      </c>
      <c r="F221" t="inlineStr">
        <is>
          <t>KALMAR LÄN</t>
        </is>
      </c>
      <c r="G221" t="inlineStr">
        <is>
          <t>HÖGSBY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46289</v>
      </c>
      <c r="F222" t="inlineStr">
        <is>
          <t>KALMAR LÄN</t>
        </is>
      </c>
      <c r="G222" t="inlineStr">
        <is>
          <t>HÖGSBY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46289</v>
      </c>
      <c r="F223" t="inlineStr">
        <is>
          <t>KALMAR LÄN</t>
        </is>
      </c>
      <c r="G223" t="inlineStr">
        <is>
          <t>HÖGSBY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53413-2024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46289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46289</v>
      </c>
      <c r="F225" t="inlineStr">
        <is>
          <t>KALMAR LÄN</t>
        </is>
      </c>
      <c r="G225" t="inlineStr">
        <is>
          <t>HÖGSBY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46289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45259</v>
      </c>
      <c r="E227" s="1" t="n">
        <v>46289</v>
      </c>
      <c r="F227" t="inlineStr">
        <is>
          <t>KALMAR LÄN</t>
        </is>
      </c>
      <c r="G227" t="inlineStr">
        <is>
          <t>HÖGSBY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46289</v>
      </c>
      <c r="F228" t="inlineStr">
        <is>
          <t>KALMAR LÄN</t>
        </is>
      </c>
      <c r="G228" t="inlineStr">
        <is>
          <t>HÖGSBY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46289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46289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46289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46289</v>
      </c>
      <c r="F232" t="inlineStr">
        <is>
          <t>KALMAR LÄN</t>
        </is>
      </c>
      <c r="G232" t="inlineStr">
        <is>
          <t>HÖGSBY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46289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46289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46289</v>
      </c>
      <c r="F235" t="inlineStr">
        <is>
          <t>KALMAR LÄN</t>
        </is>
      </c>
      <c r="G235" t="inlineStr">
        <is>
          <t>HÖGSBY</t>
        </is>
      </c>
      <c r="H235" t="inlineStr">
        <is>
          <t>Övriga Aktiebolag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62720-2025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46008</v>
      </c>
      <c r="E236" s="1" t="n">
        <v>46289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62722-2025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46008</v>
      </c>
      <c r="E237" s="1" t="n">
        <v>46289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46289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46289</v>
      </c>
      <c r="F239" t="inlineStr">
        <is>
          <t>KALMAR LÄN</t>
        </is>
      </c>
      <c r="G239" t="inlineStr">
        <is>
          <t>HÖGSBY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46289</v>
      </c>
      <c r="F240" t="inlineStr">
        <is>
          <t>KALMAR LÄN</t>
        </is>
      </c>
      <c r="G240" t="inlineStr">
        <is>
          <t>HÖGSBY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46009</v>
      </c>
      <c r="E241" s="1" t="n">
        <v>46289</v>
      </c>
      <c r="F241" t="inlineStr">
        <is>
          <t>KALMAR LÄN</t>
        </is>
      </c>
      <c r="G241" t="inlineStr">
        <is>
          <t>HÖGSBY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46289</v>
      </c>
      <c r="F242" t="inlineStr">
        <is>
          <t>KALMAR LÄN</t>
        </is>
      </c>
      <c r="G242" t="inlineStr">
        <is>
          <t>HÖGSBY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74478-2021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44559</v>
      </c>
      <c r="E243" s="1" t="n">
        <v>46289</v>
      </c>
      <c r="F243" t="inlineStr">
        <is>
          <t>KALMAR LÄN</t>
        </is>
      </c>
      <c r="G243" t="inlineStr">
        <is>
          <t>HÖGSBY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46281</v>
      </c>
      <c r="E244" s="1" t="n">
        <v>46289</v>
      </c>
      <c r="F244" t="inlineStr">
        <is>
          <t>KALMAR LÄN</t>
        </is>
      </c>
      <c r="G244" t="inlineStr">
        <is>
          <t>HÖGSBY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46289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46286</v>
      </c>
      <c r="E246" s="1" t="n">
        <v>46289</v>
      </c>
      <c r="F246" t="inlineStr">
        <is>
          <t>KALMAR LÄN</t>
        </is>
      </c>
      <c r="G246" t="inlineStr">
        <is>
          <t>HÖGSBY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46289</v>
      </c>
      <c r="F247" t="inlineStr">
        <is>
          <t>KALMAR LÄN</t>
        </is>
      </c>
      <c r="G247" t="inlineStr">
        <is>
          <t>HÖGSBY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7443-2026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46059</v>
      </c>
      <c r="E248" s="1" t="n">
        <v>46289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38824-2024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45547</v>
      </c>
      <c r="E249" s="1" t="n">
        <v>46289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46289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49486-2022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46289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46287</v>
      </c>
      <c r="E252" s="1" t="n">
        <v>46289</v>
      </c>
      <c r="F252" t="inlineStr">
        <is>
          <t>KALMAR LÄN</t>
        </is>
      </c>
      <c r="G252" t="inlineStr">
        <is>
          <t>HÖGSBY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46289</v>
      </c>
      <c r="F253" t="inlineStr">
        <is>
          <t>KALMAR LÄN</t>
        </is>
      </c>
      <c r="G253" t="inlineStr">
        <is>
          <t>HÖGSBY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46289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71635-2021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44543</v>
      </c>
      <c r="E255" s="1" t="n">
        <v>46289</v>
      </c>
      <c r="F255" t="inlineStr">
        <is>
          <t>KALMAR LÄN</t>
        </is>
      </c>
      <c r="G255" t="inlineStr">
        <is>
          <t>HÖGSBY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46289</v>
      </c>
      <c r="F256" t="inlineStr">
        <is>
          <t>KALMAR LÄN</t>
        </is>
      </c>
      <c r="G256" t="inlineStr">
        <is>
          <t>HÖGSBY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46289</v>
      </c>
      <c r="F257" t="inlineStr">
        <is>
          <t>KALMAR LÄN</t>
        </is>
      </c>
      <c r="G257" t="inlineStr">
        <is>
          <t>HÖGSBY</t>
        </is>
      </c>
      <c r="H257" t="inlineStr">
        <is>
          <t>Övriga Aktiebolag</t>
        </is>
      </c>
      <c r="I257" t="n">
        <v>15.2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44601</v>
      </c>
      <c r="E258" s="1" t="n">
        <v>46289</v>
      </c>
      <c r="F258" t="inlineStr">
        <is>
          <t>KALMAR LÄN</t>
        </is>
      </c>
      <c r="G258" t="inlineStr">
        <is>
          <t>HÖGSBY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46289</v>
      </c>
      <c r="F259" t="inlineStr">
        <is>
          <t>KALMAR LÄN</t>
        </is>
      </c>
      <c r="G259" t="inlineStr">
        <is>
          <t>HÖGSBY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45847</v>
      </c>
      <c r="E260" s="1" t="n">
        <v>46289</v>
      </c>
      <c r="F260" t="inlineStr">
        <is>
          <t>KALMAR LÄN</t>
        </is>
      </c>
      <c r="G260" t="inlineStr">
        <is>
          <t>HÖGSBY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45847</v>
      </c>
      <c r="E261" s="1" t="n">
        <v>46289</v>
      </c>
      <c r="F261" t="inlineStr">
        <is>
          <t>KALMAR LÄN</t>
        </is>
      </c>
      <c r="G261" t="inlineStr">
        <is>
          <t>HÖGSBY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45554</v>
      </c>
      <c r="E262" s="1" t="n">
        <v>46289</v>
      </c>
      <c r="F262" t="inlineStr">
        <is>
          <t>KALMAR LÄN</t>
        </is>
      </c>
      <c r="G262" t="inlineStr">
        <is>
          <t>HÖGSBY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46289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45447</v>
      </c>
      <c r="E264" s="1" t="n">
        <v>46289</v>
      </c>
      <c r="F264" t="inlineStr">
        <is>
          <t>KALMAR LÄN</t>
        </is>
      </c>
      <c r="G264" t="inlineStr">
        <is>
          <t>HÖGSBY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14894-2025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45743</v>
      </c>
      <c r="E265" s="1" t="n">
        <v>46289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46289</v>
      </c>
      <c r="F266" t="inlineStr">
        <is>
          <t>KALMAR LÄN</t>
        </is>
      </c>
      <c r="G266" t="inlineStr">
        <is>
          <t>HÖGSBY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46289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46289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44903</v>
      </c>
      <c r="E269" s="1" t="n">
        <v>46289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46289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46289</v>
      </c>
      <c r="F271" t="inlineStr">
        <is>
          <t>KALMAR LÄN</t>
        </is>
      </c>
      <c r="G271" t="inlineStr">
        <is>
          <t>HÖGSBY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45222</v>
      </c>
      <c r="E272" s="1" t="n">
        <v>46289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45217</v>
      </c>
      <c r="E273" s="1" t="n">
        <v>46289</v>
      </c>
      <c r="F273" t="inlineStr">
        <is>
          <t>KALMAR LÄN</t>
        </is>
      </c>
      <c r="G273" t="inlineStr">
        <is>
          <t>HÖGSBY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46289</v>
      </c>
      <c r="F274" t="inlineStr">
        <is>
          <t>KALMAR LÄN</t>
        </is>
      </c>
      <c r="G274" t="inlineStr">
        <is>
          <t>HÖGSBY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51624-2023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45222</v>
      </c>
      <c r="E275" s="1" t="n">
        <v>46289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44725</v>
      </c>
      <c r="E276" s="1" t="n">
        <v>46289</v>
      </c>
      <c r="F276" t="inlineStr">
        <is>
          <t>KALMAR LÄN</t>
        </is>
      </c>
      <c r="G276" t="inlineStr">
        <is>
          <t>HÖGSBY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44981</v>
      </c>
      <c r="E277" s="1" t="n">
        <v>46289</v>
      </c>
      <c r="F277" t="inlineStr">
        <is>
          <t>KALMAR LÄN</t>
        </is>
      </c>
      <c r="G277" t="inlineStr">
        <is>
          <t>HÖGSBY</t>
        </is>
      </c>
      <c r="H277" t="inlineStr">
        <is>
          <t>Övriga Aktiebolag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43213-2023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45183</v>
      </c>
      <c r="E278" s="1" t="n">
        <v>46289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46289</v>
      </c>
      <c r="F279" t="inlineStr">
        <is>
          <t>KALMAR LÄN</t>
        </is>
      </c>
      <c r="G279" t="inlineStr">
        <is>
          <t>HÖGSBY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46289</v>
      </c>
      <c r="F280" t="inlineStr">
        <is>
          <t>KALMAR LÄN</t>
        </is>
      </c>
      <c r="G280" t="inlineStr">
        <is>
          <t>HÖGSBY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44950</v>
      </c>
      <c r="E281" s="1" t="n">
        <v>46289</v>
      </c>
      <c r="F281" t="inlineStr">
        <is>
          <t>KALMAR LÄN</t>
        </is>
      </c>
      <c r="G281" t="inlineStr">
        <is>
          <t>HÖGSBY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46289</v>
      </c>
      <c r="F282" t="inlineStr">
        <is>
          <t>KALMAR LÄN</t>
        </is>
      </c>
      <c r="G282" t="inlineStr">
        <is>
          <t>HÖGSBY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46134</v>
      </c>
      <c r="E283" s="1" t="n">
        <v>46289</v>
      </c>
      <c r="F283" t="inlineStr">
        <is>
          <t>KALMAR LÄN</t>
        </is>
      </c>
      <c r="G283" t="inlineStr">
        <is>
          <t>HÖGSBY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46289</v>
      </c>
      <c r="F284" t="inlineStr">
        <is>
          <t>KALMAR LÄN</t>
        </is>
      </c>
      <c r="G284" t="inlineStr">
        <is>
          <t>HÖGSBY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45727</v>
      </c>
      <c r="E285" s="1" t="n">
        <v>46289</v>
      </c>
      <c r="F285" t="inlineStr">
        <is>
          <t>KALMAR LÄN</t>
        </is>
      </c>
      <c r="G285" t="inlineStr">
        <is>
          <t>HÖGSBY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46289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46289</v>
      </c>
      <c r="F287" t="inlineStr">
        <is>
          <t>KALMAR LÄN</t>
        </is>
      </c>
      <c r="G287" t="inlineStr">
        <is>
          <t>HÖGSBY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46289</v>
      </c>
      <c r="F288" t="inlineStr">
        <is>
          <t>KALMAR LÄN</t>
        </is>
      </c>
      <c r="G288" t="inlineStr">
        <is>
          <t>HÖGSBY</t>
        </is>
      </c>
      <c r="H288" t="inlineStr">
        <is>
          <t>Kommuner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46289</v>
      </c>
      <c r="F289" t="inlineStr">
        <is>
          <t>KALMAR LÄN</t>
        </is>
      </c>
      <c r="G289" t="inlineStr">
        <is>
          <t>HÖGSBY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46289</v>
      </c>
      <c r="F290" t="inlineStr">
        <is>
          <t>KALMAR LÄN</t>
        </is>
      </c>
      <c r="G290" t="inlineStr">
        <is>
          <t>HÖGSBY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46289</v>
      </c>
      <c r="F291" t="inlineStr">
        <is>
          <t>KALMAR LÄN</t>
        </is>
      </c>
      <c r="G291" t="inlineStr">
        <is>
          <t>HÖGSBY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46289</v>
      </c>
      <c r="F292" t="inlineStr">
        <is>
          <t>KALMAR LÄN</t>
        </is>
      </c>
      <c r="G292" t="inlineStr">
        <is>
          <t>HÖGSBY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38068-2025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45882</v>
      </c>
      <c r="E293" s="1" t="n">
        <v>46289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46289</v>
      </c>
      <c r="F294" t="inlineStr">
        <is>
          <t>KALMAR LÄN</t>
        </is>
      </c>
      <c r="G294" t="inlineStr">
        <is>
          <t>HÖGSBY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46289</v>
      </c>
      <c r="F295" t="inlineStr">
        <is>
          <t>KALMAR LÄN</t>
        </is>
      </c>
      <c r="G295" t="inlineStr">
        <is>
          <t>HÖGSBY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46289</v>
      </c>
      <c r="F296" t="inlineStr">
        <is>
          <t>KALMAR LÄN</t>
        </is>
      </c>
      <c r="G296" t="inlineStr">
        <is>
          <t>HÖGSBY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46289</v>
      </c>
      <c r="F297" t="inlineStr">
        <is>
          <t>KALMAR LÄN</t>
        </is>
      </c>
      <c r="G297" t="inlineStr">
        <is>
          <t>HÖGSBY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45126</v>
      </c>
      <c r="E298" s="1" t="n">
        <v>46289</v>
      </c>
      <c r="F298" t="inlineStr">
        <is>
          <t>KALMAR LÄN</t>
        </is>
      </c>
      <c r="G298" t="inlineStr">
        <is>
          <t>HÖGSBY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46289</v>
      </c>
      <c r="F299" t="inlineStr">
        <is>
          <t>KALMAR LÄN</t>
        </is>
      </c>
      <c r="G299" t="inlineStr">
        <is>
          <t>HÖGSBY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46289</v>
      </c>
      <c r="F300" t="inlineStr">
        <is>
          <t>KALMAR LÄN</t>
        </is>
      </c>
      <c r="G300" t="inlineStr">
        <is>
          <t>HÖGSBY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44809</v>
      </c>
      <c r="E301" s="1" t="n">
        <v>46289</v>
      </c>
      <c r="F301" t="inlineStr">
        <is>
          <t>KALMAR LÄN</t>
        </is>
      </c>
      <c r="G301" t="inlineStr">
        <is>
          <t>HÖGSBY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45727</v>
      </c>
      <c r="E302" s="1" t="n">
        <v>46289</v>
      </c>
      <c r="F302" t="inlineStr">
        <is>
          <t>KALMAR LÄN</t>
        </is>
      </c>
      <c r="G302" t="inlineStr">
        <is>
          <t>HÖGSBY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44981</v>
      </c>
      <c r="E303" s="1" t="n">
        <v>46289</v>
      </c>
      <c r="F303" t="inlineStr">
        <is>
          <t>KALMAR LÄN</t>
        </is>
      </c>
      <c r="G303" t="inlineStr">
        <is>
          <t>HÖGSBY</t>
        </is>
      </c>
      <c r="H303" t="inlineStr">
        <is>
          <t>Övriga Aktiebolag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46289</v>
      </c>
      <c r="F304" t="inlineStr">
        <is>
          <t>KALMAR LÄN</t>
        </is>
      </c>
      <c r="G304" t="inlineStr">
        <is>
          <t>HÖGSBY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45588</v>
      </c>
      <c r="E305" s="1" t="n">
        <v>46289</v>
      </c>
      <c r="F305" t="inlineStr">
        <is>
          <t>KALMAR LÄN</t>
        </is>
      </c>
      <c r="G305" t="inlineStr">
        <is>
          <t>HÖGSBY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46289</v>
      </c>
      <c r="F306" t="inlineStr">
        <is>
          <t>KALMAR LÄN</t>
        </is>
      </c>
      <c r="G306" t="inlineStr">
        <is>
          <t>HÖGSBY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45239</v>
      </c>
      <c r="E307" s="1" t="n">
        <v>46289</v>
      </c>
      <c r="F307" t="inlineStr">
        <is>
          <t>KALMAR LÄN</t>
        </is>
      </c>
      <c r="G307" t="inlineStr">
        <is>
          <t>HÖGSBY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45337</v>
      </c>
      <c r="E308" s="1" t="n">
        <v>46289</v>
      </c>
      <c r="F308" t="inlineStr">
        <is>
          <t>KALMAR LÄN</t>
        </is>
      </c>
      <c r="G308" t="inlineStr">
        <is>
          <t>HÖGSBY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45001</v>
      </c>
      <c r="E309" s="1" t="n">
        <v>46289</v>
      </c>
      <c r="F309" t="inlineStr">
        <is>
          <t>KALMAR LÄN</t>
        </is>
      </c>
      <c r="G309" t="inlineStr">
        <is>
          <t>HÖGSBY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46289</v>
      </c>
      <c r="F310" t="inlineStr">
        <is>
          <t>KALMAR LÄN</t>
        </is>
      </c>
      <c r="G310" t="inlineStr">
        <is>
          <t>HÖGSBY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64130-2023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45279</v>
      </c>
      <c r="E311" s="1" t="n">
        <v>46289</v>
      </c>
      <c r="F311" t="inlineStr">
        <is>
          <t>KALMAR LÄN</t>
        </is>
      </c>
      <c r="G311" t="inlineStr">
        <is>
          <t>HÖGSBY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63508-2025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46289</v>
      </c>
      <c r="F312" t="inlineStr">
        <is>
          <t>KALMAR LÄN</t>
        </is>
      </c>
      <c r="G312" t="inlineStr">
        <is>
          <t>HÖGSBY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46289</v>
      </c>
      <c r="F313" t="inlineStr">
        <is>
          <t>KALMAR LÄN</t>
        </is>
      </c>
      <c r="G313" t="inlineStr">
        <is>
          <t>HÖGSBY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44623</v>
      </c>
      <c r="E314" s="1" t="n">
        <v>46289</v>
      </c>
      <c r="F314" t="inlineStr">
        <is>
          <t>KALMAR LÄN</t>
        </is>
      </c>
      <c r="G314" t="inlineStr">
        <is>
          <t>HÖGSBY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46289</v>
      </c>
      <c r="F315" t="inlineStr">
        <is>
          <t>KALMAR LÄN</t>
        </is>
      </c>
      <c r="G315" t="inlineStr">
        <is>
          <t>HÖGSBY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46289</v>
      </c>
      <c r="F316" t="inlineStr">
        <is>
          <t>KALMAR LÄN</t>
        </is>
      </c>
      <c r="G316" t="inlineStr">
        <is>
          <t>HÖGSBY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46289</v>
      </c>
      <c r="F317" t="inlineStr">
        <is>
          <t>KALMAR LÄN</t>
        </is>
      </c>
      <c r="G317" t="inlineStr">
        <is>
          <t>HÖGSBY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46289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46289</v>
      </c>
      <c r="F319" t="inlineStr">
        <is>
          <t>KALMAR LÄN</t>
        </is>
      </c>
      <c r="G319" t="inlineStr">
        <is>
          <t>HÖGSBY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46289</v>
      </c>
      <c r="F320" t="inlineStr">
        <is>
          <t>KALMAR LÄN</t>
        </is>
      </c>
      <c r="G320" t="inlineStr">
        <is>
          <t>HÖGSBY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45203</v>
      </c>
      <c r="E321" s="1" t="n">
        <v>46289</v>
      </c>
      <c r="F321" t="inlineStr">
        <is>
          <t>KALMAR LÄN</t>
        </is>
      </c>
      <c r="G321" t="inlineStr">
        <is>
          <t>HÖGSBY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47571-2023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46289</v>
      </c>
      <c r="F322" t="inlineStr">
        <is>
          <t>KALMAR LÄN</t>
        </is>
      </c>
      <c r="G322" t="inlineStr">
        <is>
          <t>HÖGSBY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44966</v>
      </c>
      <c r="E323" s="1" t="n">
        <v>46289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45622</v>
      </c>
      <c r="E324" s="1" t="n">
        <v>46289</v>
      </c>
      <c r="F324" t="inlineStr">
        <is>
          <t>KALMAR LÄN</t>
        </is>
      </c>
      <c r="G324" t="inlineStr">
        <is>
          <t>HÖGSBY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45414</v>
      </c>
      <c r="E325" s="1" t="n">
        <v>46289</v>
      </c>
      <c r="F325" t="inlineStr">
        <is>
          <t>KALMAR LÄN</t>
        </is>
      </c>
      <c r="G325" t="inlineStr">
        <is>
          <t>HÖGSBY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21801-2026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46150</v>
      </c>
      <c r="E326" s="1" t="n">
        <v>46289</v>
      </c>
      <c r="F326" t="inlineStr">
        <is>
          <t>KALMAR LÄN</t>
        </is>
      </c>
      <c r="G326" t="inlineStr">
        <is>
          <t>HÖGSBY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34078-2024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45523</v>
      </c>
      <c r="E327" s="1" t="n">
        <v>46289</v>
      </c>
      <c r="F327" t="inlineStr">
        <is>
          <t>KALMAR LÄN</t>
        </is>
      </c>
      <c r="G327" t="inlineStr">
        <is>
          <t>HÖGSBY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45782</v>
      </c>
      <c r="E328" s="1" t="n">
        <v>46289</v>
      </c>
      <c r="F328" t="inlineStr">
        <is>
          <t>KALMAR LÄN</t>
        </is>
      </c>
      <c r="G328" t="inlineStr">
        <is>
          <t>HÖGSBY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46289</v>
      </c>
      <c r="F329" t="inlineStr">
        <is>
          <t>KALMAR LÄN</t>
        </is>
      </c>
      <c r="G329" t="inlineStr">
        <is>
          <t>HÖGSBY</t>
        </is>
      </c>
      <c r="H329" t="inlineStr">
        <is>
          <t>Kyrkan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22562-2026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46155</v>
      </c>
      <c r="E330" s="1" t="n">
        <v>46289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22564-2026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46155</v>
      </c>
      <c r="E331" s="1" t="n">
        <v>46289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46157</v>
      </c>
      <c r="E332" s="1" t="n">
        <v>46289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23209-2026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46289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46289</v>
      </c>
      <c r="F334" t="inlineStr">
        <is>
          <t>KALMAR LÄN</t>
        </is>
      </c>
      <c r="G334" t="inlineStr">
        <is>
          <t>HÖGSBY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23937-2026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46167</v>
      </c>
      <c r="E335" s="1" t="n">
        <v>46289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46289</v>
      </c>
      <c r="F336" t="inlineStr">
        <is>
          <t>KALMAR LÄN</t>
        </is>
      </c>
      <c r="G336" t="inlineStr">
        <is>
          <t>HÖGSBY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24601-2024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45460</v>
      </c>
      <c r="E337" s="1" t="n">
        <v>46289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46289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46176</v>
      </c>
      <c r="E339" s="1" t="n">
        <v>46289</v>
      </c>
      <c r="F339" t="inlineStr">
        <is>
          <t>KALMAR LÄN</t>
        </is>
      </c>
      <c r="G339" t="inlineStr">
        <is>
          <t>HÖGSBY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46176</v>
      </c>
      <c r="E340" s="1" t="n">
        <v>46289</v>
      </c>
      <c r="F340" t="inlineStr">
        <is>
          <t>KALMAR LÄN</t>
        </is>
      </c>
      <c r="G340" t="inlineStr">
        <is>
          <t>HÖGSBY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46289</v>
      </c>
      <c r="F341" t="inlineStr">
        <is>
          <t>KALMAR LÄN</t>
        </is>
      </c>
      <c r="G341" t="inlineStr">
        <is>
          <t>HÖGSBY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26151-2026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46289</v>
      </c>
      <c r="F342" t="inlineStr">
        <is>
          <t>KALMAR LÄN</t>
        </is>
      </c>
      <c r="G342" t="inlineStr">
        <is>
          <t>HÖGSBY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46184</v>
      </c>
      <c r="E343" s="1" t="n">
        <v>46289</v>
      </c>
      <c r="F343" t="inlineStr">
        <is>
          <t>KALMAR LÄN</t>
        </is>
      </c>
      <c r="G343" t="inlineStr">
        <is>
          <t>HÖGSBY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46289</v>
      </c>
      <c r="F344" t="inlineStr">
        <is>
          <t>KALMAR LÄN</t>
        </is>
      </c>
      <c r="G344" t="inlineStr">
        <is>
          <t>HÖGSBY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46289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46289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46289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46289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46289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46289</v>
      </c>
      <c r="F350" t="inlineStr">
        <is>
          <t>KALMAR LÄN</t>
        </is>
      </c>
      <c r="G350" t="inlineStr">
        <is>
          <t>HÖGSBY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46289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46289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46289</v>
      </c>
      <c r="F353" t="inlineStr">
        <is>
          <t>KALMAR LÄN</t>
        </is>
      </c>
      <c r="G353" t="inlineStr">
        <is>
          <t>HÖGSBY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46289</v>
      </c>
      <c r="F354" t="inlineStr">
        <is>
          <t>KALMAR LÄN</t>
        </is>
      </c>
      <c r="G354" t="inlineStr">
        <is>
          <t>HÖGSBY</t>
        </is>
      </c>
      <c r="H354" t="inlineStr">
        <is>
          <t>Kommuner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46197</v>
      </c>
      <c r="E355" s="1" t="n">
        <v>46289</v>
      </c>
      <c r="F355" t="inlineStr">
        <is>
          <t>KALMAR LÄN</t>
        </is>
      </c>
      <c r="G355" t="inlineStr">
        <is>
          <t>HÖGSBY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28574-2026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46289</v>
      </c>
      <c r="F356" t="inlineStr">
        <is>
          <t>KALMAR LÄN</t>
        </is>
      </c>
      <c r="G356" t="inlineStr">
        <is>
          <t>HÖGSBY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46289</v>
      </c>
      <c r="F357" t="inlineStr">
        <is>
          <t>KALMAR LÄN</t>
        </is>
      </c>
      <c r="G357" t="inlineStr">
        <is>
          <t>HÖGSBY</t>
        </is>
      </c>
      <c r="H357" t="inlineStr">
        <is>
          <t>Kommuner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46289</v>
      </c>
      <c r="F358" t="inlineStr">
        <is>
          <t>KALMAR LÄN</t>
        </is>
      </c>
      <c r="G358" t="inlineStr">
        <is>
          <t>HÖGSBY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46289</v>
      </c>
      <c r="F359" t="inlineStr">
        <is>
          <t>KALMAR LÄN</t>
        </is>
      </c>
      <c r="G359" t="inlineStr">
        <is>
          <t>HÖGSBY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28702-2026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46198</v>
      </c>
      <c r="E360" s="1" t="n">
        <v>46289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28692-2026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46198</v>
      </c>
      <c r="E361" s="1" t="n">
        <v>46289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28713-2026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46198</v>
      </c>
      <c r="E362" s="1" t="n">
        <v>46289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46289</v>
      </c>
      <c r="F363" t="inlineStr">
        <is>
          <t>KALMAR LÄN</t>
        </is>
      </c>
      <c r="G363" t="inlineStr">
        <is>
          <t>HÖGSBY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46289</v>
      </c>
      <c r="F364" t="inlineStr">
        <is>
          <t>KALMAR LÄN</t>
        </is>
      </c>
      <c r="G364" t="inlineStr">
        <is>
          <t>HÖGSBY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46289</v>
      </c>
      <c r="F365" t="inlineStr">
        <is>
          <t>KALMAR LÄN</t>
        </is>
      </c>
      <c r="G365" t="inlineStr">
        <is>
          <t>HÖGSBY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46289</v>
      </c>
      <c r="F366" t="inlineStr">
        <is>
          <t>KALMAR LÄN</t>
        </is>
      </c>
      <c r="G366" t="inlineStr">
        <is>
          <t>HÖGSBY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28691-2026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46198</v>
      </c>
      <c r="E367" s="1" t="n">
        <v>46289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28697-2026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46198</v>
      </c>
      <c r="E368" s="1" t="n">
        <v>46289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46289</v>
      </c>
      <c r="F369" t="inlineStr">
        <is>
          <t>KALMAR LÄN</t>
        </is>
      </c>
      <c r="G369" t="inlineStr">
        <is>
          <t>HÖGSBY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46289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46289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10.7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46289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46289</v>
      </c>
      <c r="F373" t="inlineStr">
        <is>
          <t>KALMAR LÄN</t>
        </is>
      </c>
      <c r="G373" t="inlineStr">
        <is>
          <t>HÖGSBY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33788-2026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46251</v>
      </c>
      <c r="E374" s="1" t="n">
        <v>46289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46289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46289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46289</v>
      </c>
      <c r="F377" t="inlineStr">
        <is>
          <t>KALMAR LÄN</t>
        </is>
      </c>
      <c r="G377" t="inlineStr">
        <is>
          <t>HÖGSBY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46266</v>
      </c>
      <c r="E378" s="1" t="n">
        <v>46289</v>
      </c>
      <c r="F378" t="inlineStr">
        <is>
          <t>KALMAR LÄN</t>
        </is>
      </c>
      <c r="G378" t="inlineStr">
        <is>
          <t>HÖGSBY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46267</v>
      </c>
      <c r="E379" s="1" t="n">
        <v>46289</v>
      </c>
      <c r="F379" t="inlineStr">
        <is>
          <t>KALMAR LÄN</t>
        </is>
      </c>
      <c r="G379" t="inlineStr">
        <is>
          <t>HÖGSBY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46289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46268</v>
      </c>
      <c r="E381" s="1" t="n">
        <v>46289</v>
      </c>
      <c r="F381" t="inlineStr">
        <is>
          <t>KALMAR LÄN</t>
        </is>
      </c>
      <c r="G381" t="inlineStr">
        <is>
          <t>HÖGSBY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46268</v>
      </c>
      <c r="E382" s="1" t="n">
        <v>46289</v>
      </c>
      <c r="F382" t="inlineStr">
        <is>
          <t>KALMAR LÄN</t>
        </is>
      </c>
      <c r="G382" t="inlineStr">
        <is>
          <t>HÖGSBY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46266</v>
      </c>
      <c r="E383" s="1" t="n">
        <v>46289</v>
      </c>
      <c r="F383" t="inlineStr">
        <is>
          <t>KALMAR LÄN</t>
        </is>
      </c>
      <c r="G383" t="inlineStr">
        <is>
          <t>HÖGSBY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46269</v>
      </c>
      <c r="E384" s="1" t="n">
        <v>46289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46289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46274</v>
      </c>
      <c r="E386" s="1" t="n">
        <v>46289</v>
      </c>
      <c r="F386" t="inlineStr">
        <is>
          <t>KALMAR LÄN</t>
        </is>
      </c>
      <c r="G386" t="inlineStr">
        <is>
          <t>HÖGSBY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37233-2026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46274</v>
      </c>
      <c r="E387" s="1" t="n">
        <v>46289</v>
      </c>
      <c r="F387" t="inlineStr">
        <is>
          <t>KALMAR LÄN</t>
        </is>
      </c>
      <c r="G387" t="inlineStr">
        <is>
          <t>HÖGSBY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37335-2026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46275</v>
      </c>
      <c r="E388" s="1" t="n">
        <v>46289</v>
      </c>
      <c r="F388" t="inlineStr">
        <is>
          <t>KALMAR LÄN</t>
        </is>
      </c>
      <c r="G388" t="inlineStr">
        <is>
          <t>HÖGSBY</t>
        </is>
      </c>
      <c r="H388" t="inlineStr">
        <is>
          <t>Sveaskog</t>
        </is>
      </c>
      <c r="I388" t="n">
        <v>11.2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46289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46237</v>
      </c>
      <c r="E390" s="1" t="n">
        <v>46289</v>
      </c>
      <c r="F390" t="inlineStr">
        <is>
          <t>KALMAR LÄN</t>
        </is>
      </c>
      <c r="G390" t="inlineStr">
        <is>
          <t>HÖGSBY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566-2022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44592</v>
      </c>
      <c r="E391" s="1" t="n">
        <v>46289</v>
      </c>
      <c r="F391" t="inlineStr">
        <is>
          <t>KALMAR LÄN</t>
        </is>
      </c>
      <c r="G391" t="inlineStr">
        <is>
          <t>HÖGSBY</t>
        </is>
      </c>
      <c r="I391" t="n">
        <v>15.1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46289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46289</v>
      </c>
      <c r="F393" t="inlineStr">
        <is>
          <t>KALMAR LÄN</t>
        </is>
      </c>
      <c r="G393" t="inlineStr">
        <is>
          <t>HÖGSBY</t>
        </is>
      </c>
      <c r="I393" t="n">
        <v>12.4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4463-2022</t>
        </is>
      </c>
      <c r="B394" t="inlineStr">
        <is>
          <t>samrådsanmälan</t>
        </is>
      </c>
      <c r="C394" t="inlineStr">
        <is>
          <t>Åtgärd i nyckelbiotop</t>
        </is>
      </c>
      <c r="D394" s="1" t="n">
        <v>44788</v>
      </c>
      <c r="E394" s="1" t="n">
        <v>46289</v>
      </c>
      <c r="F394" t="inlineStr">
        <is>
          <t>KALMAR LÄN</t>
        </is>
      </c>
      <c r="G394" t="inlineStr">
        <is>
          <t>HÖGSBY</t>
        </is>
      </c>
      <c r="H394" t="inlineStr">
        <is>
          <t>Sveaskog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3208-2024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45524</v>
      </c>
      <c r="E395" s="1" t="n">
        <v>46289</v>
      </c>
      <c r="F395" t="inlineStr">
        <is>
          <t>KALMAR LÄN</t>
        </is>
      </c>
      <c r="G395" t="inlineStr">
        <is>
          <t>HÖGSBY</t>
        </is>
      </c>
      <c r="I395" t="n">
        <v>23.3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7006-2022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44903</v>
      </c>
      <c r="E396" s="1" t="n">
        <v>46289</v>
      </c>
      <c r="F396" t="inlineStr">
        <is>
          <t>KALMAR LÄN</t>
        </is>
      </c>
      <c r="G396" t="inlineStr">
        <is>
          <t>HÖGSBY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46289</v>
      </c>
      <c r="F397" t="inlineStr">
        <is>
          <t>KALMAR LÄN</t>
        </is>
      </c>
      <c r="G397" t="inlineStr">
        <is>
          <t>HÖGSBY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512-2023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46289</v>
      </c>
      <c r="F398" t="inlineStr">
        <is>
          <t>KALMAR LÄN</t>
        </is>
      </c>
      <c r="G398" t="inlineStr">
        <is>
          <t>HÖGSBY</t>
        </is>
      </c>
      <c r="I398" t="n">
        <v>8.5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2564-2023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46289</v>
      </c>
      <c r="F399" t="inlineStr">
        <is>
          <t>KALMAR LÄN</t>
        </is>
      </c>
      <c r="G399" t="inlineStr">
        <is>
          <t>HÖGSBY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2563-2023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46289</v>
      </c>
      <c r="F400" t="inlineStr">
        <is>
          <t>KALMAR LÄN</t>
        </is>
      </c>
      <c r="G400" t="inlineStr">
        <is>
          <t>HÖGSBY</t>
        </is>
      </c>
      <c r="I400" t="n">
        <v>28.7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46289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2021-2025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45835</v>
      </c>
      <c r="E402" s="1" t="n">
        <v>46289</v>
      </c>
      <c r="F402" t="inlineStr">
        <is>
          <t>KALMAR LÄN</t>
        </is>
      </c>
      <c r="G402" t="inlineStr">
        <is>
          <t>HÖGSBY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379-2023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44958</v>
      </c>
      <c r="E403" s="1" t="n">
        <v>46289</v>
      </c>
      <c r="F403" t="inlineStr">
        <is>
          <t>KALMAR LÄN</t>
        </is>
      </c>
      <c r="G403" t="inlineStr">
        <is>
          <t>HÖGSBY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351-2023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46289</v>
      </c>
      <c r="F404" t="inlineStr">
        <is>
          <t>KALMAR LÄN</t>
        </is>
      </c>
      <c r="G404" t="inlineStr">
        <is>
          <t>HÖGSBY</t>
        </is>
      </c>
      <c r="I404" t="n">
        <v>21.3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2809-2025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45938</v>
      </c>
      <c r="E405" s="1" t="n">
        <v>46289</v>
      </c>
      <c r="F405" t="inlineStr">
        <is>
          <t>KALMAR LÄN</t>
        </is>
      </c>
      <c r="G405" t="inlineStr">
        <is>
          <t>HÖGSBY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1031-2026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46289</v>
      </c>
      <c r="F406" t="inlineStr">
        <is>
          <t>KALMAR LÄN</t>
        </is>
      </c>
      <c r="G406" t="inlineStr">
        <is>
          <t>HÖGSBY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1417-2026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46155</v>
      </c>
      <c r="E407" s="1" t="n">
        <v>46289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46289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46289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1866-2026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46199</v>
      </c>
      <c r="E410" s="1" t="n">
        <v>46289</v>
      </c>
      <c r="F410" t="inlineStr">
        <is>
          <t>KALMAR LÄN</t>
        </is>
      </c>
      <c r="G410" t="inlineStr">
        <is>
          <t>HÖGSBY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46289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46289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1938-2026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46203</v>
      </c>
      <c r="E413" s="1" t="n">
        <v>46289</v>
      </c>
      <c r="F413" t="inlineStr">
        <is>
          <t>KALMAR LÄN</t>
        </is>
      </c>
      <c r="G413" t="inlineStr">
        <is>
          <t>HÖGSBY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2165-2026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46251</v>
      </c>
      <c r="E414" s="1" t="n">
        <v>46289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2026-09-24T01:56:59Z</dcterms:created>
  <dcterms:modified xmlns:dcterms="http://purl.org/dc/terms/" xmlns:xsi="http://www.w3.org/2001/XMLSchema-instance" xsi:type="dcterms:W3CDTF">2026-09-24T01:56:59Z</dcterms:modified>
</cp:coreProperties>
</file>