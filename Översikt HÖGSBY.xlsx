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46220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46220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46220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46220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46220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46220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46220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46220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46220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46220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s="2" t="inlineStr">
        <is>
          <t>Vedtrappmossa
Bronshjon
Flagellkvastmossa
Vågbandad barkbock
Tjäder</t>
        </is>
      </c>
      <c r="V13">
        <f>HYPERLINK("https://klasma.github.io/Logging_0821/artfynd/A 62412-2023 artfynd.xlsx", "A 62412-2023")</f>
        <v/>
      </c>
      <c r="W13">
        <f>HYPERLINK("https://klasma.github.io/Logging_0821/kartor/A 62412-2023 karta.png", "A 62412-2023")</f>
        <v/>
      </c>
      <c r="Y13">
        <f>HYPERLINK("https://klasma.github.io/Logging_0821/klagomål/A 62412-2023 FSC-klagomål.docx", "A 62412-2023")</f>
        <v/>
      </c>
      <c r="Z13">
        <f>HYPERLINK("https://klasma.github.io/Logging_0821/klagomålsmail/A 62412-2023 FSC-klagomål mail.docx", "A 62412-2023")</f>
        <v/>
      </c>
      <c r="AA13">
        <f>HYPERLINK("https://klasma.github.io/Logging_0821/tillsyn/A 62412-2023 tillsynsbegäran.docx", "A 62412-2023")</f>
        <v/>
      </c>
      <c r="AB13">
        <f>HYPERLINK("https://klasma.github.io/Logging_0821/tillsynsmail/A 62412-2023 tillsynsbegäran mail.docx", "A 62412-2023")</f>
        <v/>
      </c>
      <c r="AC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46220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s="2" t="inlineStr">
        <is>
          <t>Knärot
Talltita
Blåsippa
Mattlummer
Tjäder</t>
        </is>
      </c>
      <c r="V14">
        <f>HYPERLINK("https://klasma.github.io/Logging_0821/artfynd/A 7410-2024 artfynd.xlsx", "A 7410-2024")</f>
        <v/>
      </c>
      <c r="W14">
        <f>HYPERLINK("https://klasma.github.io/Logging_0821/kartor/A 7410-2024 karta.png", "A 7410-2024")</f>
        <v/>
      </c>
      <c r="X14">
        <f>HYPERLINK("https://klasma.github.io/Logging_0821/knärot/A 7410-2024 karta knärot.png", "A 7410-2024")</f>
        <v/>
      </c>
      <c r="Y14">
        <f>HYPERLINK("https://klasma.github.io/Logging_0821/klagomål/A 7410-2024 FSC-klagomål.docx", "A 7410-2024")</f>
        <v/>
      </c>
      <c r="Z14">
        <f>HYPERLINK("https://klasma.github.io/Logging_0821/klagomålsmail/A 7410-2024 FSC-klagomål mail.docx", "A 7410-2024")</f>
        <v/>
      </c>
      <c r="AA14">
        <f>HYPERLINK("https://klasma.github.io/Logging_0821/tillsyn/A 7410-2024 tillsynsbegäran.docx", "A 7410-2024")</f>
        <v/>
      </c>
      <c r="AB14">
        <f>HYPERLINK("https://klasma.github.io/Logging_0821/tillsynsmail/A 7410-2024 tillsynsbegäran mail.docx", "A 7410-2024")</f>
        <v/>
      </c>
      <c r="AC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46220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46220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Mindre hackspett
Fällmossa
Källpraktmossa
Skogsknipprot</t>
        </is>
      </c>
      <c r="V16">
        <f>HYPERLINK("https://klasma.github.io/Logging_0821/artfynd/A 17959-2026 artfynd.xlsx", "A 17959-2026")</f>
        <v/>
      </c>
      <c r="W16">
        <f>HYPERLINK("https://klasma.github.io/Logging_0821/kartor/A 17959-2026 karta.png", "A 17959-2026")</f>
        <v/>
      </c>
      <c r="Y16">
        <f>HYPERLINK("https://klasma.github.io/Logging_0821/klagomål/A 17959-2026 FSC-klagomål.docx", "A 17959-2026")</f>
        <v/>
      </c>
      <c r="Z16">
        <f>HYPERLINK("https://klasma.github.io/Logging_0821/klagomålsmail/A 17959-2026 FSC-klagomål mail.docx", "A 17959-2026")</f>
        <v/>
      </c>
      <c r="AA16">
        <f>HYPERLINK("https://klasma.github.io/Logging_0821/tillsyn/A 17959-2026 tillsynsbegäran.docx", "A 17959-2026")</f>
        <v/>
      </c>
      <c r="AB16">
        <f>HYPERLINK("https://klasma.github.io/Logging_0821/tillsynsmail/A 17959-2026 tillsynsbegäran mail.docx", "A 17959-2026")</f>
        <v/>
      </c>
      <c r="AC16">
        <f>HYPERLINK("https://klasma.github.io/Logging_0821/fåglar/A 17959-2026 prioriterade fågelarter.docx", "A 17959-2026")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46220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Talltita
Vårärt
Vanlig flatbagge
Blåsippa</t>
        </is>
      </c>
      <c r="V17">
        <f>HYPERLINK("https://klasma.github.io/Logging_0821/artfynd/A 26772-2026 artfynd.xlsx", "A 26772-2026")</f>
        <v/>
      </c>
      <c r="W17">
        <f>HYPERLINK("https://klasma.github.io/Logging_0821/kartor/A 26772-2026 karta.png", "A 26772-2026")</f>
        <v/>
      </c>
      <c r="Y17">
        <f>HYPERLINK("https://klasma.github.io/Logging_0821/klagomål/A 26772-2026 FSC-klagomål.docx", "A 26772-2026")</f>
        <v/>
      </c>
      <c r="Z17">
        <f>HYPERLINK("https://klasma.github.io/Logging_0821/klagomålsmail/A 26772-2026 FSC-klagomål mail.docx", "A 26772-2026")</f>
        <v/>
      </c>
      <c r="AA17">
        <f>HYPERLINK("https://klasma.github.io/Logging_0821/tillsyn/A 26772-2026 tillsynsbegäran.docx", "A 26772-2026")</f>
        <v/>
      </c>
      <c r="AB17">
        <f>HYPERLINK("https://klasma.github.io/Logging_0821/tillsynsmail/A 26772-2026 tillsynsbegäran mail.docx", "A 26772-2026")</f>
        <v/>
      </c>
      <c r="AC17">
        <f>HYPERLINK("https://klasma.github.io/Logging_0821/fåglar/A 26772-2026 prioriterade fågelarter.docx", "A 26772-2026")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46220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s="2" t="inlineStr">
        <is>
          <t>Underviol
Blåsippa
Spillkråka
Gullviva</t>
        </is>
      </c>
      <c r="V18">
        <f>HYPERLINK("https://klasma.github.io/Logging_0821/artfynd/A 56995-2024 artfynd.xlsx", "A 56995-2024")</f>
        <v/>
      </c>
      <c r="W18">
        <f>HYPERLINK("https://klasma.github.io/Logging_0821/kartor/A 56995-2024 karta.png", "A 56995-2024")</f>
        <v/>
      </c>
      <c r="Y18">
        <f>HYPERLINK("https://klasma.github.io/Logging_0821/klagomål/A 56995-2024 FSC-klagomål.docx", "A 56995-2024")</f>
        <v/>
      </c>
      <c r="Z18">
        <f>HYPERLINK("https://klasma.github.io/Logging_0821/klagomålsmail/A 56995-2024 FSC-klagomål mail.docx", "A 56995-2024")</f>
        <v/>
      </c>
      <c r="AA18">
        <f>HYPERLINK("https://klasma.github.io/Logging_0821/tillsyn/A 56995-2024 tillsynsbegäran.docx", "A 56995-2024")</f>
        <v/>
      </c>
      <c r="AB18">
        <f>HYPERLINK("https://klasma.github.io/Logging_0821/tillsynsmail/A 56995-2024 tillsynsbegäran mail.docx", "A 56995-2024")</f>
        <v/>
      </c>
      <c r="AC18">
        <f>HYPERLINK("https://klasma.github.io/Logging_0821/fåglar/A 56995-2024 prioriterade fågelarter.docx", "A 56995-2024")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46220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Gulsparv
Mindre träfjäril
Talltita
Gröngöling</t>
        </is>
      </c>
      <c r="V19">
        <f>HYPERLINK("https://klasma.github.io/Logging_0821/artfynd/A 57171-2022 artfynd.xlsx", "A 57171-2022")</f>
        <v/>
      </c>
      <c r="W19">
        <f>HYPERLINK("https://klasma.github.io/Logging_0821/kartor/A 57171-2022 karta.png", "A 57171-2022")</f>
        <v/>
      </c>
      <c r="Y19">
        <f>HYPERLINK("https://klasma.github.io/Logging_0821/klagomål/A 57171-2022 FSC-klagomål.docx", "A 57171-2022")</f>
        <v/>
      </c>
      <c r="Z19">
        <f>HYPERLINK("https://klasma.github.io/Logging_0821/klagomålsmail/A 57171-2022 FSC-klagomål mail.docx", "A 57171-2022")</f>
        <v/>
      </c>
      <c r="AA19">
        <f>HYPERLINK("https://klasma.github.io/Logging_0821/tillsyn/A 57171-2022 tillsynsbegäran.docx", "A 57171-2022")</f>
        <v/>
      </c>
      <c r="AB19">
        <f>HYPERLINK("https://klasma.github.io/Logging_0821/tillsynsmail/A 57171-2022 tillsynsbegäran mail.docx", "A 57171-2022")</f>
        <v/>
      </c>
      <c r="AC19">
        <f>HYPERLINK("https://klasma.github.io/Logging_0821/fåglar/A 57171-2022 prioriterade fågelarter.docx", "A 57171-2022")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Svartoxe
Talltita
Bergsslok
Blåsippa</t>
        </is>
      </c>
      <c r="V20">
        <f>HYPERLINK("https://klasma.github.io/Logging_0821/artfynd/A 22559-2026 artfynd.xlsx", "A 22559-2026")</f>
        <v/>
      </c>
      <c r="W20">
        <f>HYPERLINK("https://klasma.github.io/Logging_0821/kartor/A 22559-2026 karta.png", "A 22559-2026")</f>
        <v/>
      </c>
      <c r="Y20">
        <f>HYPERLINK("https://klasma.github.io/Logging_0821/klagomål/A 22559-2026 FSC-klagomål.docx", "A 22559-2026")</f>
        <v/>
      </c>
      <c r="Z20">
        <f>HYPERLINK("https://klasma.github.io/Logging_0821/klagomålsmail/A 22559-2026 FSC-klagomål mail.docx", "A 22559-2026")</f>
        <v/>
      </c>
      <c r="AA20">
        <f>HYPERLINK("https://klasma.github.io/Logging_0821/tillsyn/A 22559-2026 tillsynsbegäran.docx", "A 22559-2026")</f>
        <v/>
      </c>
      <c r="AB20">
        <f>HYPERLINK("https://klasma.github.io/Logging_0821/tillsynsmail/A 22559-2026 tillsynsbegäran mail.docx", "A 22559-2026")</f>
        <v/>
      </c>
      <c r="AC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46220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46220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Backklöver
Nötkråka
Revlummer</t>
        </is>
      </c>
      <c r="V22">
        <f>HYPERLINK("https://klasma.github.io/Logging_0821/artfynd/A 47236-2023 artfynd.xlsx", "A 47236-2023")</f>
        <v/>
      </c>
      <c r="W22">
        <f>HYPERLINK("https://klasma.github.io/Logging_0821/kartor/A 47236-2023 karta.png", "A 47236-2023")</f>
        <v/>
      </c>
      <c r="Y22">
        <f>HYPERLINK("https://klasma.github.io/Logging_0821/klagomål/A 47236-2023 FSC-klagomål.docx", "A 47236-2023")</f>
        <v/>
      </c>
      <c r="Z22">
        <f>HYPERLINK("https://klasma.github.io/Logging_0821/klagomålsmail/A 47236-2023 FSC-klagomål mail.docx", "A 47236-2023")</f>
        <v/>
      </c>
      <c r="AA22">
        <f>HYPERLINK("https://klasma.github.io/Logging_0821/tillsyn/A 47236-2023 tillsynsbegäran.docx", "A 47236-2023")</f>
        <v/>
      </c>
      <c r="AB22">
        <f>HYPERLINK("https://klasma.github.io/Logging_0821/tillsynsmail/A 47236-2023 tillsynsbegäran mail.docx", "A 47236-2023")</f>
        <v/>
      </c>
      <c r="AC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46220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Fjällig taggsvamp s.str.
Gultoppig fingersvamp
Skarp dropptaggsvamp</t>
        </is>
      </c>
      <c r="V23">
        <f>HYPERLINK("https://klasma.github.io/Logging_0821/artfynd/A 9384-2024 artfynd.xlsx", "A 9384-2024")</f>
        <v/>
      </c>
      <c r="W23">
        <f>HYPERLINK("https://klasma.github.io/Logging_0821/kartor/A 9384-2024 karta.png", "A 9384-2024")</f>
        <v/>
      </c>
      <c r="Y23">
        <f>HYPERLINK("https://klasma.github.io/Logging_0821/klagomål/A 9384-2024 FSC-klagomål.docx", "A 9384-2024")</f>
        <v/>
      </c>
      <c r="Z23">
        <f>HYPERLINK("https://klasma.github.io/Logging_0821/klagomålsmail/A 9384-2024 FSC-klagomål mail.docx", "A 9384-2024")</f>
        <v/>
      </c>
      <c r="AA23">
        <f>HYPERLINK("https://klasma.github.io/Logging_0821/tillsyn/A 9384-2024 tillsynsbegäran.docx", "A 9384-2024")</f>
        <v/>
      </c>
      <c r="AB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46220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s="2" t="inlineStr">
        <is>
          <t>Tallticka
Blodticka
Spillkråka</t>
        </is>
      </c>
      <c r="V24">
        <f>HYPERLINK("https://klasma.github.io/Logging_0821/artfynd/A 55060-2023 artfynd.xlsx", "A 55060-2023")</f>
        <v/>
      </c>
      <c r="W24">
        <f>HYPERLINK("https://klasma.github.io/Logging_0821/kartor/A 55060-2023 karta.png", "A 55060-2023")</f>
        <v/>
      </c>
      <c r="Y24">
        <f>HYPERLINK("https://klasma.github.io/Logging_0821/klagomål/A 55060-2023 FSC-klagomål.docx", "A 55060-2023")</f>
        <v/>
      </c>
      <c r="Z24">
        <f>HYPERLINK("https://klasma.github.io/Logging_0821/klagomålsmail/A 55060-2023 FSC-klagomål mail.docx", "A 55060-2023")</f>
        <v/>
      </c>
      <c r="AA24">
        <f>HYPERLINK("https://klasma.github.io/Logging_0821/tillsyn/A 55060-2023 tillsynsbegäran.docx", "A 55060-2023")</f>
        <v/>
      </c>
      <c r="AB24">
        <f>HYPERLINK("https://klasma.github.io/Logging_0821/tillsynsmail/A 55060-2023 tillsynsbegäran mail.docx", "A 55060-2023")</f>
        <v/>
      </c>
      <c r="AC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46220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Mindre bastardsvärmare
Spindelört
Spindelörtskinnbagge</t>
        </is>
      </c>
      <c r="V25">
        <f>HYPERLINK("https://klasma.github.io/Logging_0821/artfynd/A 23413-2023 artfynd.xlsx", "A 23413-2023")</f>
        <v/>
      </c>
      <c r="W25">
        <f>HYPERLINK("https://klasma.github.io/Logging_0821/kartor/A 23413-2023 karta.png", "A 23413-2023")</f>
        <v/>
      </c>
      <c r="Y25">
        <f>HYPERLINK("https://klasma.github.io/Logging_0821/klagomål/A 23413-2023 FSC-klagomål.docx", "A 23413-2023")</f>
        <v/>
      </c>
      <c r="Z25">
        <f>HYPERLINK("https://klasma.github.io/Logging_0821/klagomålsmail/A 23413-2023 FSC-klagomål mail.docx", "A 23413-2023")</f>
        <v/>
      </c>
      <c r="AA25">
        <f>HYPERLINK("https://klasma.github.io/Logging_0821/tillsyn/A 23413-2023 tillsynsbegäran.docx", "A 23413-2023")</f>
        <v/>
      </c>
      <c r="AB25">
        <f>HYPERLINK("https://klasma.github.io/Logging_0821/tillsynsmail/A 23413-2023 tillsynsbegäran mail.docx", "A 23413-2023")</f>
        <v/>
      </c>
    </row>
    <row r="26" ht="15" customHeight="1">
      <c r="A26" t="inlineStr">
        <is>
          <t>A 22542-2026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46155</v>
      </c>
      <c r="E26" s="1" t="n">
        <v>46220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Svartoxe
Talltita
Kärrviol</t>
        </is>
      </c>
      <c r="V26">
        <f>HYPERLINK("https://klasma.github.io/Logging_0821/artfynd/A 22542-2026 artfynd.xlsx", "A 22542-2026")</f>
        <v/>
      </c>
      <c r="W26">
        <f>HYPERLINK("https://klasma.github.io/Logging_0821/kartor/A 22542-2026 karta.png", "A 22542-2026")</f>
        <v/>
      </c>
      <c r="Y26">
        <f>HYPERLINK("https://klasma.github.io/Logging_0821/klagomål/A 22542-2026 FSC-klagomål.docx", "A 22542-2026")</f>
        <v/>
      </c>
      <c r="Z26">
        <f>HYPERLINK("https://klasma.github.io/Logging_0821/klagomålsmail/A 22542-2026 FSC-klagomål mail.docx", "A 22542-2026")</f>
        <v/>
      </c>
      <c r="AA26">
        <f>HYPERLINK("https://klasma.github.io/Logging_0821/tillsyn/A 22542-2026 tillsynsbegäran.docx", "A 22542-2026")</f>
        <v/>
      </c>
      <c r="AB26">
        <f>HYPERLINK("https://klasma.github.io/Logging_0821/tillsynsmail/A 22542-2026 tillsynsbegäran mail.docx", "A 22542-2026")</f>
        <v/>
      </c>
      <c r="AC26">
        <f>HYPERLINK("https://klasma.github.io/Logging_0821/fåglar/A 22542-2026 prioriterade fågelarter.docx", "A 22542-2026")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46220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46220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46220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46220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s="2" t="inlineStr">
        <is>
          <t>Mistel
Gullviva</t>
        </is>
      </c>
      <c r="V30">
        <f>HYPERLINK("https://klasma.github.io/Logging_0821/artfynd/A 30203-2023 artfynd.xlsx", "A 30203-2023")</f>
        <v/>
      </c>
      <c r="W30">
        <f>HYPERLINK("https://klasma.github.io/Logging_0821/kartor/A 30203-2023 karta.png", "A 30203-2023")</f>
        <v/>
      </c>
      <c r="Y30">
        <f>HYPERLINK("https://klasma.github.io/Logging_0821/klagomål/A 30203-2023 FSC-klagomål.docx", "A 30203-2023")</f>
        <v/>
      </c>
      <c r="Z30">
        <f>HYPERLINK("https://klasma.github.io/Logging_0821/klagomålsmail/A 30203-2023 FSC-klagomål mail.docx", "A 30203-2023")</f>
        <v/>
      </c>
      <c r="AA30">
        <f>HYPERLINK("https://klasma.github.io/Logging_0821/tillsyn/A 30203-2023 tillsynsbegäran.docx", "A 30203-2023")</f>
        <v/>
      </c>
      <c r="AB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46220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s="2" t="inlineStr">
        <is>
          <t>Slåttergubbe
Slåttergubbemal</t>
        </is>
      </c>
      <c r="V31">
        <f>HYPERLINK("https://klasma.github.io/Logging_0821/artfynd/A 5667-2026 artfynd.xlsx", "A 5667-2026")</f>
        <v/>
      </c>
      <c r="W31">
        <f>HYPERLINK("https://klasma.github.io/Logging_0821/kartor/A 5667-2026 karta.png", "A 5667-2026")</f>
        <v/>
      </c>
      <c r="Y31">
        <f>HYPERLINK("https://klasma.github.io/Logging_0821/klagomål/A 5667-2026 FSC-klagomål.docx", "A 5667-2026")</f>
        <v/>
      </c>
      <c r="Z31">
        <f>HYPERLINK("https://klasma.github.io/Logging_0821/klagomålsmail/A 5667-2026 FSC-klagomål mail.docx", "A 5667-2026")</f>
        <v/>
      </c>
      <c r="AA31">
        <f>HYPERLINK("https://klasma.github.io/Logging_0821/tillsyn/A 5667-2026 tillsynsbegäran.docx", "A 5667-2026")</f>
        <v/>
      </c>
      <c r="AB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46220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Tallticka
Tjäder</t>
        </is>
      </c>
      <c r="V32">
        <f>HYPERLINK("https://klasma.github.io/Logging_0821/artfynd/A 62431-2023 artfynd.xlsx", "A 62431-2023")</f>
        <v/>
      </c>
      <c r="W32">
        <f>HYPERLINK("https://klasma.github.io/Logging_0821/kartor/A 62431-2023 karta.png", "A 62431-2023")</f>
        <v/>
      </c>
      <c r="Y32">
        <f>HYPERLINK("https://klasma.github.io/Logging_0821/klagomål/A 62431-2023 FSC-klagomål.docx", "A 62431-2023")</f>
        <v/>
      </c>
      <c r="Z32">
        <f>HYPERLINK("https://klasma.github.io/Logging_0821/klagomålsmail/A 62431-2023 FSC-klagomål mail.docx", "A 62431-2023")</f>
        <v/>
      </c>
      <c r="AA32">
        <f>HYPERLINK("https://klasma.github.io/Logging_0821/tillsyn/A 62431-2023 tillsynsbegäran.docx", "A 62431-2023")</f>
        <v/>
      </c>
      <c r="AB32">
        <f>HYPERLINK("https://klasma.github.io/Logging_0821/tillsynsmail/A 62431-2023 tillsynsbegäran mail.docx", "A 62431-2023")</f>
        <v/>
      </c>
      <c r="AC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46220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Kattfotslav
Flagellkvastmossa</t>
        </is>
      </c>
      <c r="V33">
        <f>HYPERLINK("https://klasma.github.io/Logging_0821/artfynd/A 62394-2023 artfynd.xlsx", "A 62394-2023")</f>
        <v/>
      </c>
      <c r="W33">
        <f>HYPERLINK("https://klasma.github.io/Logging_0821/kartor/A 62394-2023 karta.png", "A 62394-2023")</f>
        <v/>
      </c>
      <c r="Y33">
        <f>HYPERLINK("https://klasma.github.io/Logging_0821/klagomål/A 62394-2023 FSC-klagomål.docx", "A 62394-2023")</f>
        <v/>
      </c>
      <c r="Z33">
        <f>HYPERLINK("https://klasma.github.io/Logging_0821/klagomålsmail/A 62394-2023 FSC-klagomål mail.docx", "A 62394-2023")</f>
        <v/>
      </c>
      <c r="AA33">
        <f>HYPERLINK("https://klasma.github.io/Logging_0821/tillsyn/A 62394-2023 tillsynsbegäran.docx", "A 62394-2023")</f>
        <v/>
      </c>
      <c r="AB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46220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Järnsparv
Kungsfågel</t>
        </is>
      </c>
      <c r="V34">
        <f>HYPERLINK("https://klasma.github.io/Logging_0821/artfynd/A 26759-2026 artfynd.xlsx", "A 26759-2026")</f>
        <v/>
      </c>
      <c r="W34">
        <f>HYPERLINK("https://klasma.github.io/Logging_0821/kartor/A 26759-2026 karta.png", "A 26759-2026")</f>
        <v/>
      </c>
      <c r="Y34">
        <f>HYPERLINK("https://klasma.github.io/Logging_0821/klagomål/A 26759-2026 FSC-klagomål.docx", "A 26759-2026")</f>
        <v/>
      </c>
      <c r="Z34">
        <f>HYPERLINK("https://klasma.github.io/Logging_0821/klagomålsmail/A 26759-2026 FSC-klagomål mail.docx", "A 26759-2026")</f>
        <v/>
      </c>
      <c r="AA34">
        <f>HYPERLINK("https://klasma.github.io/Logging_0821/tillsyn/A 26759-2026 tillsynsbegäran.docx", "A 26759-2026")</f>
        <v/>
      </c>
      <c r="AB34">
        <f>HYPERLINK("https://klasma.github.io/Logging_0821/tillsynsmail/A 26759-2026 tillsynsbegäran mail.docx", "A 26759-2026")</f>
        <v/>
      </c>
      <c r="AC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46220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Vårärt
Blåsippa</t>
        </is>
      </c>
      <c r="V35">
        <f>HYPERLINK("https://klasma.github.io/Logging_0821/artfynd/A 26775-2026 artfynd.xlsx", "A 26775-2026")</f>
        <v/>
      </c>
      <c r="W35">
        <f>HYPERLINK("https://klasma.github.io/Logging_0821/kartor/A 26775-2026 karta.png", "A 26775-2026")</f>
        <v/>
      </c>
      <c r="Y35">
        <f>HYPERLINK("https://klasma.github.io/Logging_0821/klagomål/A 26775-2026 FSC-klagomål.docx", "A 26775-2026")</f>
        <v/>
      </c>
      <c r="Z35">
        <f>HYPERLINK("https://klasma.github.io/Logging_0821/klagomålsmail/A 26775-2026 FSC-klagomål mail.docx", "A 26775-2026")</f>
        <v/>
      </c>
      <c r="AA35">
        <f>HYPERLINK("https://klasma.github.io/Logging_0821/tillsyn/A 26775-2026 tillsynsbegäran.docx", "A 26775-2026")</f>
        <v/>
      </c>
      <c r="AB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46220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Knippnejlika
Solvända</t>
        </is>
      </c>
      <c r="V36">
        <f>HYPERLINK("https://klasma.github.io/Logging_0821/artfynd/A 9616-2022 artfynd.xlsx", "A 9616-2022")</f>
        <v/>
      </c>
      <c r="W36">
        <f>HYPERLINK("https://klasma.github.io/Logging_0821/kartor/A 9616-2022 karta.png", "A 9616-2022")</f>
        <v/>
      </c>
      <c r="Y36">
        <f>HYPERLINK("https://klasma.github.io/Logging_0821/klagomål/A 9616-2022 FSC-klagomål.docx", "A 9616-2022")</f>
        <v/>
      </c>
      <c r="Z36">
        <f>HYPERLINK("https://klasma.github.io/Logging_0821/klagomålsmail/A 9616-2022 FSC-klagomål mail.docx", "A 9616-2022")</f>
        <v/>
      </c>
      <c r="AA36">
        <f>HYPERLINK("https://klasma.github.io/Logging_0821/tillsyn/A 9616-2022 tillsynsbegäran.docx", "A 9616-2022")</f>
        <v/>
      </c>
      <c r="AB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46220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HYPERLINK("https://klasma.github.io/Logging_0821/knärot/A 62371-2023 karta knärot.png", "A 62371-2023")</f>
        <v/>
      </c>
      <c r="Y37">
        <f>HYPERLINK("https://klasma.github.io/Logging_0821/klagomål/A 62371-2023 FSC-klagomål.docx", "A 62371-2023")</f>
        <v/>
      </c>
      <c r="Z37">
        <f>HYPERLINK("https://klasma.github.io/Logging_0821/klagomålsmail/A 62371-2023 FSC-klagomål mail.docx", "A 62371-2023")</f>
        <v/>
      </c>
      <c r="AA37">
        <f>HYPERLINK("https://klasma.github.io/Logging_0821/tillsyn/A 62371-2023 tillsynsbegäran.docx", "A 62371-2023")</f>
        <v/>
      </c>
      <c r="AB37">
        <f>HYPERLINK("https://klasma.github.io/Logging_0821/tillsynsmail/A 62371-2023 tillsynsbegäran mail.docx", "A 62371-2023")</f>
        <v/>
      </c>
      <c r="AC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46220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46220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46220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Slåttergubbe</t>
        </is>
      </c>
      <c r="V40">
        <f>HYPERLINK("https://klasma.github.io/Logging_0821/artfynd/A 1519-2022 artfynd.xlsx", "A 1519-2022")</f>
        <v/>
      </c>
      <c r="W40">
        <f>HYPERLINK("https://klasma.github.io/Logging_0821/kartor/A 1519-2022 karta.png", "A 1519-2022")</f>
        <v/>
      </c>
      <c r="Y40">
        <f>HYPERLINK("https://klasma.github.io/Logging_0821/klagomål/A 1519-2022 FSC-klagomål.docx", "A 1519-2022")</f>
        <v/>
      </c>
      <c r="Z40">
        <f>HYPERLINK("https://klasma.github.io/Logging_0821/klagomålsmail/A 1519-2022 FSC-klagomål mail.docx", "A 1519-2022")</f>
        <v/>
      </c>
      <c r="AA40">
        <f>HYPERLINK("https://klasma.github.io/Logging_0821/tillsyn/A 1519-2022 tillsynsbegäran.docx", "A 1519-2022")</f>
        <v/>
      </c>
      <c r="AB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46220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HYPERLINK("https://klasma.github.io/Logging_0821/artfynd/A 35075-2023 artfynd.xlsx", "A 35075-2023")</f>
        <v/>
      </c>
      <c r="W41">
        <f>HYPERLINK("https://klasma.github.io/Logging_0821/kartor/A 35075-2023 karta.png", "A 35075-2023")</f>
        <v/>
      </c>
      <c r="Y41">
        <f>HYPERLINK("https://klasma.github.io/Logging_0821/klagomål/A 35075-2023 FSC-klagomål.docx", "A 35075-2023")</f>
        <v/>
      </c>
      <c r="Z41">
        <f>HYPERLINK("https://klasma.github.io/Logging_0821/klagomålsmail/A 35075-2023 FSC-klagomål mail.docx", "A 35075-2023")</f>
        <v/>
      </c>
      <c r="AA41">
        <f>HYPERLINK("https://klasma.github.io/Logging_0821/tillsyn/A 35075-2023 tillsynsbegäran.docx", "A 35075-2023")</f>
        <v/>
      </c>
      <c r="AB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46220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Mindre bastardsvärmare</t>
        </is>
      </c>
      <c r="V42">
        <f>HYPERLINK("https://klasma.github.io/Logging_0821/artfynd/A 17994-2026 artfynd.xlsx", "A 17994-2026")</f>
        <v/>
      </c>
      <c r="W42">
        <f>HYPERLINK("https://klasma.github.io/Logging_0821/kartor/A 17994-2026 karta.png", "A 17994-2026")</f>
        <v/>
      </c>
      <c r="Y42">
        <f>HYPERLINK("https://klasma.github.io/Logging_0821/klagomål/A 17994-2026 FSC-klagomål.docx", "A 17994-2026")</f>
        <v/>
      </c>
      <c r="Z42">
        <f>HYPERLINK("https://klasma.github.io/Logging_0821/klagomålsmail/A 17994-2026 FSC-klagomål mail.docx", "A 17994-2026")</f>
        <v/>
      </c>
      <c r="AA42">
        <f>HYPERLINK("https://klasma.github.io/Logging_0821/tillsyn/A 17994-2026 tillsynsbegäran.docx", "A 17994-2026")</f>
        <v/>
      </c>
      <c r="AB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46220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HYPERLINK("https://klasma.github.io/Logging_0821/artfynd/A 19463-2026 artfynd.xlsx", "A 19463-2026")</f>
        <v/>
      </c>
      <c r="W43">
        <f>HYPERLINK("https://klasma.github.io/Logging_0821/kartor/A 19463-2026 karta.png", "A 19463-2026")</f>
        <v/>
      </c>
      <c r="Y43">
        <f>HYPERLINK("https://klasma.github.io/Logging_0821/klagomål/A 19463-2026 FSC-klagomål.docx", "A 19463-2026")</f>
        <v/>
      </c>
      <c r="Z43">
        <f>HYPERLINK("https://klasma.github.io/Logging_0821/klagomålsmail/A 19463-2026 FSC-klagomål mail.docx", "A 19463-2026")</f>
        <v/>
      </c>
      <c r="AA43">
        <f>HYPERLINK("https://klasma.github.io/Logging_0821/tillsyn/A 19463-2026 tillsynsbegäran.docx", "A 19463-2026")</f>
        <v/>
      </c>
      <c r="AB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46220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HYPERLINK("https://klasma.github.io/Logging_0821/artfynd/A 19536-2026 artfynd.xlsx", "A 19536-2026")</f>
        <v/>
      </c>
      <c r="W44">
        <f>HYPERLINK("https://klasma.github.io/Logging_0821/kartor/A 19536-2026 karta.png", "A 19536-2026")</f>
        <v/>
      </c>
      <c r="Y44">
        <f>HYPERLINK("https://klasma.github.io/Logging_0821/klagomål/A 19536-2026 FSC-klagomål.docx", "A 19536-2026")</f>
        <v/>
      </c>
      <c r="Z44">
        <f>HYPERLINK("https://klasma.github.io/Logging_0821/klagomålsmail/A 19536-2026 FSC-klagomål mail.docx", "A 19536-2026")</f>
        <v/>
      </c>
      <c r="AA44">
        <f>HYPERLINK("https://klasma.github.io/Logging_0821/tillsyn/A 19536-2026 tillsynsbegäran.docx", "A 19536-2026")</f>
        <v/>
      </c>
      <c r="AB44">
        <f>HYPERLINK("https://klasma.github.io/Logging_0821/tillsynsmail/A 19536-2026 tillsynsbegäran mail.docx", "A 19536-2026")</f>
        <v/>
      </c>
      <c r="AC44">
        <f>HYPERLINK("https://klasma.github.io/Logging_0821/fåglar/A 19536-2026 prioriterade fågelarter.docx", "A 19536-2026")</f>
        <v/>
      </c>
    </row>
    <row r="45" ht="15" customHeight="1">
      <c r="A45" t="inlineStr">
        <is>
          <t>A 26145-2026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46220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Gullviva</t>
        </is>
      </c>
      <c r="V45">
        <f>HYPERLINK("https://klasma.github.io/Logging_0821/artfynd/A 26145-2026 artfynd.xlsx", "A 26145-2026")</f>
        <v/>
      </c>
      <c r="W45">
        <f>HYPERLINK("https://klasma.github.io/Logging_0821/kartor/A 26145-2026 karta.png", "A 26145-2026")</f>
        <v/>
      </c>
      <c r="Y45">
        <f>HYPERLINK("https://klasma.github.io/Logging_0821/klagomål/A 26145-2026 FSC-klagomål.docx", "A 26145-2026")</f>
        <v/>
      </c>
      <c r="Z45">
        <f>HYPERLINK("https://klasma.github.io/Logging_0821/klagomålsmail/A 26145-2026 FSC-klagomål mail.docx", "A 26145-2026")</f>
        <v/>
      </c>
      <c r="AA45">
        <f>HYPERLINK("https://klasma.github.io/Logging_0821/tillsyn/A 26145-2026 tillsynsbegäran.docx", "A 26145-2026")</f>
        <v/>
      </c>
      <c r="AB45">
        <f>HYPERLINK("https://klasma.github.io/Logging_0821/tillsynsmail/A 26145-2026 tillsynsbegäran mail.docx", "A 26145-2026")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46220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Flikig tallfibbla</t>
        </is>
      </c>
      <c r="V46">
        <f>HYPERLINK("https://klasma.github.io/Logging_0821/artfynd/A 38267-2025 artfynd.xlsx", "A 38267-2025")</f>
        <v/>
      </c>
      <c r="W46">
        <f>HYPERLINK("https://klasma.github.io/Logging_0821/kartor/A 38267-2025 karta.png", "A 38267-2025")</f>
        <v/>
      </c>
      <c r="Y46">
        <f>HYPERLINK("https://klasma.github.io/Logging_0821/klagomål/A 38267-2025 FSC-klagomål.docx", "A 38267-2025")</f>
        <v/>
      </c>
      <c r="Z46">
        <f>HYPERLINK("https://klasma.github.io/Logging_0821/klagomålsmail/A 38267-2025 FSC-klagomål mail.docx", "A 38267-2025")</f>
        <v/>
      </c>
      <c r="AA46">
        <f>HYPERLINK("https://klasma.github.io/Logging_0821/tillsyn/A 38267-2025 tillsynsbegäran.docx", "A 38267-2025")</f>
        <v/>
      </c>
      <c r="AB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46220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Sotlav</t>
        </is>
      </c>
      <c r="V47">
        <f>HYPERLINK("https://klasma.github.io/Logging_0821/artfynd/A 24911-2023 artfynd.xlsx", "A 24911-2023")</f>
        <v/>
      </c>
      <c r="W47">
        <f>HYPERLINK("https://klasma.github.io/Logging_0821/kartor/A 24911-2023 karta.png", "A 24911-2023")</f>
        <v/>
      </c>
      <c r="Y47">
        <f>HYPERLINK("https://klasma.github.io/Logging_0821/klagomål/A 24911-2023 FSC-klagomål.docx", "A 24911-2023")</f>
        <v/>
      </c>
      <c r="Z47">
        <f>HYPERLINK("https://klasma.github.io/Logging_0821/klagomålsmail/A 24911-2023 FSC-klagomål mail.docx", "A 24911-2023")</f>
        <v/>
      </c>
      <c r="AA47">
        <f>HYPERLINK("https://klasma.github.io/Logging_0821/tillsyn/A 24911-2023 tillsynsbegäran.docx", "A 24911-2023")</f>
        <v/>
      </c>
      <c r="AB47">
        <f>HYPERLINK("https://klasma.github.io/Logging_0821/tillsynsmail/A 24911-2023 tillsynsbegäran mail.docx", "A 24911-2023")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46220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HYPERLINK("https://klasma.github.io/Logging_0821/artfynd/A 59700-2023 artfynd.xlsx", "A 59700-2023")</f>
        <v/>
      </c>
      <c r="W48">
        <f>HYPERLINK("https://klasma.github.io/Logging_0821/kartor/A 59700-2023 karta.png", "A 59700-2023")</f>
        <v/>
      </c>
      <c r="Y48">
        <f>HYPERLINK("https://klasma.github.io/Logging_0821/klagomål/A 59700-2023 FSC-klagomål.docx", "A 59700-2023")</f>
        <v/>
      </c>
      <c r="Z48">
        <f>HYPERLINK("https://klasma.github.io/Logging_0821/klagomålsmail/A 59700-2023 FSC-klagomål mail.docx", "A 59700-2023")</f>
        <v/>
      </c>
      <c r="AA48">
        <f>HYPERLINK("https://klasma.github.io/Logging_0821/tillsyn/A 59700-2023 tillsynsbegäran.docx", "A 59700-2023")</f>
        <v/>
      </c>
      <c r="AB48">
        <f>HYPERLINK("https://klasma.github.io/Logging_0821/tillsynsmail/A 59700-2023 tillsynsbegäran mail.docx", "A 59700-2023")</f>
        <v/>
      </c>
      <c r="AC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46220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Blåsippa</t>
        </is>
      </c>
      <c r="V49">
        <f>HYPERLINK("https://klasma.github.io/Logging_0821/artfynd/A 35072-2023 artfynd.xlsx", "A 35072-2023")</f>
        <v/>
      </c>
      <c r="W49">
        <f>HYPERLINK("https://klasma.github.io/Logging_0821/kartor/A 35072-2023 karta.png", "A 35072-2023")</f>
        <v/>
      </c>
      <c r="Y49">
        <f>HYPERLINK("https://klasma.github.io/Logging_0821/klagomål/A 35072-2023 FSC-klagomål.docx", "A 35072-2023")</f>
        <v/>
      </c>
      <c r="Z49">
        <f>HYPERLINK("https://klasma.github.io/Logging_0821/klagomålsmail/A 35072-2023 FSC-klagomål mail.docx", "A 35072-2023")</f>
        <v/>
      </c>
      <c r="AA49">
        <f>HYPERLINK("https://klasma.github.io/Logging_0821/tillsyn/A 35072-2023 tillsynsbegäran.docx", "A 35072-2023")</f>
        <v/>
      </c>
      <c r="AB49">
        <f>HYPERLINK("https://klasma.github.io/Logging_0821/tillsynsmail/A 35072-2023 tillsynsbegäran mail.docx", "A 35072-2023")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46220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Nattviol</t>
        </is>
      </c>
      <c r="V50">
        <f>HYPERLINK("https://klasma.github.io/Logging_0821/artfynd/A 27366-2026 artfynd.xlsx", "A 27366-2026")</f>
        <v/>
      </c>
      <c r="W50">
        <f>HYPERLINK("https://klasma.github.io/Logging_0821/kartor/A 27366-2026 karta.png", "A 27366-2026")</f>
        <v/>
      </c>
      <c r="Y50">
        <f>HYPERLINK("https://klasma.github.io/Logging_0821/klagomål/A 27366-2026 FSC-klagomål.docx", "A 27366-2026")</f>
        <v/>
      </c>
      <c r="Z50">
        <f>HYPERLINK("https://klasma.github.io/Logging_0821/klagomålsmail/A 27366-2026 FSC-klagomål mail.docx", "A 27366-2026")</f>
        <v/>
      </c>
      <c r="AA50">
        <f>HYPERLINK("https://klasma.github.io/Logging_0821/tillsyn/A 27366-2026 tillsynsbegäran.docx", "A 27366-2026")</f>
        <v/>
      </c>
      <c r="AB50">
        <f>HYPERLINK("https://klasma.github.io/Logging_0821/tillsynsmail/A 27366-2026 tillsynsbegäran mail.docx", "A 27366-2026")</f>
        <v/>
      </c>
    </row>
    <row r="51" ht="15" customHeight="1">
      <c r="A51" t="inlineStr">
        <is>
          <t>A 58792-2022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46220</v>
      </c>
      <c r="F51" t="inlineStr">
        <is>
          <t>KALMAR LÄN</t>
        </is>
      </c>
      <c r="G51" t="inlineStr">
        <is>
          <t>HÖGSBY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Nattviol</t>
        </is>
      </c>
      <c r="V51">
        <f>HYPERLINK("https://klasma.github.io/Logging_0821/artfynd/A 58792-2022 artfynd.xlsx", "A 58792-2022")</f>
        <v/>
      </c>
      <c r="W51">
        <f>HYPERLINK("https://klasma.github.io/Logging_0821/kartor/A 58792-2022 karta.png", "A 58792-2022")</f>
        <v/>
      </c>
      <c r="Y51">
        <f>HYPERLINK("https://klasma.github.io/Logging_0821/klagomål/A 58792-2022 FSC-klagomål.docx", "A 58792-2022")</f>
        <v/>
      </c>
      <c r="Z51">
        <f>HYPERLINK("https://klasma.github.io/Logging_0821/klagomålsmail/A 58792-2022 FSC-klagomål mail.docx", "A 58792-2022")</f>
        <v/>
      </c>
      <c r="AA51">
        <f>HYPERLINK("https://klasma.github.io/Logging_0821/tillsyn/A 58792-2022 tillsynsbegäran.docx", "A 58792-2022")</f>
        <v/>
      </c>
      <c r="AB51">
        <f>HYPERLINK("https://klasma.github.io/Logging_0821/tillsynsmail/A 58792-2022 tillsynsbegäran mail.docx", "A 58792-2022")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46220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HYPERLINK("https://klasma.github.io/Logging_0821/artfynd/A 28894-2026 artfynd.xlsx", "A 28894-2026")</f>
        <v/>
      </c>
      <c r="W52">
        <f>HYPERLINK("https://klasma.github.io/Logging_0821/kartor/A 28894-2026 karta.png", "A 28894-2026")</f>
        <v/>
      </c>
      <c r="Y52">
        <f>HYPERLINK("https://klasma.github.io/Logging_0821/klagomål/A 28894-2026 FSC-klagomål.docx", "A 28894-2026")</f>
        <v/>
      </c>
      <c r="Z52">
        <f>HYPERLINK("https://klasma.github.io/Logging_0821/klagomålsmail/A 28894-2026 FSC-klagomål mail.docx", "A 28894-2026")</f>
        <v/>
      </c>
      <c r="AA52">
        <f>HYPERLINK("https://klasma.github.io/Logging_0821/tillsyn/A 28894-2026 tillsynsbegäran.docx", "A 28894-2026")</f>
        <v/>
      </c>
      <c r="AB52">
        <f>HYPERLINK("https://klasma.github.io/Logging_0821/tillsynsmail/A 28894-2026 tillsynsbegäran mail.docx", "A 28894-2026")</f>
        <v/>
      </c>
      <c r="AC52">
        <f>HYPERLINK("https://klasma.github.io/Logging_0821/fåglar/A 28894-2026 prioriterade fågelarter.docx", "A 28894-2026")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46220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Nordfladdermus</t>
        </is>
      </c>
      <c r="V53">
        <f>HYPERLINK("https://klasma.github.io/Logging_0821/artfynd/A 52177-2022 artfynd.xlsx", "A 52177-2022")</f>
        <v/>
      </c>
      <c r="W53">
        <f>HYPERLINK("https://klasma.github.io/Logging_0821/kartor/A 52177-2022 karta.png", "A 52177-2022")</f>
        <v/>
      </c>
      <c r="Y53">
        <f>HYPERLINK("https://klasma.github.io/Logging_0821/klagomål/A 52177-2022 FSC-klagomål.docx", "A 52177-2022")</f>
        <v/>
      </c>
      <c r="Z53">
        <f>HYPERLINK("https://klasma.github.io/Logging_0821/klagomålsmail/A 52177-2022 FSC-klagomål mail.docx", "A 52177-2022")</f>
        <v/>
      </c>
      <c r="AA53">
        <f>HYPERLINK("https://klasma.github.io/Logging_0821/tillsyn/A 52177-2022 tillsynsbegäran.docx", "A 52177-2022")</f>
        <v/>
      </c>
      <c r="AB53">
        <f>HYPERLINK("https://klasma.github.io/Logging_0821/tillsynsmail/A 52177-2022 tillsynsbegäran mail.docx", "A 52177-2022")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46220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Gullklöver</t>
        </is>
      </c>
      <c r="V54">
        <f>HYPERLINK("https://klasma.github.io/Logging_0821/artfynd/A 30186-2026 artfynd.xlsx", "A 30186-2026")</f>
        <v/>
      </c>
      <c r="W54">
        <f>HYPERLINK("https://klasma.github.io/Logging_0821/kartor/A 30186-2026 karta.png", "A 30186-2026")</f>
        <v/>
      </c>
      <c r="Y54">
        <f>HYPERLINK("https://klasma.github.io/Logging_0821/klagomål/A 30186-2026 FSC-klagomål.docx", "A 30186-2026")</f>
        <v/>
      </c>
      <c r="Z54">
        <f>HYPERLINK("https://klasma.github.io/Logging_0821/klagomålsmail/A 30186-2026 FSC-klagomål mail.docx", "A 30186-2026")</f>
        <v/>
      </c>
      <c r="AA54">
        <f>HYPERLINK("https://klasma.github.io/Logging_0821/tillsyn/A 30186-2026 tillsynsbegäran.docx", "A 30186-2026")</f>
        <v/>
      </c>
      <c r="AB54">
        <f>HYPERLINK("https://klasma.github.io/Logging_0821/tillsynsmail/A 30186-2026 tillsynsbegäran mail.docx", "A 30186-2026")</f>
        <v/>
      </c>
    </row>
    <row r="55" ht="15" customHeight="1">
      <c r="A55" t="inlineStr">
        <is>
          <t>A 23859-2026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46167</v>
      </c>
      <c r="E55" s="1" t="n">
        <v>46220</v>
      </c>
      <c r="F55" t="inlineStr">
        <is>
          <t>KALMAR LÄN</t>
        </is>
      </c>
      <c r="G55" t="inlineStr">
        <is>
          <t>HÖGSBY</t>
        </is>
      </c>
      <c r="I55" t="n">
        <v>3.8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Rödlånke</t>
        </is>
      </c>
      <c r="V55">
        <f>HYPERLINK("https://klasma.github.io/Logging_0821/artfynd/A 23859-2026 artfynd.xlsx", "A 23859-2026")</f>
        <v/>
      </c>
      <c r="W55">
        <f>HYPERLINK("https://klasma.github.io/Logging_0821/kartor/A 23859-2026 karta.png", "A 23859-2026")</f>
        <v/>
      </c>
      <c r="Y55">
        <f>HYPERLINK("https://klasma.github.io/Logging_0821/klagomål/A 23859-2026 FSC-klagomål.docx", "A 23859-2026")</f>
        <v/>
      </c>
      <c r="Z55">
        <f>HYPERLINK("https://klasma.github.io/Logging_0821/klagomålsmail/A 23859-2026 FSC-klagomål mail.docx", "A 23859-2026")</f>
        <v/>
      </c>
      <c r="AA55">
        <f>HYPERLINK("https://klasma.github.io/Logging_0821/tillsyn/A 23859-2026 tillsynsbegäran.docx", "A 23859-2026")</f>
        <v/>
      </c>
      <c r="AB55">
        <f>HYPERLINK("https://klasma.github.io/Logging_0821/tillsynsmail/A 23859-2026 tillsynsbegäran mail.docx", "A 23859-2026")</f>
        <v/>
      </c>
    </row>
    <row r="56" ht="15" customHeight="1">
      <c r="A56" t="inlineStr">
        <is>
          <t>A 59407-2022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44907</v>
      </c>
      <c r="E56" s="1" t="n">
        <v>46220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Blåsippa</t>
        </is>
      </c>
      <c r="V56">
        <f>HYPERLINK("https://klasma.github.io/Logging_0821/artfynd/A 59407-2022 artfynd.xlsx", "A 59407-2022")</f>
        <v/>
      </c>
      <c r="W56">
        <f>HYPERLINK("https://klasma.github.io/Logging_0821/kartor/A 59407-2022 karta.png", "A 59407-2022")</f>
        <v/>
      </c>
      <c r="Y56">
        <f>HYPERLINK("https://klasma.github.io/Logging_0821/klagomål/A 59407-2022 FSC-klagomål.docx", "A 59407-2022")</f>
        <v/>
      </c>
      <c r="Z56">
        <f>HYPERLINK("https://klasma.github.io/Logging_0821/klagomålsmail/A 59407-2022 FSC-klagomål mail.docx", "A 59407-2022")</f>
        <v/>
      </c>
      <c r="AA56">
        <f>HYPERLINK("https://klasma.github.io/Logging_0821/tillsyn/A 59407-2022 tillsynsbegäran.docx", "A 59407-2022")</f>
        <v/>
      </c>
      <c r="AB56">
        <f>HYPERLINK("https://klasma.github.io/Logging_0821/tillsynsmail/A 59407-2022 tillsynsbegäran mail.docx", "A 59407-2022")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46220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HYPERLINK("https://klasma.github.io/Logging_0821/artfynd/A 30800-2026 artfynd.xlsx", "A 30800-2026")</f>
        <v/>
      </c>
      <c r="W57">
        <f>HYPERLINK("https://klasma.github.io/Logging_0821/kartor/A 30800-2026 karta.png", "A 30800-2026")</f>
        <v/>
      </c>
      <c r="Y57">
        <f>HYPERLINK("https://klasma.github.io/Logging_0821/klagomål/A 30800-2026 FSC-klagomål.docx", "A 30800-2026")</f>
        <v/>
      </c>
      <c r="Z57">
        <f>HYPERLINK("https://klasma.github.io/Logging_0821/klagomålsmail/A 30800-2026 FSC-klagomål mail.docx", "A 30800-2026")</f>
        <v/>
      </c>
      <c r="AA57">
        <f>HYPERLINK("https://klasma.github.io/Logging_0821/tillsyn/A 30800-2026 tillsynsbegäran.docx", "A 30800-2026")</f>
        <v/>
      </c>
      <c r="AB57">
        <f>HYPERLINK("https://klasma.github.io/Logging_0821/tillsynsmail/A 30800-2026 tillsynsbegäran mail.docx", "A 30800-2026")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46220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Dropptaggsvamp</t>
        </is>
      </c>
      <c r="V58">
        <f>HYPERLINK("https://klasma.github.io/Logging_0821/artfynd/A 19519-2025 artfynd.xlsx", "A 19519-2025")</f>
        <v/>
      </c>
      <c r="W58">
        <f>HYPERLINK("https://klasma.github.io/Logging_0821/kartor/A 19519-2025 karta.png", "A 19519-2025")</f>
        <v/>
      </c>
      <c r="Y58">
        <f>HYPERLINK("https://klasma.github.io/Logging_0821/klagomål/A 19519-2025 FSC-klagomål.docx", "A 19519-2025")</f>
        <v/>
      </c>
      <c r="Z58">
        <f>HYPERLINK("https://klasma.github.io/Logging_0821/klagomålsmail/A 19519-2025 FSC-klagomål mail.docx", "A 19519-2025")</f>
        <v/>
      </c>
      <c r="AA58">
        <f>HYPERLINK("https://klasma.github.io/Logging_0821/tillsyn/A 19519-2025 tillsynsbegäran.docx", "A 19519-2025")</f>
        <v/>
      </c>
      <c r="AB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46220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HYPERLINK("https://klasma.github.io/Logging_0821/artfynd/S 352-2023 artfynd.xlsx", "S 352-2023")</f>
        <v/>
      </c>
      <c r="W59">
        <f>HYPERLINK("https://klasma.github.io/Logging_0821/kartor/S 352-2023 karta.png", "S 352-2023")</f>
        <v/>
      </c>
      <c r="X59">
        <f>HYPERLINK("https://klasma.github.io/Logging_0821/knärot/S 352-2023 karta knärot.png", "S 352-2023")</f>
        <v/>
      </c>
      <c r="Y59">
        <f>HYPERLINK("https://klasma.github.io/Logging_0821/klagomål/S 352-2023 FSC-klagomål.docx", "S 352-2023")</f>
        <v/>
      </c>
      <c r="Z59">
        <f>HYPERLINK("https://klasma.github.io/Logging_0821/klagomålsmail/S 352-2023 FSC-klagomål mail.docx", "S 352-2023")</f>
        <v/>
      </c>
      <c r="AA59">
        <f>HYPERLINK("https://klasma.github.io/Logging_0821/tillsyn/S 352-2023 tillsynsbegäran.docx", "S 352-2023")</f>
        <v/>
      </c>
      <c r="AB59">
        <f>HYPERLINK("https://klasma.github.io/Logging_0821/tillsynsmail/S 352-2023 tillsynsbegäran mail.docx", "S 352-2023")</f>
        <v/>
      </c>
      <c r="AC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46220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Mistel</t>
        </is>
      </c>
      <c r="V60">
        <f>HYPERLINK("https://klasma.github.io/Logging_0821/artfynd/S 1694-2022 artfynd.xlsx", "S 1694-2022")</f>
        <v/>
      </c>
      <c r="W60">
        <f>HYPERLINK("https://klasma.github.io/Logging_0821/kartor/S 1694-2022 karta.png", "S 1694-2022")</f>
        <v/>
      </c>
      <c r="Y60">
        <f>HYPERLINK("https://klasma.github.io/Logging_0821/klagomål/S 1694-2022 FSC-klagomål.docx", "S 1694-2022")</f>
        <v/>
      </c>
      <c r="Z60">
        <f>HYPERLINK("https://klasma.github.io/Logging_0821/klagomålsmail/S 1694-2022 FSC-klagomål mail.docx", "S 1694-2022")</f>
        <v/>
      </c>
      <c r="AA60">
        <f>HYPERLINK("https://klasma.github.io/Logging_0821/tillsyn/S 1694-2022 tillsynsbegäran.docx", "S 1694-2022")</f>
        <v/>
      </c>
      <c r="AB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46220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Ögonpyrola</t>
        </is>
      </c>
      <c r="V61">
        <f>HYPERLINK("https://klasma.github.io/Logging_0821/artfynd/S 771-2022 artfynd.xlsx", "S 771-2022")</f>
        <v/>
      </c>
      <c r="W61">
        <f>HYPERLINK("https://klasma.github.io/Logging_0821/kartor/S 771-2022 karta.png", "S 771-2022")</f>
        <v/>
      </c>
      <c r="Y61">
        <f>HYPERLINK("https://klasma.github.io/Logging_0821/klagomål/S 771-2022 FSC-klagomål.docx", "S 771-2022")</f>
        <v/>
      </c>
      <c r="Z61">
        <f>HYPERLINK("https://klasma.github.io/Logging_0821/klagomålsmail/S 771-2022 FSC-klagomål mail.docx", "S 771-2022")</f>
        <v/>
      </c>
      <c r="AA61">
        <f>HYPERLINK("https://klasma.github.io/Logging_0821/tillsyn/S 771-2022 tillsynsbegäran.docx", "S 771-2022")</f>
        <v/>
      </c>
      <c r="AB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46220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46220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46220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46220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46220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46220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46220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46220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46220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46220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46220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46220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46220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46220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46220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46220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46220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46220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46220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46220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46220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46220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46220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46220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46220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46220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46220</v>
      </c>
      <c r="F89" t="inlineStr">
        <is>
          <t>KALMAR LÄN</t>
        </is>
      </c>
      <c r="G89" t="inlineStr">
        <is>
          <t>HÖGSBY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46220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46220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46220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46220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46220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46220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46220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46220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46220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46220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46220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46220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46220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46220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46220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46220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46220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46220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74478-2021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46220</v>
      </c>
      <c r="F108" t="inlineStr">
        <is>
          <t>KALMAR LÄN</t>
        </is>
      </c>
      <c r="G108" t="inlineStr">
        <is>
          <t>HÖGSBY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46220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46220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46220</v>
      </c>
      <c r="F111" t="inlineStr">
        <is>
          <t>KALMAR LÄN</t>
        </is>
      </c>
      <c r="G111" t="inlineStr">
        <is>
          <t>HÖGSBY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46220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46220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46220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46220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13308-2024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46220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46220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18099-2023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46220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24378-2025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45797</v>
      </c>
      <c r="E119" s="1" t="n">
        <v>46220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12210-2025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46220</v>
      </c>
      <c r="F120" t="inlineStr">
        <is>
          <t>KALMAR LÄN</t>
        </is>
      </c>
      <c r="G120" t="inlineStr">
        <is>
          <t>HÖGSBY</t>
        </is>
      </c>
      <c r="I120" t="n">
        <v>11.5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24013-2025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46220</v>
      </c>
      <c r="F121" t="inlineStr">
        <is>
          <t>KALMAR LÄN</t>
        </is>
      </c>
      <c r="G121" t="inlineStr">
        <is>
          <t>HÖGSBY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25223-2022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46220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45688</v>
      </c>
      <c r="E123" s="1" t="n">
        <v>46220</v>
      </c>
      <c r="F123" t="inlineStr">
        <is>
          <t>KALMAR LÄN</t>
        </is>
      </c>
      <c r="G123" t="inlineStr">
        <is>
          <t>HÖGSBY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8108-2025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46220</v>
      </c>
      <c r="F124" t="inlineStr">
        <is>
          <t>KALMAR LÄN</t>
        </is>
      </c>
      <c r="G124" t="inlineStr">
        <is>
          <t>HÖGSBY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38520-2023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46220</v>
      </c>
      <c r="F125" t="inlineStr">
        <is>
          <t>KALMAR LÄN</t>
        </is>
      </c>
      <c r="G125" t="inlineStr">
        <is>
          <t>HÖGSBY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46220</v>
      </c>
      <c r="F126" t="inlineStr">
        <is>
          <t>KALMAR LÄN</t>
        </is>
      </c>
      <c r="G126" t="inlineStr">
        <is>
          <t>HÖGSBY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46220</v>
      </c>
      <c r="F127" t="inlineStr">
        <is>
          <t>KALMAR LÄN</t>
        </is>
      </c>
      <c r="G127" t="inlineStr">
        <is>
          <t>HÖGSBY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57000-2024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45626</v>
      </c>
      <c r="E128" s="1" t="n">
        <v>46220</v>
      </c>
      <c r="F128" t="inlineStr">
        <is>
          <t>KALMAR LÄN</t>
        </is>
      </c>
      <c r="G128" t="inlineStr">
        <is>
          <t>HÖGSBY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11478-2023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44991</v>
      </c>
      <c r="E129" s="1" t="n">
        <v>46220</v>
      </c>
      <c r="F129" t="inlineStr">
        <is>
          <t>KALMAR LÄN</t>
        </is>
      </c>
      <c r="G129" t="inlineStr">
        <is>
          <t>HÖGSBY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10413-2023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46220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49338-2022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46220</v>
      </c>
      <c r="F131" t="inlineStr">
        <is>
          <t>KALMAR LÄN</t>
        </is>
      </c>
      <c r="G131" t="inlineStr">
        <is>
          <t>HÖGSBY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32632-2025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46220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40155-2023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46220</v>
      </c>
      <c r="F133" t="inlineStr">
        <is>
          <t>KALMAR LÄN</t>
        </is>
      </c>
      <c r="G133" t="inlineStr">
        <is>
          <t>HÖGSBY</t>
        </is>
      </c>
      <c r="H133" t="inlineStr">
        <is>
          <t>Kommuner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51619-2023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46220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46220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44623</v>
      </c>
      <c r="E136" s="1" t="n">
        <v>46220</v>
      </c>
      <c r="F136" t="inlineStr">
        <is>
          <t>KALMAR LÄN</t>
        </is>
      </c>
      <c r="G136" t="inlineStr">
        <is>
          <t>HÖGSBY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38608-2024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46220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46220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46220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55703-2023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46220</v>
      </c>
      <c r="F140" t="inlineStr">
        <is>
          <t>KALMAR LÄN</t>
        </is>
      </c>
      <c r="G140" t="inlineStr">
        <is>
          <t>HÖGSBY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17185-2022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44677</v>
      </c>
      <c r="E141" s="1" t="n">
        <v>46220</v>
      </c>
      <c r="F141" t="inlineStr">
        <is>
          <t>KALMAR LÄN</t>
        </is>
      </c>
      <c r="G141" t="inlineStr">
        <is>
          <t>HÖGSBY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58753-2022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46220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16014-2025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46220</v>
      </c>
      <c r="F143" t="inlineStr">
        <is>
          <t>KALMAR LÄN</t>
        </is>
      </c>
      <c r="G143" t="inlineStr">
        <is>
          <t>HÖGSBY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44437-2023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46220</v>
      </c>
      <c r="F144" t="inlineStr">
        <is>
          <t>KALMAR LÄN</t>
        </is>
      </c>
      <c r="G144" t="inlineStr">
        <is>
          <t>HÖGSBY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25861-2023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46220</v>
      </c>
      <c r="F145" t="inlineStr">
        <is>
          <t>KALMAR LÄN</t>
        </is>
      </c>
      <c r="G145" t="inlineStr">
        <is>
          <t>HÖGSBY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25876-2023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46220</v>
      </c>
      <c r="F146" t="inlineStr">
        <is>
          <t>KALMAR LÄN</t>
        </is>
      </c>
      <c r="G146" t="inlineStr">
        <is>
          <t>HÖGSBY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45835-2025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45923</v>
      </c>
      <c r="E147" s="1" t="n">
        <v>46220</v>
      </c>
      <c r="F147" t="inlineStr">
        <is>
          <t>KALMAR LÄN</t>
        </is>
      </c>
      <c r="G147" t="inlineStr">
        <is>
          <t>HÖGSBY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35723-2024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46220</v>
      </c>
      <c r="F148" t="inlineStr">
        <is>
          <t>KALMAR LÄN</t>
        </is>
      </c>
      <c r="G148" t="inlineStr">
        <is>
          <t>HÖGSBY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46220</v>
      </c>
      <c r="F149" t="inlineStr">
        <is>
          <t>KALMAR LÄN</t>
        </is>
      </c>
      <c r="G149" t="inlineStr">
        <is>
          <t>HÖGSBY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46220</v>
      </c>
      <c r="F150" t="inlineStr">
        <is>
          <t>KALMAR LÄN</t>
        </is>
      </c>
      <c r="G150" t="inlineStr">
        <is>
          <t>HÖGSBY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34579-2025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45847</v>
      </c>
      <c r="E151" s="1" t="n">
        <v>46220</v>
      </c>
      <c r="F151" t="inlineStr">
        <is>
          <t>KALMAR LÄN</t>
        </is>
      </c>
      <c r="G151" t="inlineStr">
        <is>
          <t>HÖGSBY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9700-2023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46220</v>
      </c>
      <c r="F152" t="inlineStr">
        <is>
          <t>KALMAR LÄN</t>
        </is>
      </c>
      <c r="G152" t="inlineStr">
        <is>
          <t>HÖGSBY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40135-2024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46220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44436-2023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46220</v>
      </c>
      <c r="F154" t="inlineStr">
        <is>
          <t>KALMAR LÄN</t>
        </is>
      </c>
      <c r="G154" t="inlineStr">
        <is>
          <t>HÖGSBY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46220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36909-2023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45154</v>
      </c>
      <c r="E156" s="1" t="n">
        <v>46220</v>
      </c>
      <c r="F156" t="inlineStr">
        <is>
          <t>KALMAR LÄN</t>
        </is>
      </c>
      <c r="G156" t="inlineStr">
        <is>
          <t>HÖGSBY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46220</v>
      </c>
      <c r="F157" t="inlineStr">
        <is>
          <t>KALMAR LÄN</t>
        </is>
      </c>
      <c r="G157" t="inlineStr">
        <is>
          <t>HÖGSBY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12757-2023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46220</v>
      </c>
      <c r="F158" t="inlineStr">
        <is>
          <t>KALMAR LÄN</t>
        </is>
      </c>
      <c r="G158" t="inlineStr">
        <is>
          <t>HÖGSBY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38068-2025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45882</v>
      </c>
      <c r="E159" s="1" t="n">
        <v>46220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14326-2025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45740</v>
      </c>
      <c r="E160" s="1" t="n">
        <v>46220</v>
      </c>
      <c r="F160" t="inlineStr">
        <is>
          <t>KALMAR LÄN</t>
        </is>
      </c>
      <c r="G160" t="inlineStr">
        <is>
          <t>HÖGSBY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32049-2023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45119</v>
      </c>
      <c r="E161" s="1" t="n">
        <v>46220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50947-2025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46220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46220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46220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7678-2024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45348</v>
      </c>
      <c r="E165" s="1" t="n">
        <v>46220</v>
      </c>
      <c r="F165" t="inlineStr">
        <is>
          <t>KALMAR LÄN</t>
        </is>
      </c>
      <c r="G165" t="inlineStr">
        <is>
          <t>HÖGSBY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51720-2025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46220</v>
      </c>
      <c r="F166" t="inlineStr">
        <is>
          <t>KALMAR LÄN</t>
        </is>
      </c>
      <c r="G166" t="inlineStr">
        <is>
          <t>HÖGSBY</t>
        </is>
      </c>
      <c r="I166" t="n">
        <v>12.8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38824-2024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45547</v>
      </c>
      <c r="E167" s="1" t="n">
        <v>46220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45176</v>
      </c>
      <c r="E168" s="1" t="n">
        <v>46220</v>
      </c>
      <c r="F168" t="inlineStr">
        <is>
          <t>KALMAR LÄN</t>
        </is>
      </c>
      <c r="G168" t="inlineStr">
        <is>
          <t>HÖGSBY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39235-2021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44413</v>
      </c>
      <c r="E169" s="1" t="n">
        <v>46220</v>
      </c>
      <c r="F169" t="inlineStr">
        <is>
          <t>KALMAR LÄN</t>
        </is>
      </c>
      <c r="G169" t="inlineStr">
        <is>
          <t>HÖGSBY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22688-2025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46220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46220</v>
      </c>
      <c r="F171" t="inlineStr">
        <is>
          <t>KALMAR LÄN</t>
        </is>
      </c>
      <c r="G171" t="inlineStr">
        <is>
          <t>HÖGSBY</t>
        </is>
      </c>
      <c r="H171" t="inlineStr">
        <is>
          <t>Kyrkan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46220</v>
      </c>
      <c r="F172" t="inlineStr">
        <is>
          <t>KALMAR LÄN</t>
        </is>
      </c>
      <c r="G172" t="inlineStr">
        <is>
          <t>HÖGSBY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28648-2023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45103</v>
      </c>
      <c r="E173" s="1" t="n">
        <v>46220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52545-2025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46220</v>
      </c>
      <c r="F174" t="inlineStr">
        <is>
          <t>KALMAR LÄN</t>
        </is>
      </c>
      <c r="G174" t="inlineStr">
        <is>
          <t>HÖGSBY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54735-2025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46220</v>
      </c>
      <c r="F175" t="inlineStr">
        <is>
          <t>KALMAR LÄN</t>
        </is>
      </c>
      <c r="G175" t="inlineStr">
        <is>
          <t>HÖGSBY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73709-2021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46220</v>
      </c>
      <c r="F176" t="inlineStr">
        <is>
          <t>KALMAR LÄN</t>
        </is>
      </c>
      <c r="G176" t="inlineStr">
        <is>
          <t>HÖGSBY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7166-2026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46220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46220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58679-2022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46220</v>
      </c>
      <c r="F179" t="inlineStr">
        <is>
          <t>KALMAR LÄN</t>
        </is>
      </c>
      <c r="G179" t="inlineStr">
        <is>
          <t>HÖGSBY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46220</v>
      </c>
      <c r="F180" t="inlineStr">
        <is>
          <t>KALMAR LÄN</t>
        </is>
      </c>
      <c r="G180" t="inlineStr">
        <is>
          <t>HÖGSBY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46220</v>
      </c>
      <c r="F181" t="inlineStr">
        <is>
          <t>KALMAR LÄN</t>
        </is>
      </c>
      <c r="G181" t="inlineStr">
        <is>
          <t>HÖGSBY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7443-2026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46059</v>
      </c>
      <c r="E182" s="1" t="n">
        <v>46220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60446-2023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46220</v>
      </c>
      <c r="F183" t="inlineStr">
        <is>
          <t>KALMAR LÄN</t>
        </is>
      </c>
      <c r="G183" t="inlineStr">
        <is>
          <t>HÖGSBY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6819-2025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46220</v>
      </c>
      <c r="F184" t="inlineStr">
        <is>
          <t>KALMAR LÄN</t>
        </is>
      </c>
      <c r="G184" t="inlineStr">
        <is>
          <t>HÖGSBY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6828-2025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46220</v>
      </c>
      <c r="F185" t="inlineStr">
        <is>
          <t>KALMAR LÄN</t>
        </is>
      </c>
      <c r="G185" t="inlineStr">
        <is>
          <t>HÖGSBY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58017-2025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45982</v>
      </c>
      <c r="E186" s="1" t="n">
        <v>46220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56705-2023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46220</v>
      </c>
      <c r="F187" t="inlineStr">
        <is>
          <t>KALMAR LÄN</t>
        </is>
      </c>
      <c r="G187" t="inlineStr">
        <is>
          <t>HÖGSBY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28650-2023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46220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38597-2024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46220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46220</v>
      </c>
      <c r="F190" t="inlineStr">
        <is>
          <t>KALMAR LÄN</t>
        </is>
      </c>
      <c r="G190" t="inlineStr">
        <is>
          <t>HÖGSBY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44586</v>
      </c>
      <c r="E191" s="1" t="n">
        <v>46220</v>
      </c>
      <c r="F191" t="inlineStr">
        <is>
          <t>KALMAR LÄN</t>
        </is>
      </c>
      <c r="G191" t="inlineStr">
        <is>
          <t>HÖGSBY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46220</v>
      </c>
      <c r="F192" t="inlineStr">
        <is>
          <t>KALMAR LÄN</t>
        </is>
      </c>
      <c r="G192" t="inlineStr">
        <is>
          <t>HÖGSBY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46220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46220</v>
      </c>
      <c r="F194" t="inlineStr">
        <is>
          <t>KALMAR LÄN</t>
        </is>
      </c>
      <c r="G194" t="inlineStr">
        <is>
          <t>HÖGSBY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61481-2025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46001</v>
      </c>
      <c r="E195" s="1" t="n">
        <v>46220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61484-2025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46001</v>
      </c>
      <c r="E196" s="1" t="n">
        <v>46220</v>
      </c>
      <c r="F196" t="inlineStr">
        <is>
          <t>KALMAR LÄN</t>
        </is>
      </c>
      <c r="G196" t="inlineStr">
        <is>
          <t>HÖGSBY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61021-2025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46220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61030-2025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46220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61031-2025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46220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61028-2025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46220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61029-2025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46220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40990-2023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45173</v>
      </c>
      <c r="E202" s="1" t="n">
        <v>46220</v>
      </c>
      <c r="F202" t="inlineStr">
        <is>
          <t>KALMAR LÄN</t>
        </is>
      </c>
      <c r="G202" t="inlineStr">
        <is>
          <t>HÖGSBY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71635-2021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46220</v>
      </c>
      <c r="F203" t="inlineStr">
        <is>
          <t>KALMAR LÄN</t>
        </is>
      </c>
      <c r="G203" t="inlineStr">
        <is>
          <t>HÖGSBY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53108-2023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45228</v>
      </c>
      <c r="E204" s="1" t="n">
        <v>46220</v>
      </c>
      <c r="F204" t="inlineStr">
        <is>
          <t>KALMAR LÄN</t>
        </is>
      </c>
      <c r="G204" t="inlineStr">
        <is>
          <t>HÖGSBY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62563-2025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46220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46220</v>
      </c>
      <c r="F206" t="inlineStr">
        <is>
          <t>KALMAR LÄN</t>
        </is>
      </c>
      <c r="G206" t="inlineStr">
        <is>
          <t>HÖGSBY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55902-2024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46220</v>
      </c>
      <c r="F207" t="inlineStr">
        <is>
          <t>KALMAR LÄN</t>
        </is>
      </c>
      <c r="G207" t="inlineStr">
        <is>
          <t>HÖGSBY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62720-2025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46008</v>
      </c>
      <c r="E208" s="1" t="n">
        <v>46220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62722-2025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46008</v>
      </c>
      <c r="E209" s="1" t="n">
        <v>46220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46220</v>
      </c>
      <c r="F210" t="inlineStr">
        <is>
          <t>KALMAR LÄN</t>
        </is>
      </c>
      <c r="G210" t="inlineStr">
        <is>
          <t>HÖGSBY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46220</v>
      </c>
      <c r="F211" t="inlineStr">
        <is>
          <t>KALMAR LÄN</t>
        </is>
      </c>
      <c r="G211" t="inlineStr">
        <is>
          <t>HÖGSBY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11343-2023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46220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11029-2026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46220</v>
      </c>
      <c r="F213" t="inlineStr">
        <is>
          <t>KALMAR LÄN</t>
        </is>
      </c>
      <c r="G213" t="inlineStr">
        <is>
          <t>HÖGSBY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7325-2025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45702</v>
      </c>
      <c r="E214" s="1" t="n">
        <v>46220</v>
      </c>
      <c r="F214" t="inlineStr">
        <is>
          <t>KALMAR LÄN</t>
        </is>
      </c>
      <c r="G214" t="inlineStr">
        <is>
          <t>HÖGSBY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24292-2022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44725</v>
      </c>
      <c r="E215" s="1" t="n">
        <v>46220</v>
      </c>
      <c r="F215" t="inlineStr">
        <is>
          <t>KALMAR LÄN</t>
        </is>
      </c>
      <c r="G215" t="inlineStr">
        <is>
          <t>HÖGSBY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10704-2022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46220</v>
      </c>
      <c r="F216" t="inlineStr">
        <is>
          <t>KALMAR LÄN</t>
        </is>
      </c>
      <c r="G216" t="inlineStr">
        <is>
          <t>HÖGSBY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10706-2022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44625</v>
      </c>
      <c r="E217" s="1" t="n">
        <v>46220</v>
      </c>
      <c r="F217" t="inlineStr">
        <is>
          <t>KALMAR LÄN</t>
        </is>
      </c>
      <c r="G217" t="inlineStr">
        <is>
          <t>HÖGSBY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47859-2023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46220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46220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46220</v>
      </c>
      <c r="F220" t="inlineStr">
        <is>
          <t>KALMAR LÄN</t>
        </is>
      </c>
      <c r="G220" t="inlineStr">
        <is>
          <t>HÖGSBY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50727-2023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46220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14273-2024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45393</v>
      </c>
      <c r="E222" s="1" t="n">
        <v>46220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37320-2022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44809</v>
      </c>
      <c r="E223" s="1" t="n">
        <v>46220</v>
      </c>
      <c r="F223" t="inlineStr">
        <is>
          <t>KALMAR LÄN</t>
        </is>
      </c>
      <c r="G223" t="inlineStr">
        <is>
          <t>HÖGSBY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9424-2023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46220</v>
      </c>
      <c r="F224" t="inlineStr">
        <is>
          <t>KALMAR LÄN</t>
        </is>
      </c>
      <c r="G224" t="inlineStr">
        <is>
          <t>HÖGSBY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17216-2023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46220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14894-2025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45743</v>
      </c>
      <c r="E226" s="1" t="n">
        <v>46220</v>
      </c>
      <c r="F226" t="inlineStr">
        <is>
          <t>KALMAR LÄN</t>
        </is>
      </c>
      <c r="G226" t="inlineStr">
        <is>
          <t>HÖGSBY</t>
        </is>
      </c>
      <c r="H226" t="inlineStr">
        <is>
          <t>Kommuner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46220</v>
      </c>
      <c r="F227" t="inlineStr">
        <is>
          <t>KALMAR LÄN</t>
        </is>
      </c>
      <c r="G227" t="inlineStr">
        <is>
          <t>HÖGSBY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58045-2023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45247</v>
      </c>
      <c r="E228" s="1" t="n">
        <v>46220</v>
      </c>
      <c r="F228" t="inlineStr">
        <is>
          <t>KALMAR LÄN</t>
        </is>
      </c>
      <c r="G228" t="inlineStr">
        <is>
          <t>HÖGSBY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49485-2022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44861</v>
      </c>
      <c r="E229" s="1" t="n">
        <v>46220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15864-2026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46220</v>
      </c>
      <c r="F230" t="inlineStr">
        <is>
          <t>KALMAR LÄN</t>
        </is>
      </c>
      <c r="G230" t="inlineStr">
        <is>
          <t>HÖGSBY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16207-2026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46220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16342-2026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46220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17250-2024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46220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17090-2026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46220</v>
      </c>
      <c r="F234" t="inlineStr">
        <is>
          <t>KALMAR LÄN</t>
        </is>
      </c>
      <c r="G234" t="inlineStr">
        <is>
          <t>HÖGSBY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35047-2023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46220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46220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27916-2023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46220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46220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22544-2023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46220</v>
      </c>
      <c r="F239" t="inlineStr">
        <is>
          <t>KALMAR LÄN</t>
        </is>
      </c>
      <c r="G239" t="inlineStr">
        <is>
          <t>HÖGSBY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46220</v>
      </c>
      <c r="F240" t="inlineStr">
        <is>
          <t>KALMAR LÄN</t>
        </is>
      </c>
      <c r="G240" t="inlineStr">
        <is>
          <t>HÖGSBY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53413-2024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46220</v>
      </c>
      <c r="F241" t="inlineStr">
        <is>
          <t>KALMAR LÄN</t>
        </is>
      </c>
      <c r="G241" t="inlineStr">
        <is>
          <t>HÖGSBY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17934-2026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46220</v>
      </c>
      <c r="F242" t="inlineStr">
        <is>
          <t>KALMAR LÄN</t>
        </is>
      </c>
      <c r="G242" t="inlineStr">
        <is>
          <t>HÖGSBY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46220</v>
      </c>
      <c r="F243" t="inlineStr">
        <is>
          <t>KALMAR LÄN</t>
        </is>
      </c>
      <c r="G243" t="inlineStr">
        <is>
          <t>HÖGSBY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31707-2023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46220</v>
      </c>
      <c r="F244" t="inlineStr">
        <is>
          <t>KALMAR LÄN</t>
        </is>
      </c>
      <c r="G244" t="inlineStr">
        <is>
          <t>HÖGSBY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57006-2024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45626</v>
      </c>
      <c r="E245" s="1" t="n">
        <v>46220</v>
      </c>
      <c r="F245" t="inlineStr">
        <is>
          <t>KALMAR LÄN</t>
        </is>
      </c>
      <c r="G245" t="inlineStr">
        <is>
          <t>HÖGSBY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52117-2024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46220</v>
      </c>
      <c r="F246" t="inlineStr">
        <is>
          <t>KALMAR LÄN</t>
        </is>
      </c>
      <c r="G246" t="inlineStr">
        <is>
          <t>HÖGSBY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60853-2021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44496</v>
      </c>
      <c r="E247" s="1" t="n">
        <v>46220</v>
      </c>
      <c r="F247" t="inlineStr">
        <is>
          <t>KALMAR LÄN</t>
        </is>
      </c>
      <c r="G247" t="inlineStr">
        <is>
          <t>HÖGSBY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53129-2022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44876</v>
      </c>
      <c r="E248" s="1" t="n">
        <v>46220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19484-2026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46220</v>
      </c>
      <c r="F249" t="inlineStr">
        <is>
          <t>KALMAR LÄN</t>
        </is>
      </c>
      <c r="G249" t="inlineStr">
        <is>
          <t>HÖGSBY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43544-2025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46220</v>
      </c>
      <c r="F250" t="inlineStr">
        <is>
          <t>KALMAR LÄN</t>
        </is>
      </c>
      <c r="G250" t="inlineStr">
        <is>
          <t>HÖGSBY</t>
        </is>
      </c>
      <c r="H250" t="inlineStr">
        <is>
          <t>Kommuner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16766-2025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46220</v>
      </c>
      <c r="F251" t="inlineStr">
        <is>
          <t>KALMAR LÄN</t>
        </is>
      </c>
      <c r="G251" t="inlineStr">
        <is>
          <t>HÖGSBY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63379-2023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46220</v>
      </c>
      <c r="F252" t="inlineStr">
        <is>
          <t>KALMAR LÄN</t>
        </is>
      </c>
      <c r="G252" t="inlineStr">
        <is>
          <t>HÖGSBY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54238-2021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44470</v>
      </c>
      <c r="E253" s="1" t="n">
        <v>46220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63508-2025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46220</v>
      </c>
      <c r="F254" t="inlineStr">
        <is>
          <t>KALMAR LÄN</t>
        </is>
      </c>
      <c r="G254" t="inlineStr">
        <is>
          <t>HÖGSBY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17864-2025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46220</v>
      </c>
      <c r="F255" t="inlineStr">
        <is>
          <t>KALMAR LÄN</t>
        </is>
      </c>
      <c r="G255" t="inlineStr">
        <is>
          <t>HÖGSBY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44865-2023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46220</v>
      </c>
      <c r="F256" t="inlineStr">
        <is>
          <t>KALMAR LÄN</t>
        </is>
      </c>
      <c r="G256" t="inlineStr">
        <is>
          <t>HÖGSBY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11694-2025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46220</v>
      </c>
      <c r="F257" t="inlineStr">
        <is>
          <t>KALMAR LÄN</t>
        </is>
      </c>
      <c r="G257" t="inlineStr">
        <is>
          <t>HÖGSBY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23887-2025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46220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26109-2026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46220</v>
      </c>
      <c r="F259" t="inlineStr">
        <is>
          <t>KALMAR LÄN</t>
        </is>
      </c>
      <c r="G259" t="inlineStr">
        <is>
          <t>HÖGSBY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39237-2021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44413</v>
      </c>
      <c r="E260" s="1" t="n">
        <v>46220</v>
      </c>
      <c r="F260" t="inlineStr">
        <is>
          <t>KALMAR LÄN</t>
        </is>
      </c>
      <c r="G260" t="inlineStr">
        <is>
          <t>HÖGSBY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46220</v>
      </c>
      <c r="F261" t="inlineStr">
        <is>
          <t>KALMAR LÄN</t>
        </is>
      </c>
      <c r="G261" t="inlineStr">
        <is>
          <t>HÖGSBY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13808-2024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45391</v>
      </c>
      <c r="E262" s="1" t="n">
        <v>46220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46220</v>
      </c>
      <c r="F263" t="inlineStr">
        <is>
          <t>KALMAR LÄN</t>
        </is>
      </c>
      <c r="G263" t="inlineStr">
        <is>
          <t>HÖGSBY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8116-2025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46220</v>
      </c>
      <c r="F264" t="inlineStr">
        <is>
          <t>KALMAR LÄN</t>
        </is>
      </c>
      <c r="G264" t="inlineStr">
        <is>
          <t>HÖGSBY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51724-2025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46220</v>
      </c>
      <c r="F265" t="inlineStr">
        <is>
          <t>KALMAR LÄN</t>
        </is>
      </c>
      <c r="G265" t="inlineStr">
        <is>
          <t>HÖGSBY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44809</v>
      </c>
      <c r="E266" s="1" t="n">
        <v>46220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46220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41619-2025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46220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46220</v>
      </c>
      <c r="F269" t="inlineStr">
        <is>
          <t>KALMAR LÄN</t>
        </is>
      </c>
      <c r="G269" t="inlineStr">
        <is>
          <t>HÖGSBY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50414-2024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46220</v>
      </c>
      <c r="F270" t="inlineStr">
        <is>
          <t>KALMAR LÄN</t>
        </is>
      </c>
      <c r="G270" t="inlineStr">
        <is>
          <t>HÖGSBY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46220</v>
      </c>
      <c r="F271" t="inlineStr">
        <is>
          <t>KALMAR LÄN</t>
        </is>
      </c>
      <c r="G271" t="inlineStr">
        <is>
          <t>HÖGSBY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63508-2025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46220</v>
      </c>
      <c r="F272" t="inlineStr">
        <is>
          <t>KALMAR LÄN</t>
        </is>
      </c>
      <c r="G272" t="inlineStr">
        <is>
          <t>HÖGSBY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20770-2023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46220</v>
      </c>
      <c r="F273" t="inlineStr">
        <is>
          <t>KALMAR LÄN</t>
        </is>
      </c>
      <c r="G273" t="inlineStr">
        <is>
          <t>HÖGSBY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10244-2024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46220</v>
      </c>
      <c r="F274" t="inlineStr">
        <is>
          <t>KALMAR LÄN</t>
        </is>
      </c>
      <c r="G274" t="inlineStr">
        <is>
          <t>HÖGSBY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45804</v>
      </c>
      <c r="E275" s="1" t="n">
        <v>46220</v>
      </c>
      <c r="F275" t="inlineStr">
        <is>
          <t>KALMAR LÄN</t>
        </is>
      </c>
      <c r="G275" t="inlineStr">
        <is>
          <t>HÖGSBY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8613-2022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44613</v>
      </c>
      <c r="E276" s="1" t="n">
        <v>46220</v>
      </c>
      <c r="F276" t="inlineStr">
        <is>
          <t>KALMAR LÄN</t>
        </is>
      </c>
      <c r="G276" t="inlineStr">
        <is>
          <t>HÖGSBY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26545-2024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45469</v>
      </c>
      <c r="E277" s="1" t="n">
        <v>46220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7680-2024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45348</v>
      </c>
      <c r="E278" s="1" t="n">
        <v>46220</v>
      </c>
      <c r="F278" t="inlineStr">
        <is>
          <t>KALMAR LÄN</t>
        </is>
      </c>
      <c r="G278" t="inlineStr">
        <is>
          <t>HÖGSBY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45650-2023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46220</v>
      </c>
      <c r="F279" t="inlineStr">
        <is>
          <t>KALMAR LÄN</t>
        </is>
      </c>
      <c r="G279" t="inlineStr">
        <is>
          <t>HÖGSBY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7599-2024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45348</v>
      </c>
      <c r="E280" s="1" t="n">
        <v>46220</v>
      </c>
      <c r="F280" t="inlineStr">
        <is>
          <t>KALMAR LÄN</t>
        </is>
      </c>
      <c r="G280" t="inlineStr">
        <is>
          <t>HÖGSBY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8463-2023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44972</v>
      </c>
      <c r="E281" s="1" t="n">
        <v>46220</v>
      </c>
      <c r="F281" t="inlineStr">
        <is>
          <t>KALMAR LÄN</t>
        </is>
      </c>
      <c r="G281" t="inlineStr">
        <is>
          <t>HÖGSBY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30890-2023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46220</v>
      </c>
      <c r="F282" t="inlineStr">
        <is>
          <t>KALMAR LÄN</t>
        </is>
      </c>
      <c r="G282" t="inlineStr">
        <is>
          <t>HÖGSBY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53327-2022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46220</v>
      </c>
      <c r="F283" t="inlineStr">
        <is>
          <t>KALMAR LÄN</t>
        </is>
      </c>
      <c r="G283" t="inlineStr">
        <is>
          <t>HÖGSBY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46220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59409-2022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46220</v>
      </c>
      <c r="F285" t="inlineStr">
        <is>
          <t>KALMAR LÄN</t>
        </is>
      </c>
      <c r="G285" t="inlineStr">
        <is>
          <t>HÖGSBY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47797-2024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46220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39892-2024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46220</v>
      </c>
      <c r="F287" t="inlineStr">
        <is>
          <t>KALMAR LÄN</t>
        </is>
      </c>
      <c r="G287" t="inlineStr">
        <is>
          <t>HÖGSBY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45447</v>
      </c>
      <c r="E288" s="1" t="n">
        <v>46220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33112-2023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46220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31429-2023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46220</v>
      </c>
      <c r="F290" t="inlineStr">
        <is>
          <t>KALMAR LÄN</t>
        </is>
      </c>
      <c r="G290" t="inlineStr">
        <is>
          <t>HÖGSBY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26760-2026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46220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46220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46220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46220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26752-2026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46220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38285-2023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45160</v>
      </c>
      <c r="E296" s="1" t="n">
        <v>46220</v>
      </c>
      <c r="F296" t="inlineStr">
        <is>
          <t>KALMAR LÄN</t>
        </is>
      </c>
      <c r="G296" t="inlineStr">
        <is>
          <t>HÖGSBY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26757-2026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46220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26967-2026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46220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46220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47503-2023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46220</v>
      </c>
      <c r="F300" t="inlineStr">
        <is>
          <t>KALMAR LÄN</t>
        </is>
      </c>
      <c r="G300" t="inlineStr">
        <is>
          <t>HÖGSBY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41479-2023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46220</v>
      </c>
      <c r="F301" t="inlineStr">
        <is>
          <t>KALMAR LÄN</t>
        </is>
      </c>
      <c r="G301" t="inlineStr">
        <is>
          <t>HÖGSBY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27365-2026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46220</v>
      </c>
      <c r="F302" t="inlineStr">
        <is>
          <t>KALMAR LÄN</t>
        </is>
      </c>
      <c r="G302" t="inlineStr">
        <is>
          <t>HÖGSBY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27367-2026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46220</v>
      </c>
      <c r="F303" t="inlineStr">
        <is>
          <t>KALMAR LÄN</t>
        </is>
      </c>
      <c r="G303" t="inlineStr">
        <is>
          <t>HÖGSBY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38802-2024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45547</v>
      </c>
      <c r="E304" s="1" t="n">
        <v>46220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50458-2022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46220</v>
      </c>
      <c r="F305" t="inlineStr">
        <is>
          <t>KALMAR LÄN</t>
        </is>
      </c>
      <c r="G305" t="inlineStr">
        <is>
          <t>HÖGSBY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6823-2025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45700</v>
      </c>
      <c r="E306" s="1" t="n">
        <v>46220</v>
      </c>
      <c r="F306" t="inlineStr">
        <is>
          <t>KALMAR LÄN</t>
        </is>
      </c>
      <c r="G306" t="inlineStr">
        <is>
          <t>HÖGSBY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46220</v>
      </c>
      <c r="F307" t="inlineStr">
        <is>
          <t>KALMAR LÄN</t>
        </is>
      </c>
      <c r="G307" t="inlineStr">
        <is>
          <t>HÖGSBY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60555-2021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44496</v>
      </c>
      <c r="E308" s="1" t="n">
        <v>46220</v>
      </c>
      <c r="F308" t="inlineStr">
        <is>
          <t>KALMAR LÄN</t>
        </is>
      </c>
      <c r="G308" t="inlineStr">
        <is>
          <t>HÖGSBY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27812-2026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46220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27689-2026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46220</v>
      </c>
      <c r="F310" t="inlineStr">
        <is>
          <t>KALMAR LÄN</t>
        </is>
      </c>
      <c r="G310" t="inlineStr">
        <is>
          <t>HÖGSBY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28160-2026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46220</v>
      </c>
      <c r="F311" t="inlineStr">
        <is>
          <t>KALMAR LÄN</t>
        </is>
      </c>
      <c r="G311" t="inlineStr">
        <is>
          <t>HÖGSBY</t>
        </is>
      </c>
      <c r="H311" t="inlineStr">
        <is>
          <t>Kommuner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21801-2026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46220</v>
      </c>
      <c r="F312" t="inlineStr">
        <is>
          <t>KALMAR LÄN</t>
        </is>
      </c>
      <c r="G312" t="inlineStr">
        <is>
          <t>HÖGSBY</t>
        </is>
      </c>
      <c r="H312" t="inlineStr">
        <is>
          <t>Kommuner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22562-2026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46155</v>
      </c>
      <c r="E313" s="1" t="n">
        <v>46220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22564-2026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46155</v>
      </c>
      <c r="E314" s="1" t="n">
        <v>46220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47443-2025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46220</v>
      </c>
      <c r="F315" t="inlineStr">
        <is>
          <t>KALMAR LÄN</t>
        </is>
      </c>
      <c r="G315" t="inlineStr">
        <is>
          <t>HÖGSBY</t>
        </is>
      </c>
      <c r="H315" t="inlineStr">
        <is>
          <t>Kyrkan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46220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46220</v>
      </c>
      <c r="F317" t="inlineStr">
        <is>
          <t>KALMAR LÄN</t>
        </is>
      </c>
      <c r="G317" t="inlineStr">
        <is>
          <t>HÖGSBY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28573-2026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46197</v>
      </c>
      <c r="E318" s="1" t="n">
        <v>46220</v>
      </c>
      <c r="F318" t="inlineStr">
        <is>
          <t>KALMAR LÄN</t>
        </is>
      </c>
      <c r="G318" t="inlineStr">
        <is>
          <t>HÖGSBY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28574-2026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46197</v>
      </c>
      <c r="E319" s="1" t="n">
        <v>46220</v>
      </c>
      <c r="F319" t="inlineStr">
        <is>
          <t>KALMAR LÄN</t>
        </is>
      </c>
      <c r="G319" t="inlineStr">
        <is>
          <t>HÖGSBY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28265-2026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46220</v>
      </c>
      <c r="F320" t="inlineStr">
        <is>
          <t>KALMAR LÄN</t>
        </is>
      </c>
      <c r="G320" t="inlineStr">
        <is>
          <t>HÖGSBY</t>
        </is>
      </c>
      <c r="H320" t="inlineStr">
        <is>
          <t>Kommuner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10409-2023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46220</v>
      </c>
      <c r="F321" t="inlineStr">
        <is>
          <t>KALMAR LÄN</t>
        </is>
      </c>
      <c r="G321" t="inlineStr">
        <is>
          <t>HÖGSBY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28808-2026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46220</v>
      </c>
      <c r="F322" t="inlineStr">
        <is>
          <t>KALMAR LÄN</t>
        </is>
      </c>
      <c r="G322" t="inlineStr">
        <is>
          <t>HÖGSBY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28815-2026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46220</v>
      </c>
      <c r="F323" t="inlineStr">
        <is>
          <t>KALMAR LÄN</t>
        </is>
      </c>
      <c r="G323" t="inlineStr">
        <is>
          <t>HÖGSBY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28830-2026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46220</v>
      </c>
      <c r="F324" t="inlineStr">
        <is>
          <t>KALMAR LÄN</t>
        </is>
      </c>
      <c r="G324" t="inlineStr">
        <is>
          <t>HÖGSBY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28692-2026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46198</v>
      </c>
      <c r="E325" s="1" t="n">
        <v>46220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28697-2026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46220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28702-2026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46220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28899-2026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46220</v>
      </c>
      <c r="F328" t="inlineStr">
        <is>
          <t>KALMAR LÄN</t>
        </is>
      </c>
      <c r="G328" t="inlineStr">
        <is>
          <t>HÖGSBY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28691-2026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46198</v>
      </c>
      <c r="E329" s="1" t="n">
        <v>46220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29038-2026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46220</v>
      </c>
      <c r="F330" t="inlineStr">
        <is>
          <t>KALMAR LÄN</t>
        </is>
      </c>
      <c r="G330" t="inlineStr">
        <is>
          <t>HÖGSBY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28713-2026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46198</v>
      </c>
      <c r="E331" s="1" t="n">
        <v>46220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28901-2026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46220</v>
      </c>
      <c r="F332" t="inlineStr">
        <is>
          <t>KALMAR LÄN</t>
        </is>
      </c>
      <c r="G332" t="inlineStr">
        <is>
          <t>HÖGSBY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14193-2024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46220</v>
      </c>
      <c r="F333" t="inlineStr">
        <is>
          <t>KALMAR LÄN</t>
        </is>
      </c>
      <c r="G333" t="inlineStr">
        <is>
          <t>HÖGSBY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62562-2022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44924</v>
      </c>
      <c r="E334" s="1" t="n">
        <v>46220</v>
      </c>
      <c r="F334" t="inlineStr">
        <is>
          <t>KALMAR LÄN</t>
        </is>
      </c>
      <c r="G334" t="inlineStr">
        <is>
          <t>HÖGSBY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22755-2026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46220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28634-2026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46220</v>
      </c>
      <c r="F336" t="inlineStr">
        <is>
          <t>KALMAR LÄN</t>
        </is>
      </c>
      <c r="G336" t="inlineStr">
        <is>
          <t>HÖGSBY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22757-2026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46157</v>
      </c>
      <c r="E337" s="1" t="n">
        <v>46220</v>
      </c>
      <c r="F337" t="inlineStr">
        <is>
          <t>KALMAR LÄN</t>
        </is>
      </c>
      <c r="G337" t="inlineStr">
        <is>
          <t>HÖGSBY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29206-2026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46220</v>
      </c>
      <c r="F338" t="inlineStr">
        <is>
          <t>KALMAR LÄN</t>
        </is>
      </c>
      <c r="G338" t="inlineStr">
        <is>
          <t>HÖGSBY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23116-2026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46220</v>
      </c>
      <c r="F339" t="inlineStr">
        <is>
          <t>KALMAR LÄN</t>
        </is>
      </c>
      <c r="G339" t="inlineStr">
        <is>
          <t>HÖGSBY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59430-2023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45254</v>
      </c>
      <c r="E340" s="1" t="n">
        <v>46220</v>
      </c>
      <c r="F340" t="inlineStr">
        <is>
          <t>KALMAR LÄN</t>
        </is>
      </c>
      <c r="G340" t="inlineStr">
        <is>
          <t>HÖGSBY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39629-2024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46220</v>
      </c>
      <c r="F341" t="inlineStr">
        <is>
          <t>KALMAR LÄN</t>
        </is>
      </c>
      <c r="G341" t="inlineStr">
        <is>
          <t>HÖGSBY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12396-2023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46220</v>
      </c>
      <c r="F342" t="inlineStr">
        <is>
          <t>KALMAR LÄN</t>
        </is>
      </c>
      <c r="G342" t="inlineStr">
        <is>
          <t>HÖGSBY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9454-2023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44981</v>
      </c>
      <c r="E343" s="1" t="n">
        <v>46220</v>
      </c>
      <c r="F343" t="inlineStr">
        <is>
          <t>KALMAR LÄN</t>
        </is>
      </c>
      <c r="G343" t="inlineStr">
        <is>
          <t>HÖGSBY</t>
        </is>
      </c>
      <c r="H343" t="inlineStr">
        <is>
          <t>Övriga Aktiebolag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50428-2024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45600</v>
      </c>
      <c r="E344" s="1" t="n">
        <v>46220</v>
      </c>
      <c r="F344" t="inlineStr">
        <is>
          <t>KALMAR LÄN</t>
        </is>
      </c>
      <c r="G344" t="inlineStr">
        <is>
          <t>HÖGSBY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38600-2024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46220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58050-2023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46220</v>
      </c>
      <c r="F346" t="inlineStr">
        <is>
          <t>KALMAR LÄN</t>
        </is>
      </c>
      <c r="G346" t="inlineStr">
        <is>
          <t>HÖGSBY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23209-2026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46220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65130-2023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45288</v>
      </c>
      <c r="E348" s="1" t="n">
        <v>46220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30157-2026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46220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23937-2026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46167</v>
      </c>
      <c r="E350" s="1" t="n">
        <v>46220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6597-2024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46220</v>
      </c>
      <c r="F351" t="inlineStr">
        <is>
          <t>KALMAR LÄN</t>
        </is>
      </c>
      <c r="G351" t="inlineStr">
        <is>
          <t>HÖGSBY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46220</v>
      </c>
      <c r="F352" t="inlineStr">
        <is>
          <t>KALMAR LÄN</t>
        </is>
      </c>
      <c r="G352" t="inlineStr">
        <is>
          <t>HÖGSBY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30166-2026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46220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49486-2022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44861</v>
      </c>
      <c r="E354" s="1" t="n">
        <v>46220</v>
      </c>
      <c r="F354" t="inlineStr">
        <is>
          <t>KALMAR LÄN</t>
        </is>
      </c>
      <c r="G354" t="inlineStr">
        <is>
          <t>HÖGSBY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27830-2023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46220</v>
      </c>
      <c r="F355" t="inlineStr">
        <is>
          <t>KALMAR LÄN</t>
        </is>
      </c>
      <c r="G355" t="inlineStr">
        <is>
          <t>HÖGSBY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26927-2023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46220</v>
      </c>
      <c r="F356" t="inlineStr">
        <is>
          <t>KALMAR LÄN</t>
        </is>
      </c>
      <c r="G356" t="inlineStr">
        <is>
          <t>HÖGSBY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30180-2026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46220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43213-2023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46220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30156-2026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46220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30162-2026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46220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46220</v>
      </c>
      <c r="F361" t="inlineStr">
        <is>
          <t>KALMAR LÄN</t>
        </is>
      </c>
      <c r="G361" t="inlineStr">
        <is>
          <t>HÖGSBY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46220</v>
      </c>
      <c r="F362" t="inlineStr">
        <is>
          <t>KALMAR LÄN</t>
        </is>
      </c>
      <c r="G362" t="inlineStr">
        <is>
          <t>HÖGSBY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59408-2022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44907</v>
      </c>
      <c r="E363" s="1" t="n">
        <v>46220</v>
      </c>
      <c r="F363" t="inlineStr">
        <is>
          <t>KALMAR LÄN</t>
        </is>
      </c>
      <c r="G363" t="inlineStr">
        <is>
          <t>HÖGSBY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52116-2024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46220</v>
      </c>
      <c r="F364" t="inlineStr">
        <is>
          <t>KALMAR LÄN</t>
        </is>
      </c>
      <c r="G364" t="inlineStr">
        <is>
          <t>HÖGSBY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46220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56339-2024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46220</v>
      </c>
      <c r="F366" t="inlineStr">
        <is>
          <t>KALMAR LÄN</t>
        </is>
      </c>
      <c r="G366" t="inlineStr">
        <is>
          <t>HÖGSBY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24601-2024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45460</v>
      </c>
      <c r="E367" s="1" t="n">
        <v>46220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24893-2026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46220</v>
      </c>
      <c r="F368" t="inlineStr">
        <is>
          <t>KALMAR LÄN</t>
        </is>
      </c>
      <c r="G368" t="inlineStr">
        <is>
          <t>HÖGSBY</t>
        </is>
      </c>
      <c r="H368" t="inlineStr">
        <is>
          <t>Kommuner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37954-2024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46220</v>
      </c>
      <c r="F369" t="inlineStr">
        <is>
          <t>KALMAR LÄN</t>
        </is>
      </c>
      <c r="G369" t="inlineStr">
        <is>
          <t>HÖGSBY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46220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47502-2023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46220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47571-2023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46220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44939</v>
      </c>
      <c r="E373" s="1" t="n">
        <v>46220</v>
      </c>
      <c r="F373" t="inlineStr">
        <is>
          <t>KALMAR LÄN</t>
        </is>
      </c>
      <c r="G373" t="inlineStr">
        <is>
          <t>HÖGSBY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46220</v>
      </c>
      <c r="F374" t="inlineStr">
        <is>
          <t>KALMAR LÄN</t>
        </is>
      </c>
      <c r="G374" t="inlineStr">
        <is>
          <t>HÖGSBY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25355-2026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46220</v>
      </c>
      <c r="F375" t="inlineStr">
        <is>
          <t>KALMAR LÄN</t>
        </is>
      </c>
      <c r="G375" t="inlineStr">
        <is>
          <t>HÖGSBY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46329-2024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45581</v>
      </c>
      <c r="E376" s="1" t="n">
        <v>46220</v>
      </c>
      <c r="F376" t="inlineStr">
        <is>
          <t>KALMAR LÄN</t>
        </is>
      </c>
      <c r="G376" t="inlineStr">
        <is>
          <t>HÖGSBY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45692</v>
      </c>
      <c r="E377" s="1" t="n">
        <v>46220</v>
      </c>
      <c r="F377" t="inlineStr">
        <is>
          <t>KALMAR LÄN</t>
        </is>
      </c>
      <c r="G377" t="inlineStr">
        <is>
          <t>HÖGSBY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50367-2022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44866</v>
      </c>
      <c r="E378" s="1" t="n">
        <v>46220</v>
      </c>
      <c r="F378" t="inlineStr">
        <is>
          <t>KALMAR LÄN</t>
        </is>
      </c>
      <c r="G378" t="inlineStr">
        <is>
          <t>HÖGSBY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25352-2026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46220</v>
      </c>
      <c r="F379" t="inlineStr">
        <is>
          <t>KALMAR LÄN</t>
        </is>
      </c>
      <c r="G379" t="inlineStr">
        <is>
          <t>HÖGSBY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59581-2024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46220</v>
      </c>
      <c r="F380" t="inlineStr">
        <is>
          <t>KALMAR LÄN</t>
        </is>
      </c>
      <c r="G380" t="inlineStr">
        <is>
          <t>HÖGSBY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1768-2024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45307</v>
      </c>
      <c r="E381" s="1" t="n">
        <v>46220</v>
      </c>
      <c r="F381" t="inlineStr">
        <is>
          <t>KALMAR LÄN</t>
        </is>
      </c>
      <c r="G381" t="inlineStr">
        <is>
          <t>HÖGSBY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34078-2024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45523</v>
      </c>
      <c r="E382" s="1" t="n">
        <v>46220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21569-2025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45782</v>
      </c>
      <c r="E383" s="1" t="n">
        <v>46220</v>
      </c>
      <c r="F383" t="inlineStr">
        <is>
          <t>KALMAR LÄN</t>
        </is>
      </c>
      <c r="G383" t="inlineStr">
        <is>
          <t>HÖGSBY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45170</v>
      </c>
      <c r="E384" s="1" t="n">
        <v>46220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40137-2024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46220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  <c r="X385">
        <f>HYPERLINK("https://klasma.github.io/Logging_0821/knärot/A 40137-2024 karta knärot.png", "A 40137-2024")</f>
        <v/>
      </c>
      <c r="Y385">
        <f>HYPERLINK("https://klasma.github.io/Logging_0821/klagomål/A 40137-2024 FSC-klagomål.docx", "A 40137-2024")</f>
        <v/>
      </c>
      <c r="Z385">
        <f>HYPERLINK("https://klasma.github.io/Logging_0821/klagomålsmail/A 40137-2024 FSC-klagomål mail.docx", "A 40137-2024")</f>
        <v/>
      </c>
      <c r="AA385">
        <f>HYPERLINK("https://klasma.github.io/Logging_0821/tillsyn/A 40137-2024 tillsynsbegäran.docx", "A 40137-2024")</f>
        <v/>
      </c>
      <c r="AB385">
        <f>HYPERLINK("https://klasma.github.io/Logging_0821/tillsynsmail/A 40137-2024 tillsynsbegäran mail.docx", "A 40137-2024")</f>
        <v/>
      </c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46220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46220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46220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46220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46220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46220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46220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46220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46220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46220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46220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46220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46220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46220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46220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46220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46220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46220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46220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46220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46220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46220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46220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2026-07-17T01:44:04Z</dcterms:created>
  <dcterms:modified xmlns:dcterms="http://purl.org/dc/terms/" xmlns:xsi="http://www.w3.org/2001/XMLSchema-instance" xsi:type="dcterms:W3CDTF">2026-07-17T01:44:05Z</dcterms:modified>
</cp:coreProperties>
</file>