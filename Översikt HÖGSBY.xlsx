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45736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45736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45736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45736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45736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45736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45736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45736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45736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45736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45736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45736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45736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45736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45736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45736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45736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45736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45736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57171-2022</t>
        </is>
      </c>
      <c r="B21" s="1" t="n">
        <v>44895</v>
      </c>
      <c r="C21" s="1" t="n">
        <v>45736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Gulsparv
Mindre träfjäril
Talltita
Gröngöling</t>
        </is>
      </c>
      <c r="S21">
        <f>HYPERLINK("https://klasma.github.io/Logging_0821/artfynd/A 57171-2022 artfynd.xlsx", "A 57171-2022")</f>
        <v/>
      </c>
      <c r="T21">
        <f>HYPERLINK("https://klasma.github.io/Logging_0821/kartor/A 57171-2022 karta.png", "A 57171-2022")</f>
        <v/>
      </c>
      <c r="V21">
        <f>HYPERLINK("https://klasma.github.io/Logging_0821/klagomål/A 57171-2022 FSC-klagomål.docx", "A 57171-2022")</f>
        <v/>
      </c>
      <c r="W21">
        <f>HYPERLINK("https://klasma.github.io/Logging_0821/klagomålsmail/A 57171-2022 FSC-klagomål mail.docx", "A 57171-2022")</f>
        <v/>
      </c>
      <c r="X21">
        <f>HYPERLINK("https://klasma.github.io/Logging_0821/tillsyn/A 57171-2022 tillsynsbegäran.docx", "A 57171-2022")</f>
        <v/>
      </c>
      <c r="Y21">
        <f>HYPERLINK("https://klasma.github.io/Logging_0821/tillsynsmail/A 57171-2022 tillsynsbegäran mail.docx", "A 57171-2022")</f>
        <v/>
      </c>
      <c r="Z21">
        <f>HYPERLINK("https://klasma.github.io/Logging_0821/fåglar/A 57171-2022 prioriterade fågelarter.docx", "A 57171-2022")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45736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20714-2024</t>
        </is>
      </c>
      <c r="B23" s="1" t="n">
        <v>45436</v>
      </c>
      <c r="C23" s="1" t="n">
        <v>45736</v>
      </c>
      <c r="D23" t="inlineStr">
        <is>
          <t>KALMAR LÄN</t>
        </is>
      </c>
      <c r="E23" t="inlineStr">
        <is>
          <t>HÖGSBY</t>
        </is>
      </c>
      <c r="G23" t="n">
        <v>3.8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Dropptaggsvamp
Kornknutmossa</t>
        </is>
      </c>
      <c r="S23">
        <f>HYPERLINK("https://klasma.github.io/Logging_0821/artfynd/A 20714-2024 artfynd.xlsx", "A 20714-2024")</f>
        <v/>
      </c>
      <c r="T23">
        <f>HYPERLINK("https://klasma.github.io/Logging_0821/kartor/A 20714-2024 karta.png", "A 20714-2024")</f>
        <v/>
      </c>
      <c r="U23">
        <f>HYPERLINK("https://klasma.github.io/Logging_0821/knärot/A 20714-2024 karta knärot.png", "A 20714-2024")</f>
        <v/>
      </c>
      <c r="V23">
        <f>HYPERLINK("https://klasma.github.io/Logging_0821/klagomål/A 20714-2024 FSC-klagomål.docx", "A 20714-2024")</f>
        <v/>
      </c>
      <c r="W23">
        <f>HYPERLINK("https://klasma.github.io/Logging_0821/klagomålsmail/A 20714-2024 FSC-klagomål mail.docx", "A 20714-2024")</f>
        <v/>
      </c>
      <c r="X23">
        <f>HYPERLINK("https://klasma.github.io/Logging_0821/tillsyn/A 20714-2024 tillsynsbegäran.docx", "A 20714-2024")</f>
        <v/>
      </c>
      <c r="Y23">
        <f>HYPERLINK("https://klasma.github.io/Logging_0821/tillsynsmail/A 20714-2024 tillsynsbegäran mail.docx", "A 20714-2024")</f>
        <v/>
      </c>
    </row>
    <row r="24" ht="15" customHeight="1">
      <c r="A24" t="inlineStr">
        <is>
          <t>A 61610-2019</t>
        </is>
      </c>
      <c r="B24" s="1" t="n">
        <v>43784</v>
      </c>
      <c r="C24" s="1" t="n">
        <v>45736</v>
      </c>
      <c r="D24" t="inlineStr">
        <is>
          <t>KALMAR LÄN</t>
        </is>
      </c>
      <c r="E24" t="inlineStr">
        <is>
          <t>HÖGSBY</t>
        </is>
      </c>
      <c r="G24" t="n">
        <v>17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Åkerkål
Purpurknipprot
Sårläka</t>
        </is>
      </c>
      <c r="S24">
        <f>HYPERLINK("https://klasma.github.io/Logging_0821/artfynd/A 61610-2019 artfynd.xlsx", "A 61610-2019")</f>
        <v/>
      </c>
      <c r="T24">
        <f>HYPERLINK("https://klasma.github.io/Logging_0821/kartor/A 61610-2019 karta.png", "A 61610-2019")</f>
        <v/>
      </c>
      <c r="V24">
        <f>HYPERLINK("https://klasma.github.io/Logging_0821/klagomål/A 61610-2019 FSC-klagomål.docx", "A 61610-2019")</f>
        <v/>
      </c>
      <c r="W24">
        <f>HYPERLINK("https://klasma.github.io/Logging_0821/klagomålsmail/A 61610-2019 FSC-klagomål mail.docx", "A 61610-2019")</f>
        <v/>
      </c>
      <c r="X24">
        <f>HYPERLINK("https://klasma.github.io/Logging_0821/tillsyn/A 61610-2019 tillsynsbegäran.docx", "A 61610-2019")</f>
        <v/>
      </c>
      <c r="Y24">
        <f>HYPERLINK("https://klasma.github.io/Logging_0821/tillsynsmail/A 61610-2019 tillsynsbegäran mail.docx", "A 61610-2019")</f>
        <v/>
      </c>
    </row>
    <row r="25" ht="15" customHeight="1">
      <c r="A25" t="inlineStr">
        <is>
          <t>A 51595-2020</t>
        </is>
      </c>
      <c r="B25" s="1" t="n">
        <v>44109</v>
      </c>
      <c r="C25" s="1" t="n">
        <v>45736</v>
      </c>
      <c r="D25" t="inlineStr">
        <is>
          <t>KALMAR LÄN</t>
        </is>
      </c>
      <c r="E25" t="inlineStr">
        <is>
          <t>HÖGSBY</t>
        </is>
      </c>
      <c r="G25" t="n">
        <v>8.1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Vågticka
Blodticka
Blåsippa</t>
        </is>
      </c>
      <c r="S25">
        <f>HYPERLINK("https://klasma.github.io/Logging_0821/artfynd/A 51595-2020 artfynd.xlsx", "A 51595-2020")</f>
        <v/>
      </c>
      <c r="T25">
        <f>HYPERLINK("https://klasma.github.io/Logging_0821/kartor/A 51595-2020 karta.png", "A 51595-2020")</f>
        <v/>
      </c>
      <c r="V25">
        <f>HYPERLINK("https://klasma.github.io/Logging_0821/klagomål/A 51595-2020 FSC-klagomål.docx", "A 51595-2020")</f>
        <v/>
      </c>
      <c r="W25">
        <f>HYPERLINK("https://klasma.github.io/Logging_0821/klagomålsmail/A 51595-2020 FSC-klagomål mail.docx", "A 51595-2020")</f>
        <v/>
      </c>
      <c r="X25">
        <f>HYPERLINK("https://klasma.github.io/Logging_0821/tillsyn/A 51595-2020 tillsynsbegäran.docx", "A 51595-2020")</f>
        <v/>
      </c>
      <c r="Y25">
        <f>HYPERLINK("https://klasma.github.io/Logging_0821/tillsynsmail/A 51595-2020 tillsynsbegäran mail.docx", "A 51595-2020")</f>
        <v/>
      </c>
    </row>
    <row r="26" ht="15" customHeight="1">
      <c r="A26" t="inlineStr">
        <is>
          <t>A 60252-2022</t>
        </is>
      </c>
      <c r="B26" s="1" t="n">
        <v>44910</v>
      </c>
      <c r="C26" s="1" t="n">
        <v>45736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Fällmossa
Blåsippa</t>
        </is>
      </c>
      <c r="S26">
        <f>HYPERLINK("https://klasma.github.io/Logging_0821/artfynd/A 60252-2022 artfynd.xlsx", "A 60252-2022")</f>
        <v/>
      </c>
      <c r="T26">
        <f>HYPERLINK("https://klasma.github.io/Logging_0821/kartor/A 60252-2022 karta.png", "A 60252-2022")</f>
        <v/>
      </c>
      <c r="V26">
        <f>HYPERLINK("https://klasma.github.io/Logging_0821/klagomål/A 60252-2022 FSC-klagomål.docx", "A 60252-2022")</f>
        <v/>
      </c>
      <c r="W26">
        <f>HYPERLINK("https://klasma.github.io/Logging_0821/klagomålsmail/A 60252-2022 FSC-klagomål mail.docx", "A 60252-2022")</f>
        <v/>
      </c>
      <c r="X26">
        <f>HYPERLINK("https://klasma.github.io/Logging_0821/tillsyn/A 60252-2022 tillsynsbegäran.docx", "A 60252-2022")</f>
        <v/>
      </c>
      <c r="Y26">
        <f>HYPERLINK("https://klasma.github.io/Logging_0821/tillsynsmail/A 60252-2022 tillsynsbegäran mail.docx", "A 60252-2022")</f>
        <v/>
      </c>
      <c r="Z26">
        <f>HYPERLINK("https://klasma.github.io/Logging_0821/fåglar/A 60252-2022 prioriterade fågelarter.docx", "A 60252-2022")</f>
        <v/>
      </c>
    </row>
    <row r="27" ht="15" customHeight="1">
      <c r="A27" t="inlineStr">
        <is>
          <t>A 55060-2023</t>
        </is>
      </c>
      <c r="B27" s="1" t="n">
        <v>45230</v>
      </c>
      <c r="C27" s="1" t="n">
        <v>45736</v>
      </c>
      <c r="D27" t="inlineStr">
        <is>
          <t>KALMAR LÄN</t>
        </is>
      </c>
      <c r="E27" t="inlineStr">
        <is>
          <t>HÖGSBY</t>
        </is>
      </c>
      <c r="G27" t="n">
        <v>3.6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Blodticka</t>
        </is>
      </c>
      <c r="S27">
        <f>HYPERLINK("https://klasma.github.io/Logging_0821/artfynd/A 55060-2023 artfynd.xlsx", "A 55060-2023")</f>
        <v/>
      </c>
      <c r="T27">
        <f>HYPERLINK("https://klasma.github.io/Logging_0821/kartor/A 55060-2023 karta.png", "A 55060-2023")</f>
        <v/>
      </c>
      <c r="V27">
        <f>HYPERLINK("https://klasma.github.io/Logging_0821/klagomål/A 55060-2023 FSC-klagomål.docx", "A 55060-2023")</f>
        <v/>
      </c>
      <c r="W27">
        <f>HYPERLINK("https://klasma.github.io/Logging_0821/klagomålsmail/A 55060-2023 FSC-klagomål mail.docx", "A 55060-2023")</f>
        <v/>
      </c>
      <c r="X27">
        <f>HYPERLINK("https://klasma.github.io/Logging_0821/tillsyn/A 55060-2023 tillsynsbegäran.docx", "A 55060-2023")</f>
        <v/>
      </c>
      <c r="Y27">
        <f>HYPERLINK("https://klasma.github.io/Logging_0821/tillsynsmail/A 55060-2023 tillsynsbegäran mail.docx", "A 55060-2023")</f>
        <v/>
      </c>
      <c r="Z27">
        <f>HYPERLINK("https://klasma.github.io/Logging_0821/fåglar/A 55060-2023 prioriterade fågelarter.docx", "A 55060-2023")</f>
        <v/>
      </c>
    </row>
    <row r="28" ht="15" customHeight="1">
      <c r="A28" t="inlineStr">
        <is>
          <t>A 8635-2025</t>
        </is>
      </c>
      <c r="B28" s="1" t="n">
        <v>45711</v>
      </c>
      <c r="C28" s="1" t="n">
        <v>45736</v>
      </c>
      <c r="D28" t="inlineStr">
        <is>
          <t>KALMAR LÄN</t>
        </is>
      </c>
      <c r="E28" t="inlineStr">
        <is>
          <t>HÖGSBY</t>
        </is>
      </c>
      <c r="G28" t="n">
        <v>4.4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Vårärt
Blåsippa</t>
        </is>
      </c>
      <c r="S28">
        <f>HYPERLINK("https://klasma.github.io/Logging_0821/artfynd/A 8635-2025 artfynd.xlsx", "A 8635-2025")</f>
        <v/>
      </c>
      <c r="T28">
        <f>HYPERLINK("https://klasma.github.io/Logging_0821/kartor/A 8635-2025 karta.png", "A 8635-2025")</f>
        <v/>
      </c>
      <c r="V28">
        <f>HYPERLINK("https://klasma.github.io/Logging_0821/klagomål/A 8635-2025 FSC-klagomål.docx", "A 8635-2025")</f>
        <v/>
      </c>
      <c r="W28">
        <f>HYPERLINK("https://klasma.github.io/Logging_0821/klagomålsmail/A 8635-2025 FSC-klagomål mail.docx", "A 8635-2025")</f>
        <v/>
      </c>
      <c r="X28">
        <f>HYPERLINK("https://klasma.github.io/Logging_0821/tillsyn/A 8635-2025 tillsynsbegäran.docx", "A 8635-2025")</f>
        <v/>
      </c>
      <c r="Y28">
        <f>HYPERLINK("https://klasma.github.io/Logging_0821/tillsynsmail/A 8635-2025 tillsynsbegäran mail.docx", "A 8635-2025")</f>
        <v/>
      </c>
      <c r="Z28">
        <f>HYPERLINK("https://klasma.github.io/Logging_0821/fåglar/A 8635-2025 prioriterade fågelarter.docx", "A 8635-2025")</f>
        <v/>
      </c>
    </row>
    <row r="29" ht="15" customHeight="1">
      <c r="A29" t="inlineStr">
        <is>
          <t>A 20824-2019</t>
        </is>
      </c>
      <c r="B29" s="1" t="n">
        <v>43573</v>
      </c>
      <c r="C29" s="1" t="n">
        <v>45736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Brandtaggsvamp
Skarp dropptaggsvamp</t>
        </is>
      </c>
      <c r="S29">
        <f>HYPERLINK("https://klasma.github.io/Logging_0821/artfynd/A 20824-2019 artfynd.xlsx", "A 20824-2019")</f>
        <v/>
      </c>
      <c r="T29">
        <f>HYPERLINK("https://klasma.github.io/Logging_0821/kartor/A 20824-2019 karta.png", "A 20824-2019")</f>
        <v/>
      </c>
      <c r="V29">
        <f>HYPERLINK("https://klasma.github.io/Logging_0821/klagomål/A 20824-2019 FSC-klagomål.docx", "A 20824-2019")</f>
        <v/>
      </c>
      <c r="W29">
        <f>HYPERLINK("https://klasma.github.io/Logging_0821/klagomålsmail/A 20824-2019 FSC-klagomål mail.docx", "A 20824-2019")</f>
        <v/>
      </c>
      <c r="X29">
        <f>HYPERLINK("https://klasma.github.io/Logging_0821/tillsyn/A 20824-2019 tillsynsbegäran.docx", "A 20824-2019")</f>
        <v/>
      </c>
      <c r="Y29">
        <f>HYPERLINK("https://klasma.github.io/Logging_0821/tillsynsmail/A 20824-2019 tillsynsbegäran mail.docx", "A 20824-2019")</f>
        <v/>
      </c>
    </row>
    <row r="30" ht="15" customHeight="1">
      <c r="A30" t="inlineStr">
        <is>
          <t>A 36531-2019</t>
        </is>
      </c>
      <c r="B30" s="1" t="n">
        <v>43663</v>
      </c>
      <c r="C30" s="1" t="n">
        <v>45736</v>
      </c>
      <c r="D30" t="inlineStr">
        <is>
          <t>KALMAR LÄN</t>
        </is>
      </c>
      <c r="E30" t="inlineStr">
        <is>
          <t>HÖGSBY</t>
        </is>
      </c>
      <c r="G30" t="n">
        <v>11.5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HYPERLINK("https://klasma.github.io/Logging_0821/artfynd/A 36531-2019 artfynd.xlsx", "A 36531-2019")</f>
        <v/>
      </c>
      <c r="T30">
        <f>HYPERLINK("https://klasma.github.io/Logging_0821/kartor/A 36531-2019 karta.png", "A 36531-2019")</f>
        <v/>
      </c>
      <c r="V30">
        <f>HYPERLINK("https://klasma.github.io/Logging_0821/klagomål/A 36531-2019 FSC-klagomål.docx", "A 36531-2019")</f>
        <v/>
      </c>
      <c r="W30">
        <f>HYPERLINK("https://klasma.github.io/Logging_0821/klagomålsmail/A 36531-2019 FSC-klagomål mail.docx", "A 36531-2019")</f>
        <v/>
      </c>
      <c r="X30">
        <f>HYPERLINK("https://klasma.github.io/Logging_0821/tillsyn/A 36531-2019 tillsynsbegäran.docx", "A 36531-2019")</f>
        <v/>
      </c>
      <c r="Y30">
        <f>HYPERLINK("https://klasma.github.io/Logging_0821/tillsynsmail/A 36531-2019 tillsynsbegäran mail.docx", "A 36531-2019")</f>
        <v/>
      </c>
    </row>
    <row r="31" ht="15" customHeight="1">
      <c r="A31" t="inlineStr">
        <is>
          <t>A 53578-2019</t>
        </is>
      </c>
      <c r="B31" s="1" t="n">
        <v>43748</v>
      </c>
      <c r="C31" s="1" t="n">
        <v>45736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Rävticka</t>
        </is>
      </c>
      <c r="S31">
        <f>HYPERLINK("https://klasma.github.io/Logging_0821/artfynd/A 53578-2019 artfynd.xlsx", "A 53578-2019")</f>
        <v/>
      </c>
      <c r="T31">
        <f>HYPERLINK("https://klasma.github.io/Logging_0821/kartor/A 53578-2019 karta.png", "A 53578-2019")</f>
        <v/>
      </c>
      <c r="V31">
        <f>HYPERLINK("https://klasma.github.io/Logging_0821/klagomål/A 53578-2019 FSC-klagomål.docx", "A 53578-2019")</f>
        <v/>
      </c>
      <c r="W31">
        <f>HYPERLINK("https://klasma.github.io/Logging_0821/klagomålsmail/A 53578-2019 FSC-klagomål mail.docx", "A 53578-2019")</f>
        <v/>
      </c>
      <c r="X31">
        <f>HYPERLINK("https://klasma.github.io/Logging_0821/tillsyn/A 53578-2019 tillsynsbegäran.docx", "A 53578-2019")</f>
        <v/>
      </c>
      <c r="Y31">
        <f>HYPERLINK("https://klasma.github.io/Logging_0821/tillsynsmail/A 53578-2019 tillsynsbegäran mail.docx", "A 53578-2019")</f>
        <v/>
      </c>
      <c r="Z31">
        <f>HYPERLINK("https://klasma.github.io/Logging_0821/fåglar/A 53578-2019 prioriterade fågelarter.docx", "A 53578-2019")</f>
        <v/>
      </c>
    </row>
    <row r="32" ht="15" customHeight="1">
      <c r="A32" t="inlineStr">
        <is>
          <t>A 68563-2021</t>
        </is>
      </c>
      <c r="B32" s="1" t="n">
        <v>44529</v>
      </c>
      <c r="C32" s="1" t="n">
        <v>45736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9.1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Matt blombagge</t>
        </is>
      </c>
      <c r="S32">
        <f>HYPERLINK("https://klasma.github.io/Logging_0821/artfynd/A 68563-2021 artfynd.xlsx", "A 68563-2021")</f>
        <v/>
      </c>
      <c r="T32">
        <f>HYPERLINK("https://klasma.github.io/Logging_0821/kartor/A 68563-2021 karta.png", "A 68563-2021")</f>
        <v/>
      </c>
      <c r="V32">
        <f>HYPERLINK("https://klasma.github.io/Logging_0821/klagomål/A 68563-2021 FSC-klagomål.docx", "A 68563-2021")</f>
        <v/>
      </c>
      <c r="W32">
        <f>HYPERLINK("https://klasma.github.io/Logging_0821/klagomålsmail/A 68563-2021 FSC-klagomål mail.docx", "A 68563-2021")</f>
        <v/>
      </c>
      <c r="X32">
        <f>HYPERLINK("https://klasma.github.io/Logging_0821/tillsyn/A 68563-2021 tillsynsbegäran.docx", "A 68563-2021")</f>
        <v/>
      </c>
      <c r="Y32">
        <f>HYPERLINK("https://klasma.github.io/Logging_0821/tillsynsmail/A 68563-2021 tillsynsbegäran mail.docx", "A 68563-2021")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45736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45736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45736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45736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45736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45736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45736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45736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45736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45736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45736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45736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45736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45736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45736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45736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45736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45736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45736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45736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45736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45736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45736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45736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45736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45736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45736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45736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45736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45736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45736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45736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45736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45736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45736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45736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45736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45736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45736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45736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45736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45736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45736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45736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45736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45736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45736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45736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45736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45736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45736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45736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45736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45736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45736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45736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45736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45736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45736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45736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45736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45736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45736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45736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45736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45736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45736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45736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45736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45736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45736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45736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45736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45736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45736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45736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45736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45736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45736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45736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45736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45736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45736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45736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45736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45736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45736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45736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45736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45736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45736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45736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45736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45736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45736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45736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45736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45736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45736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45736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45736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45736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45736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45736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45736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45736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45736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45736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45736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45736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45736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45736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45736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45736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45736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45736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45736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45736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45736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45736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45736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45736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45736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45736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45736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45736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45736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45736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45736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45736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45736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45736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45736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45736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45736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45736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45736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45736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45736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45736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45736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45736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45736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45736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45736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45736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45736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45736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45736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45736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45736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45736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45736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45736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45736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45736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45736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45736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45736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45736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45736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45736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45736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45736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45736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45736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45736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45736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45736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45736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45736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45736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45736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45736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45736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45736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45736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45736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45736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45736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45736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45736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45736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45736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45736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45736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45736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45736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45736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45736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45736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45736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45736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45736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45736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45736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45736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45736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45736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45736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45736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45736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45736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45736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45736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45736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45736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45736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45736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45736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45736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45736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45736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45736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45736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45736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45736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45736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45736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45736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45736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45736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45736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45736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45736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45736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45736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45736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45736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45736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45736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45736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45736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45736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45736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45736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45736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45736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45736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45736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45736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45736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45736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45736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45736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45736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45736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45736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45736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45736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45736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45736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45736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45736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45736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45736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45736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45736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45736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45736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45736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45736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45736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45736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45736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45736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45736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45736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45736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45736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45736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45736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45736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45736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45736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45736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45736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45736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45736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45736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45736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45736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45736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45736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45736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45736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45736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45736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45736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45736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45736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45736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45736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45736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45736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45736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45736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45736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45736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45736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45736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45736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45736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45736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45736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45736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45736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45736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45736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45736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45736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45736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45736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45736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45736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45736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45736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45736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45736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45736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45736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45736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45736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45736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45736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45736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45736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45736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45736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45736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45736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45736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45736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45736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45736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45736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45736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45736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45736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45736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45736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45736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45736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45736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45736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45736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45736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45736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45736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45736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45736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45736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45736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45736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45736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45736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45736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45736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45736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45736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45736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45736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45736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45736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45736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45736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45736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45736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45736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45736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45736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45736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45736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45736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45736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45736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45736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45736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45736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45736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45736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45736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45736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45736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45736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45736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45736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45736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45736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45736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45736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45736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45736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45736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45736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45736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45736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45736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45736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45736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45736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45736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45736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45736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45736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45736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45736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45736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45736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45736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45736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45736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45736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45736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45736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45736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45736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45736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45736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45736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45736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45736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45736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45736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45736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45736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45736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45736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45736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45736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45736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45736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45736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45736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45736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45736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45736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45736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45736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45736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45736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45736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45736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45736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45736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45736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45736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45736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45736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45736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45736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45736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45736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45736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45736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45736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45736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45736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45736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45736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45736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45736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45736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45736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45736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45736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45736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45736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45736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45736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45736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45736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45736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45736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45736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45736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45736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45736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45736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45736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45736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45736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45736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45736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45736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45736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45736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45736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45736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45736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45736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45736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45736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45736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45736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45736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45736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45736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45736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45736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45736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45736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45736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45736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45736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45736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45736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45736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45736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45736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45736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45736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45736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45736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45736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45736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45736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45736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45736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45736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45736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45736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45736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45736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45736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45736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45736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45736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45736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45736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45736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45736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45736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45736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45736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45736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45736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45736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45736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45736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45736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45736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45736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45736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45736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45736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45736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45736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45736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45736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45736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45736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45736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45736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45736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45736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45736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45736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45736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45736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45736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45736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45736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45736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45736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45736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45736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45736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45736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45736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45736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45736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45736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45736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45736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45736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45736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45736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45736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45736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45736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45736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45736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45736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45736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45736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45736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45736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45736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45736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45736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45736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45736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45736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45736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45736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45736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45736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45736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45736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45736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45736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45736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45736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45736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45736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45736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45736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45736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45736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45736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45736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45736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45736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45736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45736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45736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45736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45736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45736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45736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45736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45736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45736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45736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45736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45736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45736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45736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45736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45736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45736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45736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45736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45736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45736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45736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45736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45736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45736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45736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45736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45736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45736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45736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45736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45736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45736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45736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45736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45736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45736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45736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45736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45736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45736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45736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45736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45736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45736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45736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45736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45736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45736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45736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45736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45736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45736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45736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45736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45736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45736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45736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45736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45736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45736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45736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45736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45736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45736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45736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45736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45736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45736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45736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45736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45736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45736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45736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45736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45736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45736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45736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45736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45736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45736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45736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45736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45736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45736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45736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45736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45736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45736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45736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45736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45736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45736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45736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45736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45736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45736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45736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45736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45736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45736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45736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45736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45736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45736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45736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45736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45736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45736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45736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45736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45736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45736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45736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45736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45736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45736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45736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45736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45736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45736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45736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5061-2025</t>
        </is>
      </c>
      <c r="B770" s="1" t="n">
        <v>45691</v>
      </c>
      <c r="C770" s="1" t="n">
        <v>45736</v>
      </c>
      <c r="D770" t="inlineStr">
        <is>
          <t>KALMAR LÄN</t>
        </is>
      </c>
      <c r="E770" t="inlineStr">
        <is>
          <t>HÖGSBY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5065-2025</t>
        </is>
      </c>
      <c r="B771" s="1" t="n">
        <v>45691</v>
      </c>
      <c r="C771" s="1" t="n">
        <v>45736</v>
      </c>
      <c r="D771" t="inlineStr">
        <is>
          <t>KALMAR LÄN</t>
        </is>
      </c>
      <c r="E771" t="inlineStr">
        <is>
          <t>HÖGSBY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5429-2025</t>
        </is>
      </c>
      <c r="B772" s="1" t="n">
        <v>45692</v>
      </c>
      <c r="C772" s="1" t="n">
        <v>45736</v>
      </c>
      <c r="D772" t="inlineStr">
        <is>
          <t>KALMAR LÄN</t>
        </is>
      </c>
      <c r="E772" t="inlineStr">
        <is>
          <t>HÖGSBY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5430-2025</t>
        </is>
      </c>
      <c r="B773" s="1" t="n">
        <v>45692</v>
      </c>
      <c r="C773" s="1" t="n">
        <v>45736</v>
      </c>
      <c r="D773" t="inlineStr">
        <is>
          <t>KALMAR LÄN</t>
        </is>
      </c>
      <c r="E773" t="inlineStr">
        <is>
          <t>HÖGSBY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45736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45736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6805-2025</t>
        </is>
      </c>
      <c r="B776" s="1" t="n">
        <v>45700</v>
      </c>
      <c r="C776" s="1" t="n">
        <v>45736</v>
      </c>
      <c r="D776" t="inlineStr">
        <is>
          <t>KALMAR LÄN</t>
        </is>
      </c>
      <c r="E776" t="inlineStr">
        <is>
          <t>HÖGSBY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6823-2025</t>
        </is>
      </c>
      <c r="B777" s="1" t="n">
        <v>45700</v>
      </c>
      <c r="C777" s="1" t="n">
        <v>45736</v>
      </c>
      <c r="D777" t="inlineStr">
        <is>
          <t>KALMAR LÄN</t>
        </is>
      </c>
      <c r="E777" t="inlineStr">
        <is>
          <t>HÖGSBY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6819-2025</t>
        </is>
      </c>
      <c r="B778" s="1" t="n">
        <v>45700</v>
      </c>
      <c r="C778" s="1" t="n">
        <v>45736</v>
      </c>
      <c r="D778" t="inlineStr">
        <is>
          <t>KALMAR LÄN</t>
        </is>
      </c>
      <c r="E778" t="inlineStr">
        <is>
          <t>HÖGSBY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6827-2025</t>
        </is>
      </c>
      <c r="B779" s="1" t="n">
        <v>45700</v>
      </c>
      <c r="C779" s="1" t="n">
        <v>45736</v>
      </c>
      <c r="D779" t="inlineStr">
        <is>
          <t>KALMAR LÄN</t>
        </is>
      </c>
      <c r="E779" t="inlineStr">
        <is>
          <t>HÖGSBY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6828-2025</t>
        </is>
      </c>
      <c r="B780" s="1" t="n">
        <v>45700</v>
      </c>
      <c r="C780" s="1" t="n">
        <v>45736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6824-2025</t>
        </is>
      </c>
      <c r="B781" s="1" t="n">
        <v>45700</v>
      </c>
      <c r="C781" s="1" t="n">
        <v>45736</v>
      </c>
      <c r="D781" t="inlineStr">
        <is>
          <t>KALMAR LÄN</t>
        </is>
      </c>
      <c r="E781" t="inlineStr">
        <is>
          <t>HÖGSBY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45736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45736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45736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8108-2025</t>
        </is>
      </c>
      <c r="B785" s="1" t="n">
        <v>45707</v>
      </c>
      <c r="C785" s="1" t="n">
        <v>45736</v>
      </c>
      <c r="D785" t="inlineStr">
        <is>
          <t>KALMAR LÄN</t>
        </is>
      </c>
      <c r="E785" t="inlineStr">
        <is>
          <t>HÖGSBY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8118-2025</t>
        </is>
      </c>
      <c r="B786" s="1" t="n">
        <v>45707</v>
      </c>
      <c r="C786" s="1" t="n">
        <v>45736</v>
      </c>
      <c r="D786" t="inlineStr">
        <is>
          <t>KALMAR LÄN</t>
        </is>
      </c>
      <c r="E786" t="inlineStr">
        <is>
          <t>HÖGSBY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8116-2025</t>
        </is>
      </c>
      <c r="B787" s="1" t="n">
        <v>45707</v>
      </c>
      <c r="C787" s="1" t="n">
        <v>45736</v>
      </c>
      <c r="D787" t="inlineStr">
        <is>
          <t>KALMAR LÄN</t>
        </is>
      </c>
      <c r="E787" t="inlineStr">
        <is>
          <t>HÖGSBY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7984-2025</t>
        </is>
      </c>
      <c r="B788" s="1" t="n">
        <v>45707</v>
      </c>
      <c r="C788" s="1" t="n">
        <v>45736</v>
      </c>
      <c r="D788" t="inlineStr">
        <is>
          <t>KALMAR LÄN</t>
        </is>
      </c>
      <c r="E788" t="inlineStr">
        <is>
          <t>HÖGSBY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8290-2025</t>
        </is>
      </c>
      <c r="B789" s="1" t="n">
        <v>45708</v>
      </c>
      <c r="C789" s="1" t="n">
        <v>45736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9583-2025</t>
        </is>
      </c>
      <c r="B790" s="1" t="n">
        <v>45715</v>
      </c>
      <c r="C790" s="1" t="n">
        <v>45736</v>
      </c>
      <c r="D790" t="inlineStr">
        <is>
          <t>KALMAR LÄN</t>
        </is>
      </c>
      <c r="E790" t="inlineStr">
        <is>
          <t>HÖGSBY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9582-2025</t>
        </is>
      </c>
      <c r="B791" s="1" t="n">
        <v>45715</v>
      </c>
      <c r="C791" s="1" t="n">
        <v>45736</v>
      </c>
      <c r="D791" t="inlineStr">
        <is>
          <t>KALMAR LÄN</t>
        </is>
      </c>
      <c r="E791" t="inlineStr">
        <is>
          <t>HÖGSBY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10405-2025</t>
        </is>
      </c>
      <c r="B792" s="1" t="n">
        <v>45720</v>
      </c>
      <c r="C792" s="1" t="n">
        <v>45736</v>
      </c>
      <c r="D792" t="inlineStr">
        <is>
          <t>KALMAR LÄN</t>
        </is>
      </c>
      <c r="E792" t="inlineStr">
        <is>
          <t>HÖGSBY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45736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10546-2025</t>
        </is>
      </c>
      <c r="B794" s="1" t="n">
        <v>45721</v>
      </c>
      <c r="C794" s="1" t="n">
        <v>45736</v>
      </c>
      <c r="D794" t="inlineStr">
        <is>
          <t>KALMAR LÄN</t>
        </is>
      </c>
      <c r="E794" t="inlineStr">
        <is>
          <t>HÖGSBY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10535-2025</t>
        </is>
      </c>
      <c r="B795" s="1" t="n">
        <v>45721</v>
      </c>
      <c r="C795" s="1" t="n">
        <v>45736</v>
      </c>
      <c r="D795" t="inlineStr">
        <is>
          <t>KALMAR LÄN</t>
        </is>
      </c>
      <c r="E795" t="inlineStr">
        <is>
          <t>HÖGSBY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10547-2025</t>
        </is>
      </c>
      <c r="B796" s="1" t="n">
        <v>45721</v>
      </c>
      <c r="C796" s="1" t="n">
        <v>45736</v>
      </c>
      <c r="D796" t="inlineStr">
        <is>
          <t>KALMAR LÄN</t>
        </is>
      </c>
      <c r="E796" t="inlineStr">
        <is>
          <t>HÖGSBY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11694-2025</t>
        </is>
      </c>
      <c r="B797" s="1" t="n">
        <v>45727</v>
      </c>
      <c r="C797" s="1" t="n">
        <v>45736</v>
      </c>
      <c r="D797" t="inlineStr">
        <is>
          <t>KALMAR LÄN</t>
        </is>
      </c>
      <c r="E797" t="inlineStr">
        <is>
          <t>HÖGSBY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11707-2025</t>
        </is>
      </c>
      <c r="B798" s="1" t="n">
        <v>45727</v>
      </c>
      <c r="C798" s="1" t="n">
        <v>45736</v>
      </c>
      <c r="D798" t="inlineStr">
        <is>
          <t>KALMAR LÄN</t>
        </is>
      </c>
      <c r="E798" t="inlineStr">
        <is>
          <t>HÖGSBY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11530-2025</t>
        </is>
      </c>
      <c r="B799" s="1" t="n">
        <v>45727</v>
      </c>
      <c r="C799" s="1" t="n">
        <v>45736</v>
      </c>
      <c r="D799" t="inlineStr">
        <is>
          <t>KALMAR LÄN</t>
        </is>
      </c>
      <c r="E799" t="inlineStr">
        <is>
          <t>HÖGSBY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12210-2025</t>
        </is>
      </c>
      <c r="B800" s="1" t="n">
        <v>45729</v>
      </c>
      <c r="C800" s="1" t="n">
        <v>45736</v>
      </c>
      <c r="D800" t="inlineStr">
        <is>
          <t>KALMAR LÄN</t>
        </is>
      </c>
      <c r="E800" t="inlineStr">
        <is>
          <t>HÖGSBY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2025-03-20T17:35:02Z</dcterms:created>
  <dcterms:modified xmlns:dcterms="http://purl.org/dc/terms/" xmlns:xsi="http://www.w3.org/2001/XMLSchema-instance" xsi:type="dcterms:W3CDTF">2025-03-20T17:35:02Z</dcterms:modified>
</cp:coreProperties>
</file>