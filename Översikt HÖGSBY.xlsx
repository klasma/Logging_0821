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46282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46282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46282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46282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46282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46282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46282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46282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46282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46282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46282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46282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46282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46282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46282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58017-2025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45982</v>
      </c>
      <c r="E17" s="1" t="n">
        <v>46282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8.4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Backvickermal
Björksplintborre
Blåmossa
Kornknutmossa</t>
        </is>
      </c>
      <c r="W17">
        <f>HYPERLINK("https://klasma.github.io/Logging_0821/artfynd/A 58017-2025 artfynd.xlsx", "A 58017-2025")</f>
        <v/>
      </c>
      <c r="X17">
        <f>HYPERLINK("https://klasma.github.io/Logging_0821/kartor/A 58017-2025 karta.png", "A 58017-2025")</f>
        <v/>
      </c>
      <c r="Y17">
        <f>HYPERLINK("https://klasma.github.io/Logging_0821/kartor_geotiff/A 58017-2025 georefererad karta.tif", "A 58017-2025")</f>
        <v/>
      </c>
      <c r="AA17">
        <f>HYPERLINK("https://klasma.github.io/Logging_0821/klagomål/A 58017-2025 FSC-klagomål.docx", "A 58017-2025")</f>
        <v/>
      </c>
      <c r="AB17">
        <f>HYPERLINK("https://klasma.github.io/Logging_0821/klagomålsmail/A 58017-2025 FSC-klagomål mail.docx", "A 58017-2025")</f>
        <v/>
      </c>
      <c r="AC17">
        <f>HYPERLINK("https://klasma.github.io/Logging_0821/tillsyn/A 58017-2025 tillsynsbegäran.docx", "A 58017-2025")</f>
        <v/>
      </c>
      <c r="AD17">
        <f>HYPERLINK("https://klasma.github.io/Logging_0821/tillsynsmail/A 58017-2025 tillsynsbegäran mail.docx", "A 58017-2025")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46282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46282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46282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46282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46282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46282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46282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46282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46282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46282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46282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46282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46282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46282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46282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46282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46282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46282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46282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46282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46282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46282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46282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46282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46282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46282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46282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46282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46282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23859-2026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46282</v>
      </c>
      <c r="F47" t="inlineStr">
        <is>
          <t>KALMAR LÄN</t>
        </is>
      </c>
      <c r="G47" t="inlineStr">
        <is>
          <t>HÖGSBY</t>
        </is>
      </c>
      <c r="I47" t="n">
        <v>3.8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HYPERLINK("https://klasma.github.io/Logging_0821/artfynd/A 23859-2026 artfynd.xlsx", "A 23859-2026")</f>
        <v/>
      </c>
      <c r="X47">
        <f>HYPERLINK("https://klasma.github.io/Logging_0821/kartor/A 23859-2026 karta.png", "A 23859-2026")</f>
        <v/>
      </c>
      <c r="Y47">
        <f>HYPERLINK("https://klasma.github.io/Logging_0821/kartor_geotiff/A 23859-2026 georefererad karta.tif", "A 23859-2026")</f>
        <v/>
      </c>
      <c r="AA47">
        <f>HYPERLINK("https://klasma.github.io/Logging_0821/klagomål/A 23859-2026 FSC-klagomål.docx", "A 23859-2026")</f>
        <v/>
      </c>
      <c r="AB47">
        <f>HYPERLINK("https://klasma.github.io/Logging_0821/klagomålsmail/A 23859-2026 FSC-klagomål mail.docx", "A 23859-2026")</f>
        <v/>
      </c>
      <c r="AC47">
        <f>HYPERLINK("https://klasma.github.io/Logging_0821/tillsyn/A 23859-2026 tillsynsbegäran.docx", "A 23859-2026")</f>
        <v/>
      </c>
      <c r="AD47">
        <f>HYPERLINK("https://klasma.github.io/Logging_0821/tillsynsmail/A 23859-2026 tillsynsbegäran mail.docx", "A 23859-2026")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46282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59700-2023 artfynd.xlsx", "A 59700-2023")</f>
        <v/>
      </c>
      <c r="X48">
        <f>HYPERLINK("https://klasma.github.io/Logging_0821/kartor/A 59700-2023 karta.png", "A 59700-2023")</f>
        <v/>
      </c>
      <c r="Y48">
        <f>HYPERLINK("https://klasma.github.io/Logging_0821/kartor_geotiff/A 59700-2023 georefererad karta.tif", "A 59700-2023")</f>
        <v/>
      </c>
      <c r="AA48">
        <f>HYPERLINK("https://klasma.github.io/Logging_0821/klagomål/A 59700-2023 FSC-klagomål.docx", "A 59700-2023")</f>
        <v/>
      </c>
      <c r="AB48">
        <f>HYPERLINK("https://klasma.github.io/Logging_0821/klagomålsmail/A 59700-2023 FSC-klagomål mail.docx", "A 59700-2023")</f>
        <v/>
      </c>
      <c r="AC48">
        <f>HYPERLINK("https://klasma.github.io/Logging_0821/tillsyn/A 59700-2023 tillsynsbegäran.docx", "A 59700-2023")</f>
        <v/>
      </c>
      <c r="AD48">
        <f>HYPERLINK("https://klasma.github.io/Logging_0821/tillsynsmail/A 59700-2023 tillsynsbegäran mail.docx", "A 59700-2023")</f>
        <v/>
      </c>
      <c r="AE48">
        <f>HYPERLINK("https://klasma.github.io/Logging_0821/fåglar/A 59700-2023 prioriterade fågelarter.docx", "A 59700-2023")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46282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46282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27366-2026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46282</v>
      </c>
      <c r="F51" t="inlineStr">
        <is>
          <t>KALMAR LÄN</t>
        </is>
      </c>
      <c r="G51" t="inlineStr">
        <is>
          <t>HÖGSBY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27366-2026 artfynd.xlsx", "A 27366-2026")</f>
        <v/>
      </c>
      <c r="X51">
        <f>HYPERLINK("https://klasma.github.io/Logging_0821/kartor/A 27366-2026 karta.png", "A 27366-2026")</f>
        <v/>
      </c>
      <c r="Y51">
        <f>HYPERLINK("https://klasma.github.io/Logging_0821/kartor_geotiff/A 27366-2026 georefererad karta.tif", "A 27366-2026")</f>
        <v/>
      </c>
      <c r="AA51">
        <f>HYPERLINK("https://klasma.github.io/Logging_0821/klagomål/A 27366-2026 FSC-klagomål.docx", "A 27366-2026")</f>
        <v/>
      </c>
      <c r="AB51">
        <f>HYPERLINK("https://klasma.github.io/Logging_0821/klagomålsmail/A 27366-2026 FSC-klagomål mail.docx", "A 27366-2026")</f>
        <v/>
      </c>
      <c r="AC51">
        <f>HYPERLINK("https://klasma.github.io/Logging_0821/tillsyn/A 27366-2026 tillsynsbegäran.docx", "A 27366-2026")</f>
        <v/>
      </c>
      <c r="AD51">
        <f>HYPERLINK("https://klasma.github.io/Logging_0821/tillsynsmail/A 27366-2026 tillsynsbegäran mail.docx", "A 27366-2026")</f>
        <v/>
      </c>
    </row>
    <row r="52" ht="15" customHeight="1">
      <c r="A52" t="inlineStr">
        <is>
          <t>A 58792-2022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46282</v>
      </c>
      <c r="F52" t="inlineStr">
        <is>
          <t>KALMAR LÄN</t>
        </is>
      </c>
      <c r="G52" t="inlineStr">
        <is>
          <t>HÖGSBY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58792-2022 artfynd.xlsx", "A 58792-2022")</f>
        <v/>
      </c>
      <c r="X52">
        <f>HYPERLINK("https://klasma.github.io/Logging_0821/kartor/A 58792-2022 karta.png", "A 58792-2022")</f>
        <v/>
      </c>
      <c r="Y52">
        <f>HYPERLINK("https://klasma.github.io/Logging_0821/kartor_geotiff/A 58792-2022 georefererad karta.tif", "A 58792-2022")</f>
        <v/>
      </c>
      <c r="AA52">
        <f>HYPERLINK("https://klasma.github.io/Logging_0821/klagomål/A 58792-2022 FSC-klagomål.docx", "A 58792-2022")</f>
        <v/>
      </c>
      <c r="AB52">
        <f>HYPERLINK("https://klasma.github.io/Logging_0821/klagomålsmail/A 58792-2022 FSC-klagomål mail.docx", "A 58792-2022")</f>
        <v/>
      </c>
      <c r="AC52">
        <f>HYPERLINK("https://klasma.github.io/Logging_0821/tillsyn/A 58792-2022 tillsynsbegäran.docx", "A 58792-2022")</f>
        <v/>
      </c>
      <c r="AD52">
        <f>HYPERLINK("https://klasma.github.io/Logging_0821/tillsynsmail/A 58792-2022 tillsynsbegäran mail.docx", "A 58792-2022")</f>
        <v/>
      </c>
    </row>
    <row r="53" ht="15" customHeight="1">
      <c r="A53" t="inlineStr">
        <is>
          <t>A 28894-2026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46282</v>
      </c>
      <c r="F53" t="inlineStr">
        <is>
          <t>KALMAR LÄN</t>
        </is>
      </c>
      <c r="G53" t="inlineStr">
        <is>
          <t>HÖGSBY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HYPERLINK("https://klasma.github.io/Logging_0821/artfynd/A 28894-2026 artfynd.xlsx", "A 28894-2026")</f>
        <v/>
      </c>
      <c r="X53">
        <f>HYPERLINK("https://klasma.github.io/Logging_0821/kartor/A 28894-2026 karta.png", "A 28894-2026")</f>
        <v/>
      </c>
      <c r="Y53">
        <f>HYPERLINK("https://klasma.github.io/Logging_0821/kartor_geotiff/A 28894-2026 georefererad karta.tif", "A 28894-2026")</f>
        <v/>
      </c>
      <c r="AA53">
        <f>HYPERLINK("https://klasma.github.io/Logging_0821/klagomål/A 28894-2026 FSC-klagomål.docx", "A 28894-2026")</f>
        <v/>
      </c>
      <c r="AB53">
        <f>HYPERLINK("https://klasma.github.io/Logging_0821/klagomålsmail/A 28894-2026 FSC-klagomål mail.docx", "A 28894-2026")</f>
        <v/>
      </c>
      <c r="AC53">
        <f>HYPERLINK("https://klasma.github.io/Logging_0821/tillsyn/A 28894-2026 tillsynsbegäran.docx", "A 28894-2026")</f>
        <v/>
      </c>
      <c r="AD53">
        <f>HYPERLINK("https://klasma.github.io/Logging_0821/tillsynsmail/A 28894-2026 tillsynsbegäran mail.docx", "A 28894-2026")</f>
        <v/>
      </c>
      <c r="AE53">
        <f>HYPERLINK("https://klasma.github.io/Logging_0821/fåglar/A 28894-2026 prioriterade fågelarter.docx", "A 28894-2026")</f>
        <v/>
      </c>
    </row>
    <row r="54" ht="15" customHeight="1">
      <c r="A54" t="inlineStr">
        <is>
          <t>A 33784-2026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46251</v>
      </c>
      <c r="E54" s="1" t="n">
        <v>46282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8.699999999999999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33784-2026 artfynd.xlsx", "A 33784-2026")</f>
        <v/>
      </c>
      <c r="X54">
        <f>HYPERLINK("https://klasma.github.io/Logging_0821/kartor/A 33784-2026 karta.png", "A 33784-2026")</f>
        <v/>
      </c>
      <c r="Y54">
        <f>HYPERLINK("https://klasma.github.io/Logging_0821/kartor_geotiff/A 33784-2026 georefererad karta.tif", "A 33784-2026")</f>
        <v/>
      </c>
      <c r="AA54">
        <f>HYPERLINK("https://klasma.github.io/Logging_0821/klagomål/A 33784-2026 FSC-klagomål.docx", "A 33784-2026")</f>
        <v/>
      </c>
      <c r="AB54">
        <f>HYPERLINK("https://klasma.github.io/Logging_0821/klagomålsmail/A 33784-2026 FSC-klagomål mail.docx", "A 33784-2026")</f>
        <v/>
      </c>
      <c r="AC54">
        <f>HYPERLINK("https://klasma.github.io/Logging_0821/tillsyn/A 33784-2026 tillsynsbegäran.docx", "A 33784-2026")</f>
        <v/>
      </c>
      <c r="AD54">
        <f>HYPERLINK("https://klasma.github.io/Logging_0821/tillsynsmail/A 33784-2026 tillsynsbegäran mail.docx", "A 33784-2026")</f>
        <v/>
      </c>
      <c r="AE54">
        <f>HYPERLINK("https://klasma.github.io/Logging_0821/fåglar/A 33784-2026 prioriterade fågelarter.docx", "A 33784-2026")</f>
        <v/>
      </c>
    </row>
    <row r="55" ht="15" customHeight="1">
      <c r="A55" t="inlineStr">
        <is>
          <t>A 30186-2026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46206</v>
      </c>
      <c r="E55" s="1" t="n">
        <v>46282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Gullklöver</t>
        </is>
      </c>
      <c r="W55">
        <f>HYPERLINK("https://klasma.github.io/Logging_0821/artfynd/A 30186-2026 artfynd.xlsx", "A 30186-2026")</f>
        <v/>
      </c>
      <c r="X55">
        <f>HYPERLINK("https://klasma.github.io/Logging_0821/kartor/A 30186-2026 karta.png", "A 30186-2026")</f>
        <v/>
      </c>
      <c r="Y55">
        <f>HYPERLINK("https://klasma.github.io/Logging_0821/kartor_geotiff/A 30186-2026 georefererad karta.tif", "A 30186-2026")</f>
        <v/>
      </c>
      <c r="AA55">
        <f>HYPERLINK("https://klasma.github.io/Logging_0821/klagomål/A 30186-2026 FSC-klagomål.docx", "A 30186-2026")</f>
        <v/>
      </c>
      <c r="AB55">
        <f>HYPERLINK("https://klasma.github.io/Logging_0821/klagomålsmail/A 30186-2026 FSC-klagomål mail.docx", "A 30186-2026")</f>
        <v/>
      </c>
      <c r="AC55">
        <f>HYPERLINK("https://klasma.github.io/Logging_0821/tillsyn/A 30186-2026 tillsynsbegäran.docx", "A 30186-2026")</f>
        <v/>
      </c>
      <c r="AD55">
        <f>HYPERLINK("https://klasma.github.io/Logging_0821/tillsynsmail/A 30186-2026 tillsynsbegäran mail.docx", "A 30186-2026")</f>
        <v/>
      </c>
    </row>
    <row r="56" ht="15" customHeight="1">
      <c r="A56" t="inlineStr">
        <is>
          <t>A 52177-2022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46282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Nordfladdermus</t>
        </is>
      </c>
      <c r="W56">
        <f>HYPERLINK("https://klasma.github.io/Logging_0821/artfynd/A 52177-2022 artfynd.xlsx", "A 52177-2022")</f>
        <v/>
      </c>
      <c r="X56">
        <f>HYPERLINK("https://klasma.github.io/Logging_0821/kartor/A 52177-2022 karta.png", "A 52177-2022")</f>
        <v/>
      </c>
      <c r="Y56">
        <f>HYPERLINK("https://klasma.github.io/Logging_0821/kartor_geotiff/A 52177-2022 georefererad karta.tif", "A 52177-2022")</f>
        <v/>
      </c>
      <c r="AA56">
        <f>HYPERLINK("https://klasma.github.io/Logging_0821/klagomål/A 52177-2022 FSC-klagomål.docx", "A 52177-2022")</f>
        <v/>
      </c>
      <c r="AB56">
        <f>HYPERLINK("https://klasma.github.io/Logging_0821/klagomålsmail/A 52177-2022 FSC-klagomål mail.docx", "A 52177-2022")</f>
        <v/>
      </c>
      <c r="AC56">
        <f>HYPERLINK("https://klasma.github.io/Logging_0821/tillsyn/A 52177-2022 tillsynsbegäran.docx", "A 52177-2022")</f>
        <v/>
      </c>
      <c r="AD56">
        <f>HYPERLINK("https://klasma.github.io/Logging_0821/tillsynsmail/A 52177-2022 tillsynsbegäran mail.docx", "A 52177-2022")</f>
        <v/>
      </c>
    </row>
    <row r="57" ht="15" customHeight="1">
      <c r="A57" t="inlineStr">
        <is>
          <t>A 30800-2026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46212</v>
      </c>
      <c r="E57" s="1" t="n">
        <v>46282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HYPERLINK("https://klasma.github.io/Logging_0821/artfynd/A 30800-2026 artfynd.xlsx", "A 30800-2026")</f>
        <v/>
      </c>
      <c r="X57">
        <f>HYPERLINK("https://klasma.github.io/Logging_0821/kartor/A 30800-2026 karta.png", "A 30800-2026")</f>
        <v/>
      </c>
      <c r="Y57">
        <f>HYPERLINK("https://klasma.github.io/Logging_0821/kartor_geotiff/A 30800-2026 georefererad karta.tif", "A 30800-2026")</f>
        <v/>
      </c>
      <c r="AA57">
        <f>HYPERLINK("https://klasma.github.io/Logging_0821/klagomål/A 30800-2026 FSC-klagomål.docx", "A 30800-2026")</f>
        <v/>
      </c>
      <c r="AB57">
        <f>HYPERLINK("https://klasma.github.io/Logging_0821/klagomålsmail/A 30800-2026 FSC-klagomål mail.docx", "A 30800-2026")</f>
        <v/>
      </c>
      <c r="AC57">
        <f>HYPERLINK("https://klasma.github.io/Logging_0821/tillsyn/A 30800-2026 tillsynsbegäran.docx", "A 30800-2026")</f>
        <v/>
      </c>
      <c r="AD57">
        <f>HYPERLINK("https://klasma.github.io/Logging_0821/tillsynsmail/A 30800-2026 tillsynsbegäran mail.docx", "A 30800-2026")</f>
        <v/>
      </c>
    </row>
    <row r="58" ht="15" customHeight="1">
      <c r="A58" t="inlineStr">
        <is>
          <t>A 59407-2022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46282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Blåsippa</t>
        </is>
      </c>
      <c r="W58">
        <f>HYPERLINK("https://klasma.github.io/Logging_0821/artfynd/A 59407-2022 artfynd.xlsx", "A 59407-2022")</f>
        <v/>
      </c>
      <c r="X58">
        <f>HYPERLINK("https://klasma.github.io/Logging_0821/kartor/A 59407-2022 karta.png", "A 59407-2022")</f>
        <v/>
      </c>
      <c r="Y58">
        <f>HYPERLINK("https://klasma.github.io/Logging_0821/kartor_geotiff/A 59407-2022 georefererad karta.tif", "A 59407-2022")</f>
        <v/>
      </c>
      <c r="AA58">
        <f>HYPERLINK("https://klasma.github.io/Logging_0821/klagomål/A 59407-2022 FSC-klagomål.docx", "A 59407-2022")</f>
        <v/>
      </c>
      <c r="AB58">
        <f>HYPERLINK("https://klasma.github.io/Logging_0821/klagomålsmail/A 59407-2022 FSC-klagomål mail.docx", "A 59407-2022")</f>
        <v/>
      </c>
      <c r="AC58">
        <f>HYPERLINK("https://klasma.github.io/Logging_0821/tillsyn/A 59407-2022 tillsynsbegäran.docx", "A 59407-2022")</f>
        <v/>
      </c>
      <c r="AD58">
        <f>HYPERLINK("https://klasma.github.io/Logging_0821/tillsynsmail/A 59407-2022 tillsynsbegäran mail.docx", "A 59407-2022")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46282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46282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46282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46282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46282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46282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46282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46282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46282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46282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46282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46282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46282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46282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46282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46282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46282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46282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46282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46282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46282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46282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46282</v>
      </c>
      <c r="F81" t="inlineStr">
        <is>
          <t>KALMAR LÄN</t>
        </is>
      </c>
      <c r="G81" t="inlineStr">
        <is>
          <t>HÖGSBY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46282</v>
      </c>
      <c r="F82" t="inlineStr">
        <is>
          <t>KALMAR LÄN</t>
        </is>
      </c>
      <c r="G82" t="inlineStr">
        <is>
          <t>HÖGSBY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40105-2022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46282</v>
      </c>
      <c r="F83" t="inlineStr">
        <is>
          <t>KALMAR LÄN</t>
        </is>
      </c>
      <c r="G83" t="inlineStr">
        <is>
          <t>HÖGSBY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46282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46282</v>
      </c>
      <c r="F85" t="inlineStr">
        <is>
          <t>KALMAR LÄN</t>
        </is>
      </c>
      <c r="G85" t="inlineStr">
        <is>
          <t>HÖGSBY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71165-2021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46282</v>
      </c>
      <c r="F86" t="inlineStr">
        <is>
          <t>KALMAR LÄN</t>
        </is>
      </c>
      <c r="G86" t="inlineStr">
        <is>
          <t>HÖGSBY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46282</v>
      </c>
      <c r="F87" t="inlineStr">
        <is>
          <t>KALMAR LÄN</t>
        </is>
      </c>
      <c r="G87" t="inlineStr">
        <is>
          <t>HÖGSBY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46282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44880</v>
      </c>
      <c r="E89" s="1" t="n">
        <v>46282</v>
      </c>
      <c r="F89" t="inlineStr">
        <is>
          <t>KALMAR LÄN</t>
        </is>
      </c>
      <c r="G89" t="inlineStr">
        <is>
          <t>HÖGSBY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46282</v>
      </c>
      <c r="F90" t="inlineStr">
        <is>
          <t>KALMAR LÄN</t>
        </is>
      </c>
      <c r="G90" t="inlineStr">
        <is>
          <t>HÖGSBY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46282</v>
      </c>
      <c r="F91" t="inlineStr">
        <is>
          <t>KALMAR LÄN</t>
        </is>
      </c>
      <c r="G91" t="inlineStr">
        <is>
          <t>HÖGSBY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44542</v>
      </c>
      <c r="E92" s="1" t="n">
        <v>46282</v>
      </c>
      <c r="F92" t="inlineStr">
        <is>
          <t>KALMAR LÄN</t>
        </is>
      </c>
      <c r="G92" t="inlineStr">
        <is>
          <t>HÖGSBY</t>
        </is>
      </c>
      <c r="I92" t="n">
        <v>16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46282</v>
      </c>
      <c r="F93" t="inlineStr">
        <is>
          <t>KALMAR LÄN</t>
        </is>
      </c>
      <c r="G93" t="inlineStr">
        <is>
          <t>HÖGSBY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46282</v>
      </c>
      <c r="F94" t="inlineStr">
        <is>
          <t>KALMAR LÄN</t>
        </is>
      </c>
      <c r="G94" t="inlineStr">
        <is>
          <t>HÖGSBY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46282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44634</v>
      </c>
      <c r="E96" s="1" t="n">
        <v>46282</v>
      </c>
      <c r="F96" t="inlineStr">
        <is>
          <t>KALMAR LÄN</t>
        </is>
      </c>
      <c r="G96" t="inlineStr">
        <is>
          <t>HÖGSBY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46282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46282</v>
      </c>
      <c r="F98" t="inlineStr">
        <is>
          <t>KALMAR LÄN</t>
        </is>
      </c>
      <c r="G98" t="inlineStr">
        <is>
          <t>HÖGSBY</t>
        </is>
      </c>
      <c r="H98" t="inlineStr">
        <is>
          <t>Kyrkan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46282</v>
      </c>
      <c r="F99" t="inlineStr">
        <is>
          <t>KALMAR LÄN</t>
        </is>
      </c>
      <c r="G99" t="inlineStr">
        <is>
          <t>HÖGSBY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44895</v>
      </c>
      <c r="E100" s="1" t="n">
        <v>46282</v>
      </c>
      <c r="F100" t="inlineStr">
        <is>
          <t>KALMAR LÄN</t>
        </is>
      </c>
      <c r="G100" t="inlineStr">
        <is>
          <t>HÖGSBY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46282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46282</v>
      </c>
      <c r="F102" t="inlineStr">
        <is>
          <t>KALMAR LÄN</t>
        </is>
      </c>
      <c r="G102" t="inlineStr">
        <is>
          <t>HÖGSBY</t>
        </is>
      </c>
      <c r="I102" t="n">
        <v>12.1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38797-2024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45547</v>
      </c>
      <c r="E103" s="1" t="n">
        <v>46282</v>
      </c>
      <c r="F103" t="inlineStr">
        <is>
          <t>KALMAR LÄN</t>
        </is>
      </c>
      <c r="G103" t="inlineStr">
        <is>
          <t>HÖGSBY</t>
        </is>
      </c>
      <c r="H103" t="inlineStr">
        <is>
          <t>Sveaskog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46282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46282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46282</v>
      </c>
      <c r="F106" t="inlineStr">
        <is>
          <t>KALMAR LÄN</t>
        </is>
      </c>
      <c r="G106" t="inlineStr">
        <is>
          <t>HÖGSBY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46282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45306</v>
      </c>
      <c r="E108" s="1" t="n">
        <v>46282</v>
      </c>
      <c r="F108" t="inlineStr">
        <is>
          <t>KALMAR LÄN</t>
        </is>
      </c>
      <c r="G108" t="inlineStr">
        <is>
          <t>HÖGSBY</t>
        </is>
      </c>
      <c r="H108" t="inlineStr">
        <is>
          <t>Övriga Aktiebolag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45015</v>
      </c>
      <c r="E109" s="1" t="n">
        <v>46282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45040</v>
      </c>
      <c r="E110" s="1" t="n">
        <v>46282</v>
      </c>
      <c r="F110" t="inlineStr">
        <is>
          <t>KALMAR LÄN</t>
        </is>
      </c>
      <c r="G110" t="inlineStr">
        <is>
          <t>HÖGSBY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46282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46282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46282</v>
      </c>
      <c r="F113" t="inlineStr">
        <is>
          <t>KALMAR LÄN</t>
        </is>
      </c>
      <c r="G113" t="inlineStr">
        <is>
          <t>HÖGSBY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37811-2024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45544</v>
      </c>
      <c r="E114" s="1" t="n">
        <v>46282</v>
      </c>
      <c r="F114" t="inlineStr">
        <is>
          <t>KALMAR LÄN</t>
        </is>
      </c>
      <c r="G114" t="inlineStr">
        <is>
          <t>HÖGSBY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46282</v>
      </c>
      <c r="F115" t="inlineStr">
        <is>
          <t>KALMAR LÄN</t>
        </is>
      </c>
      <c r="G115" t="inlineStr">
        <is>
          <t>HÖGSBY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46282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46282</v>
      </c>
      <c r="F117" t="inlineStr">
        <is>
          <t>KALMAR LÄN</t>
        </is>
      </c>
      <c r="G117" t="inlineStr">
        <is>
          <t>HÖGSBY</t>
        </is>
      </c>
      <c r="H117" t="inlineStr">
        <is>
          <t>Övriga Aktiebolag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44729</v>
      </c>
      <c r="E118" s="1" t="n">
        <v>46282</v>
      </c>
      <c r="F118" t="inlineStr">
        <is>
          <t>KALMAR LÄN</t>
        </is>
      </c>
      <c r="G118" t="inlineStr">
        <is>
          <t>HÖGSBY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46282</v>
      </c>
      <c r="F119" t="inlineStr">
        <is>
          <t>KALMAR LÄN</t>
        </is>
      </c>
      <c r="G119" t="inlineStr">
        <is>
          <t>HÖGSBY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46282</v>
      </c>
      <c r="F120" t="inlineStr">
        <is>
          <t>KALMAR LÄN</t>
        </is>
      </c>
      <c r="G120" t="inlineStr">
        <is>
          <t>HÖGSBY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8108-2025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45707</v>
      </c>
      <c r="E121" s="1" t="n">
        <v>46282</v>
      </c>
      <c r="F121" t="inlineStr">
        <is>
          <t>KALMAR LÄN</t>
        </is>
      </c>
      <c r="G121" t="inlineStr">
        <is>
          <t>HÖGSBY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46282</v>
      </c>
      <c r="F122" t="inlineStr">
        <is>
          <t>KALMAR LÄN</t>
        </is>
      </c>
      <c r="G122" t="inlineStr">
        <is>
          <t>HÖGSBY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46282</v>
      </c>
      <c r="F123" t="inlineStr">
        <is>
          <t>KALMAR LÄN</t>
        </is>
      </c>
      <c r="G123" t="inlineStr">
        <is>
          <t>HÖGSBY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44987</v>
      </c>
      <c r="E124" s="1" t="n">
        <v>46282</v>
      </c>
      <c r="F124" t="inlineStr">
        <is>
          <t>KALMAR LÄN</t>
        </is>
      </c>
      <c r="G124" t="inlineStr">
        <is>
          <t>HÖGSBY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44861</v>
      </c>
      <c r="E125" s="1" t="n">
        <v>46282</v>
      </c>
      <c r="F125" t="inlineStr">
        <is>
          <t>KALMAR LÄN</t>
        </is>
      </c>
      <c r="G125" t="inlineStr">
        <is>
          <t>HÖGSBY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45168</v>
      </c>
      <c r="E126" s="1" t="n">
        <v>46282</v>
      </c>
      <c r="F126" t="inlineStr">
        <is>
          <t>KALMAR LÄN</t>
        </is>
      </c>
      <c r="G126" t="inlineStr">
        <is>
          <t>HÖGSBY</t>
        </is>
      </c>
      <c r="H126" t="inlineStr">
        <is>
          <t>Kommuner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46282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46282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38596-2024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46282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46282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46282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46282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46282</v>
      </c>
      <c r="F133" t="inlineStr">
        <is>
          <t>KALMAR LÄN</t>
        </is>
      </c>
      <c r="G133" t="inlineStr">
        <is>
          <t>HÖGSBY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44677</v>
      </c>
      <c r="E134" s="1" t="n">
        <v>46282</v>
      </c>
      <c r="F134" t="inlineStr">
        <is>
          <t>KALMAR LÄN</t>
        </is>
      </c>
      <c r="G134" t="inlineStr">
        <is>
          <t>HÖGSBY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46282</v>
      </c>
      <c r="F135" t="inlineStr">
        <is>
          <t>KALMAR LÄN</t>
        </is>
      </c>
      <c r="G135" t="inlineStr">
        <is>
          <t>HÖGSBY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46282</v>
      </c>
      <c r="F136" t="inlineStr">
        <is>
          <t>KALMAR LÄN</t>
        </is>
      </c>
      <c r="G136" t="inlineStr">
        <is>
          <t>HÖGSBY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46282</v>
      </c>
      <c r="F137" t="inlineStr">
        <is>
          <t>KALMAR LÄN</t>
        </is>
      </c>
      <c r="G137" t="inlineStr">
        <is>
          <t>HÖGSBY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46282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25861-2023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46282</v>
      </c>
      <c r="F139" t="inlineStr">
        <is>
          <t>KALMAR LÄN</t>
        </is>
      </c>
      <c r="G139" t="inlineStr">
        <is>
          <t>HÖGSBY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46282</v>
      </c>
      <c r="F140" t="inlineStr">
        <is>
          <t>KALMAR LÄN</t>
        </is>
      </c>
      <c r="G140" t="inlineStr">
        <is>
          <t>HÖGSBY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45847</v>
      </c>
      <c r="E141" s="1" t="n">
        <v>46282</v>
      </c>
      <c r="F141" t="inlineStr">
        <is>
          <t>KALMAR LÄN</t>
        </is>
      </c>
      <c r="G141" t="inlineStr">
        <is>
          <t>HÖGSBY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45847</v>
      </c>
      <c r="E142" s="1" t="n">
        <v>46282</v>
      </c>
      <c r="F142" t="inlineStr">
        <is>
          <t>KALMAR LÄN</t>
        </is>
      </c>
      <c r="G142" t="inlineStr">
        <is>
          <t>HÖGSBY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46282</v>
      </c>
      <c r="F143" t="inlineStr">
        <is>
          <t>KALMAR LÄN</t>
        </is>
      </c>
      <c r="G143" t="inlineStr">
        <is>
          <t>HÖGSBY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46282</v>
      </c>
      <c r="F144" t="inlineStr">
        <is>
          <t>KALMAR LÄN</t>
        </is>
      </c>
      <c r="G144" t="inlineStr">
        <is>
          <t>HÖGSBY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45554</v>
      </c>
      <c r="E145" s="1" t="n">
        <v>46282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44984</v>
      </c>
      <c r="E146" s="1" t="n">
        <v>46282</v>
      </c>
      <c r="F146" t="inlineStr">
        <is>
          <t>KALMAR LÄN</t>
        </is>
      </c>
      <c r="G146" t="inlineStr">
        <is>
          <t>HÖGSBY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46282</v>
      </c>
      <c r="F147" t="inlineStr">
        <is>
          <t>KALMAR LÄN</t>
        </is>
      </c>
      <c r="G147" t="inlineStr">
        <is>
          <t>HÖGSBY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46282</v>
      </c>
      <c r="F148" t="inlineStr">
        <is>
          <t>KALMAR LÄN</t>
        </is>
      </c>
      <c r="G148" t="inlineStr">
        <is>
          <t>HÖGSBY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46282</v>
      </c>
      <c r="F149" t="inlineStr">
        <is>
          <t>KALMAR LÄN</t>
        </is>
      </c>
      <c r="G149" t="inlineStr">
        <is>
          <t>HÖGSBY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46282</v>
      </c>
      <c r="F150" t="inlineStr">
        <is>
          <t>KALMAR LÄN</t>
        </is>
      </c>
      <c r="G150" t="inlineStr">
        <is>
          <t>HÖGSBY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46282</v>
      </c>
      <c r="F151" t="inlineStr">
        <is>
          <t>KALMAR LÄN</t>
        </is>
      </c>
      <c r="G151" t="inlineStr">
        <is>
          <t>HÖGSBY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38068-2025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45882</v>
      </c>
      <c r="E152" s="1" t="n">
        <v>46282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46282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46282</v>
      </c>
      <c r="F154" t="inlineStr">
        <is>
          <t>KALMAR LÄN</t>
        </is>
      </c>
      <c r="G154" t="inlineStr">
        <is>
          <t>HÖGSBY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46282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46282</v>
      </c>
      <c r="F156" t="inlineStr">
        <is>
          <t>KALMAR LÄN</t>
        </is>
      </c>
      <c r="G156" t="inlineStr">
        <is>
          <t>HÖGSBY</t>
        </is>
      </c>
      <c r="I156" t="n">
        <v>12.8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46282</v>
      </c>
      <c r="F157" t="inlineStr">
        <is>
          <t>KALMAR LÄN</t>
        </is>
      </c>
      <c r="G157" t="inlineStr">
        <is>
          <t>HÖGSBY</t>
        </is>
      </c>
      <c r="H157" t="inlineStr">
        <is>
          <t>Kyrkan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46282</v>
      </c>
      <c r="F158" t="inlineStr">
        <is>
          <t>KALMAR LÄN</t>
        </is>
      </c>
      <c r="G158" t="inlineStr">
        <is>
          <t>HÖGSBY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46282</v>
      </c>
      <c r="F159" t="inlineStr">
        <is>
          <t>KALMAR LÄN</t>
        </is>
      </c>
      <c r="G159" t="inlineStr">
        <is>
          <t>HÖGSBY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46282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32049-2023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45119</v>
      </c>
      <c r="E161" s="1" t="n">
        <v>46282</v>
      </c>
      <c r="F161" t="inlineStr">
        <is>
          <t>KALMAR LÄN</t>
        </is>
      </c>
      <c r="G161" t="inlineStr">
        <is>
          <t>HÖGSBY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46282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46282</v>
      </c>
      <c r="F163" t="inlineStr">
        <is>
          <t>KALMAR LÄN</t>
        </is>
      </c>
      <c r="G163" t="inlineStr">
        <is>
          <t>HÖGSBY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7443-2026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46059</v>
      </c>
      <c r="E164" s="1" t="n">
        <v>46282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38824-2024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45547</v>
      </c>
      <c r="E165" s="1" t="n">
        <v>46282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45176</v>
      </c>
      <c r="E166" s="1" t="n">
        <v>46282</v>
      </c>
      <c r="F166" t="inlineStr">
        <is>
          <t>KALMAR LÄN</t>
        </is>
      </c>
      <c r="G166" t="inlineStr">
        <is>
          <t>HÖGSBY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28648-2023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45103</v>
      </c>
      <c r="E167" s="1" t="n">
        <v>46282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46282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46282</v>
      </c>
      <c r="F169" t="inlineStr">
        <is>
          <t>KALMAR LÄN</t>
        </is>
      </c>
      <c r="G169" t="inlineStr">
        <is>
          <t>HÖGSBY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73709-2021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46282</v>
      </c>
      <c r="F170" t="inlineStr">
        <is>
          <t>KALMAR LÄN</t>
        </is>
      </c>
      <c r="G170" t="inlineStr">
        <is>
          <t>HÖGSBY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44902</v>
      </c>
      <c r="E171" s="1" t="n">
        <v>46282</v>
      </c>
      <c r="F171" t="inlineStr">
        <is>
          <t>KALMAR LÄN</t>
        </is>
      </c>
      <c r="G171" t="inlineStr">
        <is>
          <t>HÖGSBY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59109-2025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46282</v>
      </c>
      <c r="F172" t="inlineStr">
        <is>
          <t>KALMAR LÄN</t>
        </is>
      </c>
      <c r="G172" t="inlineStr">
        <is>
          <t>HÖGSBY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45320</v>
      </c>
      <c r="E173" s="1" t="n">
        <v>46282</v>
      </c>
      <c r="F173" t="inlineStr">
        <is>
          <t>KALMAR LÄN</t>
        </is>
      </c>
      <c r="G173" t="inlineStr">
        <is>
          <t>HÖGSBY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11029-2026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46282</v>
      </c>
      <c r="F174" t="inlineStr">
        <is>
          <t>KALMAR LÄN</t>
        </is>
      </c>
      <c r="G174" t="inlineStr">
        <is>
          <t>HÖGSBY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45259</v>
      </c>
      <c r="E175" s="1" t="n">
        <v>46282</v>
      </c>
      <c r="F175" t="inlineStr">
        <is>
          <t>KALMAR LÄN</t>
        </is>
      </c>
      <c r="G175" t="inlineStr">
        <is>
          <t>HÖGSBY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46282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46282</v>
      </c>
      <c r="F177" t="inlineStr">
        <is>
          <t>KALMAR LÄN</t>
        </is>
      </c>
      <c r="G177" t="inlineStr">
        <is>
          <t>HÖGSBY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46282</v>
      </c>
      <c r="F178" t="inlineStr">
        <is>
          <t>KALMAR LÄN</t>
        </is>
      </c>
      <c r="G178" t="inlineStr">
        <is>
          <t>HÖGSBY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45244</v>
      </c>
      <c r="E179" s="1" t="n">
        <v>46282</v>
      </c>
      <c r="F179" t="inlineStr">
        <is>
          <t>KALMAR LÄN</t>
        </is>
      </c>
      <c r="G179" t="inlineStr">
        <is>
          <t>HÖGSBY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46282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46282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46001</v>
      </c>
      <c r="E182" s="1" t="n">
        <v>46282</v>
      </c>
      <c r="F182" t="inlineStr">
        <is>
          <t>KALMAR LÄN</t>
        </is>
      </c>
      <c r="G182" t="inlineStr">
        <is>
          <t>HÖGSBY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46282</v>
      </c>
      <c r="F183" t="inlineStr">
        <is>
          <t>KALMAR LÄN</t>
        </is>
      </c>
      <c r="G183" t="inlineStr">
        <is>
          <t>HÖGSBY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46282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46282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45999</v>
      </c>
      <c r="E186" s="1" t="n">
        <v>46282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18.4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46282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46282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44586</v>
      </c>
      <c r="E189" s="1" t="n">
        <v>46282</v>
      </c>
      <c r="F189" t="inlineStr">
        <is>
          <t>KALMAR LÄN</t>
        </is>
      </c>
      <c r="G189" t="inlineStr">
        <is>
          <t>HÖGSBY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46282</v>
      </c>
      <c r="F190" t="inlineStr">
        <is>
          <t>KALMAR LÄN</t>
        </is>
      </c>
      <c r="G190" t="inlineStr">
        <is>
          <t>HÖGSBY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44991</v>
      </c>
      <c r="E191" s="1" t="n">
        <v>46282</v>
      </c>
      <c r="F191" t="inlineStr">
        <is>
          <t>KALMAR LÄN</t>
        </is>
      </c>
      <c r="G191" t="inlineStr">
        <is>
          <t>HÖGSBY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46009</v>
      </c>
      <c r="E192" s="1" t="n">
        <v>46282</v>
      </c>
      <c r="F192" t="inlineStr">
        <is>
          <t>KALMAR LÄN</t>
        </is>
      </c>
      <c r="G192" t="inlineStr">
        <is>
          <t>HÖGSBY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62720-2025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46008</v>
      </c>
      <c r="E193" s="1" t="n">
        <v>46282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62722-2025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46008</v>
      </c>
      <c r="E194" s="1" t="n">
        <v>46282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63483-2025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46013</v>
      </c>
      <c r="E195" s="1" t="n">
        <v>46282</v>
      </c>
      <c r="F195" t="inlineStr">
        <is>
          <t>KALMAR LÄN</t>
        </is>
      </c>
      <c r="G195" t="inlineStr">
        <is>
          <t>HÖGSBY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45173</v>
      </c>
      <c r="E196" s="1" t="n">
        <v>46282</v>
      </c>
      <c r="F196" t="inlineStr">
        <is>
          <t>KALMAR LÄN</t>
        </is>
      </c>
      <c r="G196" t="inlineStr">
        <is>
          <t>HÖGSBY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71635-2021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46282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46093</v>
      </c>
      <c r="E198" s="1" t="n">
        <v>46282</v>
      </c>
      <c r="F198" t="inlineStr">
        <is>
          <t>KALMAR LÄN</t>
        </is>
      </c>
      <c r="G198" t="inlineStr">
        <is>
          <t>HÖGSBY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53108-2023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45228</v>
      </c>
      <c r="E199" s="1" t="n">
        <v>46282</v>
      </c>
      <c r="F199" t="inlineStr">
        <is>
          <t>KALMAR LÄN</t>
        </is>
      </c>
      <c r="G199" t="inlineStr">
        <is>
          <t>HÖGSBY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46282</v>
      </c>
      <c r="F200" t="inlineStr">
        <is>
          <t>KALMAR LÄN</t>
        </is>
      </c>
      <c r="G200" t="inlineStr">
        <is>
          <t>HÖGSBY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14894-2025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45743</v>
      </c>
      <c r="E201" s="1" t="n">
        <v>46282</v>
      </c>
      <c r="F201" t="inlineStr">
        <is>
          <t>KALMAR LÄN</t>
        </is>
      </c>
      <c r="G201" t="inlineStr">
        <is>
          <t>HÖGSBY</t>
        </is>
      </c>
      <c r="H201" t="inlineStr">
        <is>
          <t>Kommuner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46282</v>
      </c>
      <c r="F202" t="inlineStr">
        <is>
          <t>KALMAR LÄN</t>
        </is>
      </c>
      <c r="G202" t="inlineStr">
        <is>
          <t>HÖGSBY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46107</v>
      </c>
      <c r="E203" s="1" t="n">
        <v>46282</v>
      </c>
      <c r="F203" t="inlineStr">
        <is>
          <t>KALMAR LÄN</t>
        </is>
      </c>
      <c r="G203" t="inlineStr">
        <is>
          <t>HÖGSBY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44993</v>
      </c>
      <c r="E204" s="1" t="n">
        <v>46282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46282</v>
      </c>
      <c r="F205" t="inlineStr">
        <is>
          <t>KALMAR LÄN</t>
        </is>
      </c>
      <c r="G205" t="inlineStr">
        <is>
          <t>HÖGSBY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46282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7325-2025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45702</v>
      </c>
      <c r="E207" s="1" t="n">
        <v>46282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46114</v>
      </c>
      <c r="E208" s="1" t="n">
        <v>46282</v>
      </c>
      <c r="F208" t="inlineStr">
        <is>
          <t>KALMAR LÄN</t>
        </is>
      </c>
      <c r="G208" t="inlineStr">
        <is>
          <t>HÖGSBY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44725</v>
      </c>
      <c r="E209" s="1" t="n">
        <v>46282</v>
      </c>
      <c r="F209" t="inlineStr">
        <is>
          <t>KALMAR LÄN</t>
        </is>
      </c>
      <c r="G209" t="inlineStr">
        <is>
          <t>HÖGSBY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46282</v>
      </c>
      <c r="F210" t="inlineStr">
        <is>
          <t>KALMAR LÄN</t>
        </is>
      </c>
      <c r="G210" t="inlineStr">
        <is>
          <t>HÖGSBY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46122</v>
      </c>
      <c r="E211" s="1" t="n">
        <v>46282</v>
      </c>
      <c r="F211" t="inlineStr">
        <is>
          <t>KALMAR LÄN</t>
        </is>
      </c>
      <c r="G211" t="inlineStr">
        <is>
          <t>HÖGSBY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46282</v>
      </c>
      <c r="F212" t="inlineStr">
        <is>
          <t>KALMAR LÄN</t>
        </is>
      </c>
      <c r="G212" t="inlineStr">
        <is>
          <t>HÖGSBY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46282</v>
      </c>
      <c r="F213" t="inlineStr">
        <is>
          <t>KALMAR LÄN</t>
        </is>
      </c>
      <c r="G213" t="inlineStr">
        <is>
          <t>HÖGSBY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46282</v>
      </c>
      <c r="F214" t="inlineStr">
        <is>
          <t>KALMAR LÄN</t>
        </is>
      </c>
      <c r="G214" t="inlineStr">
        <is>
          <t>HÖGSBY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46282</v>
      </c>
      <c r="F215" t="inlineStr">
        <is>
          <t>KALMAR LÄN</t>
        </is>
      </c>
      <c r="G215" t="inlineStr">
        <is>
          <t>HÖGSBY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45217</v>
      </c>
      <c r="E216" s="1" t="n">
        <v>46282</v>
      </c>
      <c r="F216" t="inlineStr">
        <is>
          <t>KALMAR LÄN</t>
        </is>
      </c>
      <c r="G216" t="inlineStr">
        <is>
          <t>HÖGSBY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46282</v>
      </c>
      <c r="F217" t="inlineStr">
        <is>
          <t>KALMAR LÄN</t>
        </is>
      </c>
      <c r="G217" t="inlineStr">
        <is>
          <t>HÖGSBY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46282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46282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46282</v>
      </c>
      <c r="F220" t="inlineStr">
        <is>
          <t>KALMAR LÄN</t>
        </is>
      </c>
      <c r="G220" t="inlineStr">
        <is>
          <t>HÖGSBY</t>
        </is>
      </c>
      <c r="H220" t="inlineStr">
        <is>
          <t>Kommuner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46282</v>
      </c>
      <c r="F221" t="inlineStr">
        <is>
          <t>KALMAR LÄN</t>
        </is>
      </c>
      <c r="G221" t="inlineStr">
        <is>
          <t>HÖGSBY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45754</v>
      </c>
      <c r="E222" s="1" t="n">
        <v>46282</v>
      </c>
      <c r="F222" t="inlineStr">
        <is>
          <t>KALMAR LÄN</t>
        </is>
      </c>
      <c r="G222" t="inlineStr">
        <is>
          <t>HÖGSBY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45034</v>
      </c>
      <c r="E223" s="1" t="n">
        <v>46282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46282</v>
      </c>
      <c r="F224" t="inlineStr">
        <is>
          <t>KALMAR LÄN</t>
        </is>
      </c>
      <c r="G224" t="inlineStr">
        <is>
          <t>HÖGSBY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63508-2025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46282</v>
      </c>
      <c r="F225" t="inlineStr">
        <is>
          <t>KALMAR LÄN</t>
        </is>
      </c>
      <c r="G225" t="inlineStr">
        <is>
          <t>HÖGSBY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45247</v>
      </c>
      <c r="E226" s="1" t="n">
        <v>46282</v>
      </c>
      <c r="F226" t="inlineStr">
        <is>
          <t>KALMAR LÄN</t>
        </is>
      </c>
      <c r="G226" t="inlineStr">
        <is>
          <t>HÖGSBY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45758</v>
      </c>
      <c r="E227" s="1" t="n">
        <v>46282</v>
      </c>
      <c r="F227" t="inlineStr">
        <is>
          <t>KALMAR LÄN</t>
        </is>
      </c>
      <c r="G227" t="inlineStr">
        <is>
          <t>HÖGSBY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44861</v>
      </c>
      <c r="E228" s="1" t="n">
        <v>46282</v>
      </c>
      <c r="F228" t="inlineStr">
        <is>
          <t>KALMAR LÄN</t>
        </is>
      </c>
      <c r="G228" t="inlineStr">
        <is>
          <t>HÖGSBY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46282</v>
      </c>
      <c r="F229" t="inlineStr">
        <is>
          <t>KALMAR LÄN</t>
        </is>
      </c>
      <c r="G229" t="inlineStr">
        <is>
          <t>HÖGSBY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45793</v>
      </c>
      <c r="E230" s="1" t="n">
        <v>46282</v>
      </c>
      <c r="F230" t="inlineStr">
        <is>
          <t>KALMAR LÄN</t>
        </is>
      </c>
      <c r="G230" t="inlineStr">
        <is>
          <t>HÖGSBY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46282</v>
      </c>
      <c r="F231" t="inlineStr">
        <is>
          <t>KALMAR LÄN</t>
        </is>
      </c>
      <c r="G231" t="inlineStr">
        <is>
          <t>HÖGSBY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45414</v>
      </c>
      <c r="E232" s="1" t="n">
        <v>46282</v>
      </c>
      <c r="F232" t="inlineStr">
        <is>
          <t>KALMAR LÄN</t>
        </is>
      </c>
      <c r="G232" t="inlineStr">
        <is>
          <t>HÖGSBY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46282</v>
      </c>
      <c r="F233" t="inlineStr">
        <is>
          <t>KALMAR LÄN</t>
        </is>
      </c>
      <c r="G233" t="inlineStr">
        <is>
          <t>HÖGSBY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46282</v>
      </c>
      <c r="F234" t="inlineStr">
        <is>
          <t>KALMAR LÄN</t>
        </is>
      </c>
      <c r="G234" t="inlineStr">
        <is>
          <t>HÖGSBY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46282</v>
      </c>
      <c r="F235" t="inlineStr">
        <is>
          <t>KALMAR LÄN</t>
        </is>
      </c>
      <c r="G235" t="inlineStr">
        <is>
          <t>HÖGSBY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46282</v>
      </c>
      <c r="F236" t="inlineStr">
        <is>
          <t>KALMAR LÄN</t>
        </is>
      </c>
      <c r="G236" t="inlineStr">
        <is>
          <t>HÖGSBY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46282</v>
      </c>
      <c r="F237" t="inlineStr">
        <is>
          <t>KALMAR LÄN</t>
        </is>
      </c>
      <c r="G237" t="inlineStr">
        <is>
          <t>HÖGSBY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37497-2022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44809</v>
      </c>
      <c r="E238" s="1" t="n">
        <v>46282</v>
      </c>
      <c r="F238" t="inlineStr">
        <is>
          <t>KALMAR LÄN</t>
        </is>
      </c>
      <c r="G238" t="inlineStr">
        <is>
          <t>HÖGSBY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27916-2023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46282</v>
      </c>
      <c r="F239" t="inlineStr">
        <is>
          <t>KALMAR LÄN</t>
        </is>
      </c>
      <c r="G239" t="inlineStr">
        <is>
          <t>HÖGSBY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45911</v>
      </c>
      <c r="E240" s="1" t="n">
        <v>46282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46282</v>
      </c>
      <c r="F241" t="inlineStr">
        <is>
          <t>KALMAR LÄN</t>
        </is>
      </c>
      <c r="G241" t="inlineStr">
        <is>
          <t>HÖGSBY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22544-2023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46282</v>
      </c>
      <c r="F242" t="inlineStr">
        <is>
          <t>KALMAR LÄN</t>
        </is>
      </c>
      <c r="G242" t="inlineStr">
        <is>
          <t>HÖGSBY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46282</v>
      </c>
      <c r="F243" t="inlineStr">
        <is>
          <t>KALMAR LÄN</t>
        </is>
      </c>
      <c r="G243" t="inlineStr">
        <is>
          <t>HÖGSBY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46282</v>
      </c>
      <c r="F244" t="inlineStr">
        <is>
          <t>KALMAR LÄN</t>
        </is>
      </c>
      <c r="G244" t="inlineStr">
        <is>
          <t>HÖGSBY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46282</v>
      </c>
      <c r="F245" t="inlineStr">
        <is>
          <t>KALMAR LÄN</t>
        </is>
      </c>
      <c r="G245" t="inlineStr">
        <is>
          <t>HÖGSBY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53413-2024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46282</v>
      </c>
      <c r="F246" t="inlineStr">
        <is>
          <t>KALMAR LÄN</t>
        </is>
      </c>
      <c r="G246" t="inlineStr">
        <is>
          <t>HÖGSBY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46282</v>
      </c>
      <c r="F247" t="inlineStr">
        <is>
          <t>KALMAR LÄN</t>
        </is>
      </c>
      <c r="G247" t="inlineStr">
        <is>
          <t>HÖGSBY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46282</v>
      </c>
      <c r="F248" t="inlineStr">
        <is>
          <t>KALMAR LÄN</t>
        </is>
      </c>
      <c r="G248" t="inlineStr">
        <is>
          <t>HÖGSBY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45804</v>
      </c>
      <c r="E249" s="1" t="n">
        <v>46282</v>
      </c>
      <c r="F249" t="inlineStr">
        <is>
          <t>KALMAR LÄN</t>
        </is>
      </c>
      <c r="G249" t="inlineStr">
        <is>
          <t>HÖGSBY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46282</v>
      </c>
      <c r="F250" t="inlineStr">
        <is>
          <t>KALMAR LÄN</t>
        </is>
      </c>
      <c r="G250" t="inlineStr">
        <is>
          <t>HÖGSBY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57006-2024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45626</v>
      </c>
      <c r="E251" s="1" t="n">
        <v>46282</v>
      </c>
      <c r="F251" t="inlineStr">
        <is>
          <t>KALMAR LÄN</t>
        </is>
      </c>
      <c r="G251" t="inlineStr">
        <is>
          <t>HÖGSBY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46282</v>
      </c>
      <c r="F252" t="inlineStr">
        <is>
          <t>KALMAR LÄN</t>
        </is>
      </c>
      <c r="G252" t="inlineStr">
        <is>
          <t>HÖGSBY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46282</v>
      </c>
      <c r="F253" t="inlineStr">
        <is>
          <t>KALMAR LÄN</t>
        </is>
      </c>
      <c r="G253" t="inlineStr">
        <is>
          <t>HÖGSBY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60853-2021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44496</v>
      </c>
      <c r="E254" s="1" t="n">
        <v>46282</v>
      </c>
      <c r="F254" t="inlineStr">
        <is>
          <t>KALMAR LÄN</t>
        </is>
      </c>
      <c r="G254" t="inlineStr">
        <is>
          <t>HÖGSBY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53129-2022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44876</v>
      </c>
      <c r="E255" s="1" t="n">
        <v>46282</v>
      </c>
      <c r="F255" t="inlineStr">
        <is>
          <t>KALMAR LÄN</t>
        </is>
      </c>
      <c r="G255" t="inlineStr">
        <is>
          <t>HÖGSBY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45274</v>
      </c>
      <c r="E256" s="1" t="n">
        <v>46282</v>
      </c>
      <c r="F256" t="inlineStr">
        <is>
          <t>KALMAR LÄN</t>
        </is>
      </c>
      <c r="G256" t="inlineStr">
        <is>
          <t>HÖGSBY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54238-2021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44470</v>
      </c>
      <c r="E257" s="1" t="n">
        <v>46282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14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46282</v>
      </c>
      <c r="F258" t="inlineStr">
        <is>
          <t>KALMAR LÄN</t>
        </is>
      </c>
      <c r="G258" t="inlineStr">
        <is>
          <t>HÖGSBY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46282</v>
      </c>
      <c r="F259" t="inlineStr">
        <is>
          <t>KALMAR LÄN</t>
        </is>
      </c>
      <c r="G259" t="inlineStr">
        <is>
          <t>HÖGSBY</t>
        </is>
      </c>
      <c r="H259" t="inlineStr">
        <is>
          <t>Kommuner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22562-2026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46155</v>
      </c>
      <c r="E260" s="1" t="n">
        <v>46282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22564-2026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46155</v>
      </c>
      <c r="E261" s="1" t="n">
        <v>46282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46282</v>
      </c>
      <c r="F262" t="inlineStr">
        <is>
          <t>KALMAR LÄN</t>
        </is>
      </c>
      <c r="G262" t="inlineStr">
        <is>
          <t>HÖGSBY</t>
        </is>
      </c>
      <c r="H262" t="inlineStr">
        <is>
          <t>Kyrkan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13808-2024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45391</v>
      </c>
      <c r="E263" s="1" t="n">
        <v>46282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46157</v>
      </c>
      <c r="E264" s="1" t="n">
        <v>46282</v>
      </c>
      <c r="F264" t="inlineStr">
        <is>
          <t>KALMAR LÄN</t>
        </is>
      </c>
      <c r="G264" t="inlineStr">
        <is>
          <t>HÖGSBY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22757-2026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46157</v>
      </c>
      <c r="E265" s="1" t="n">
        <v>46282</v>
      </c>
      <c r="F265" t="inlineStr">
        <is>
          <t>KALMAR LÄN</t>
        </is>
      </c>
      <c r="G265" t="inlineStr">
        <is>
          <t>HÖGSBY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23116-2026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46161</v>
      </c>
      <c r="E266" s="1" t="n">
        <v>46282</v>
      </c>
      <c r="F266" t="inlineStr">
        <is>
          <t>KALMAR LÄN</t>
        </is>
      </c>
      <c r="G266" t="inlineStr">
        <is>
          <t>HÖGSBY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46282</v>
      </c>
      <c r="F267" t="inlineStr">
        <is>
          <t>KALMAR LÄN</t>
        </is>
      </c>
      <c r="G267" t="inlineStr">
        <is>
          <t>HÖGSBY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45365</v>
      </c>
      <c r="E268" s="1" t="n">
        <v>46282</v>
      </c>
      <c r="F268" t="inlineStr">
        <is>
          <t>KALMAR LÄN</t>
        </is>
      </c>
      <c r="G268" t="inlineStr">
        <is>
          <t>HÖGSBY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23209-2026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46162</v>
      </c>
      <c r="E269" s="1" t="n">
        <v>46282</v>
      </c>
      <c r="F269" t="inlineStr">
        <is>
          <t>KALMAR LÄN</t>
        </is>
      </c>
      <c r="G269" t="inlineStr">
        <is>
          <t>HÖGSBY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8613-2022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44613</v>
      </c>
      <c r="E270" s="1" t="n">
        <v>46282</v>
      </c>
      <c r="F270" t="inlineStr">
        <is>
          <t>KALMAR LÄN</t>
        </is>
      </c>
      <c r="G270" t="inlineStr">
        <is>
          <t>HÖGSBY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23937-2026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46167</v>
      </c>
      <c r="E271" s="1" t="n">
        <v>46282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26545-2024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45469</v>
      </c>
      <c r="E272" s="1" t="n">
        <v>46282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46282</v>
      </c>
      <c r="F273" t="inlineStr">
        <is>
          <t>KALMAR LÄN</t>
        </is>
      </c>
      <c r="G273" t="inlineStr">
        <is>
          <t>HÖGSBY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46282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46282</v>
      </c>
      <c r="F275" t="inlineStr">
        <is>
          <t>KALMAR LÄN</t>
        </is>
      </c>
      <c r="G275" t="inlineStr">
        <is>
          <t>HÖGSBY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45348</v>
      </c>
      <c r="E276" s="1" t="n">
        <v>46282</v>
      </c>
      <c r="F276" t="inlineStr">
        <is>
          <t>KALMAR LÄN</t>
        </is>
      </c>
      <c r="G276" t="inlineStr">
        <is>
          <t>HÖGSBY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44972</v>
      </c>
      <c r="E277" s="1" t="n">
        <v>46282</v>
      </c>
      <c r="F277" t="inlineStr">
        <is>
          <t>KALMAR LÄN</t>
        </is>
      </c>
      <c r="G277" t="inlineStr">
        <is>
          <t>HÖGSBY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30890-2023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45113</v>
      </c>
      <c r="E278" s="1" t="n">
        <v>46282</v>
      </c>
      <c r="F278" t="inlineStr">
        <is>
          <t>KALMAR LÄN</t>
        </is>
      </c>
      <c r="G278" t="inlineStr">
        <is>
          <t>HÖGSBY</t>
        </is>
      </c>
      <c r="I278" t="n">
        <v>11.6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44879</v>
      </c>
      <c r="E279" s="1" t="n">
        <v>46282</v>
      </c>
      <c r="F279" t="inlineStr">
        <is>
          <t>KALMAR LÄN</t>
        </is>
      </c>
      <c r="G279" t="inlineStr">
        <is>
          <t>HÖGSBY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45360</v>
      </c>
      <c r="E280" s="1" t="n">
        <v>46282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59409-2022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44907</v>
      </c>
      <c r="E281" s="1" t="n">
        <v>46282</v>
      </c>
      <c r="F281" t="inlineStr">
        <is>
          <t>KALMAR LÄN</t>
        </is>
      </c>
      <c r="G281" t="inlineStr">
        <is>
          <t>HÖGSBY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24601-2024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45460</v>
      </c>
      <c r="E282" s="1" t="n">
        <v>46282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14.7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45588</v>
      </c>
      <c r="E283" s="1" t="n">
        <v>46282</v>
      </c>
      <c r="F283" t="inlineStr">
        <is>
          <t>KALMAR LÄN</t>
        </is>
      </c>
      <c r="G283" t="inlineStr">
        <is>
          <t>HÖGSBY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45447</v>
      </c>
      <c r="E284" s="1" t="n">
        <v>46282</v>
      </c>
      <c r="F284" t="inlineStr">
        <is>
          <t>KALMAR LÄN</t>
        </is>
      </c>
      <c r="G284" t="inlineStr">
        <is>
          <t>HÖGSBY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46282</v>
      </c>
      <c r="F285" t="inlineStr">
        <is>
          <t>KALMAR LÄN</t>
        </is>
      </c>
      <c r="G285" t="inlineStr">
        <is>
          <t>HÖGSBY</t>
        </is>
      </c>
      <c r="H285" t="inlineStr">
        <is>
          <t>Kommuner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45126</v>
      </c>
      <c r="E286" s="1" t="n">
        <v>46282</v>
      </c>
      <c r="F286" t="inlineStr">
        <is>
          <t>KALMAR LÄN</t>
        </is>
      </c>
      <c r="G286" t="inlineStr">
        <is>
          <t>HÖGSBY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46282</v>
      </c>
      <c r="F287" t="inlineStr">
        <is>
          <t>KALMAR LÄN</t>
        </is>
      </c>
      <c r="G287" t="inlineStr">
        <is>
          <t>HÖGSBY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46176</v>
      </c>
      <c r="E288" s="1" t="n">
        <v>46282</v>
      </c>
      <c r="F288" t="inlineStr">
        <is>
          <t>KALMAR LÄN</t>
        </is>
      </c>
      <c r="G288" t="inlineStr">
        <is>
          <t>HÖGSBY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46176</v>
      </c>
      <c r="E289" s="1" t="n">
        <v>46282</v>
      </c>
      <c r="F289" t="inlineStr">
        <is>
          <t>KALMAR LÄN</t>
        </is>
      </c>
      <c r="G289" t="inlineStr">
        <is>
          <t>HÖGSBY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45624</v>
      </c>
      <c r="E290" s="1" t="n">
        <v>46282</v>
      </c>
      <c r="F290" t="inlineStr">
        <is>
          <t>KALMAR LÄN</t>
        </is>
      </c>
      <c r="G290" t="inlineStr">
        <is>
          <t>HÖGSBY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44601</v>
      </c>
      <c r="E291" s="1" t="n">
        <v>46282</v>
      </c>
      <c r="F291" t="inlineStr">
        <is>
          <t>KALMAR LÄN</t>
        </is>
      </c>
      <c r="G291" t="inlineStr">
        <is>
          <t>HÖGSBY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46282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47503-2023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45203</v>
      </c>
      <c r="E293" s="1" t="n">
        <v>46282</v>
      </c>
      <c r="F293" t="inlineStr">
        <is>
          <t>KALMAR LÄN</t>
        </is>
      </c>
      <c r="G293" t="inlineStr">
        <is>
          <t>HÖGSBY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46181</v>
      </c>
      <c r="E294" s="1" t="n">
        <v>46282</v>
      </c>
      <c r="F294" t="inlineStr">
        <is>
          <t>KALMAR LÄN</t>
        </is>
      </c>
      <c r="G294" t="inlineStr">
        <is>
          <t>HÖGSBY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46282</v>
      </c>
      <c r="F295" t="inlineStr">
        <is>
          <t>KALMAR LÄN</t>
        </is>
      </c>
      <c r="G295" t="inlineStr">
        <is>
          <t>HÖGSBY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46282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41479-2023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45175</v>
      </c>
      <c r="E297" s="1" t="n">
        <v>46282</v>
      </c>
      <c r="F297" t="inlineStr">
        <is>
          <t>KALMAR LÄN</t>
        </is>
      </c>
      <c r="G297" t="inlineStr">
        <is>
          <t>HÖGSBY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46282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26764-2026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46282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46282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46282</v>
      </c>
      <c r="F301" t="inlineStr">
        <is>
          <t>KALMAR LÄN</t>
        </is>
      </c>
      <c r="G301" t="inlineStr">
        <is>
          <t>HÖGSBY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27367-2026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46282</v>
      </c>
      <c r="F302" t="inlineStr">
        <is>
          <t>KALMAR LÄN</t>
        </is>
      </c>
      <c r="G302" t="inlineStr">
        <is>
          <t>HÖGSBY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46282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38802-2024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45547</v>
      </c>
      <c r="E304" s="1" t="n">
        <v>46282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46282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50458-2022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44866</v>
      </c>
      <c r="E306" s="1" t="n">
        <v>46282</v>
      </c>
      <c r="F306" t="inlineStr">
        <is>
          <t>KALMAR LÄN</t>
        </is>
      </c>
      <c r="G306" t="inlineStr">
        <is>
          <t>HÖGSBY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46282</v>
      </c>
      <c r="F307" t="inlineStr">
        <is>
          <t>KALMAR LÄN</t>
        </is>
      </c>
      <c r="G307" t="inlineStr">
        <is>
          <t>HÖGSBY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46282</v>
      </c>
      <c r="F308" t="inlineStr">
        <is>
          <t>KALMAR LÄN</t>
        </is>
      </c>
      <c r="G308" t="inlineStr">
        <is>
          <t>HÖGSBY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46282</v>
      </c>
      <c r="F309" t="inlineStr">
        <is>
          <t>KALMAR LÄN</t>
        </is>
      </c>
      <c r="G309" t="inlineStr">
        <is>
          <t>HÖGSBY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60555-2021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46282</v>
      </c>
      <c r="F310" t="inlineStr">
        <is>
          <t>KALMAR LÄN</t>
        </is>
      </c>
      <c r="G310" t="inlineStr">
        <is>
          <t>HÖGSBY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27812-2026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46191</v>
      </c>
      <c r="E311" s="1" t="n">
        <v>46282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46282</v>
      </c>
      <c r="F312" t="inlineStr">
        <is>
          <t>KALMAR LÄN</t>
        </is>
      </c>
      <c r="G312" t="inlineStr">
        <is>
          <t>HÖGSBY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46195</v>
      </c>
      <c r="E313" s="1" t="n">
        <v>46282</v>
      </c>
      <c r="F313" t="inlineStr">
        <is>
          <t>KALMAR LÄN</t>
        </is>
      </c>
      <c r="G313" t="inlineStr">
        <is>
          <t>HÖGSBY</t>
        </is>
      </c>
      <c r="H313" t="inlineStr">
        <is>
          <t>Kommuner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46282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28702-2026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46198</v>
      </c>
      <c r="E315" s="1" t="n">
        <v>46282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28692-2026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46198</v>
      </c>
      <c r="E316" s="1" t="n">
        <v>46282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28691-2026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46198</v>
      </c>
      <c r="E317" s="1" t="n">
        <v>46282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28697-2026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46282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46197</v>
      </c>
      <c r="E319" s="1" t="n">
        <v>46282</v>
      </c>
      <c r="F319" t="inlineStr">
        <is>
          <t>KALMAR LÄN</t>
        </is>
      </c>
      <c r="G319" t="inlineStr">
        <is>
          <t>HÖGSBY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28574-2026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46282</v>
      </c>
      <c r="F320" t="inlineStr">
        <is>
          <t>KALMAR LÄN</t>
        </is>
      </c>
      <c r="G320" t="inlineStr">
        <is>
          <t>HÖGSBY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30294-2022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44760</v>
      </c>
      <c r="E321" s="1" t="n">
        <v>46282</v>
      </c>
      <c r="F321" t="inlineStr">
        <is>
          <t>KALMAR LÄN</t>
        </is>
      </c>
      <c r="G321" t="inlineStr">
        <is>
          <t>HÖGSBY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28713-2026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46198</v>
      </c>
      <c r="E322" s="1" t="n">
        <v>46282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46282</v>
      </c>
      <c r="F323" t="inlineStr">
        <is>
          <t>KALMAR LÄN</t>
        </is>
      </c>
      <c r="G323" t="inlineStr">
        <is>
          <t>HÖGSBY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46282</v>
      </c>
      <c r="F324" t="inlineStr">
        <is>
          <t>KALMAR LÄN</t>
        </is>
      </c>
      <c r="G324" t="inlineStr">
        <is>
          <t>HÖGSBY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53328-2022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44879</v>
      </c>
      <c r="E325" s="1" t="n">
        <v>46282</v>
      </c>
      <c r="F325" t="inlineStr">
        <is>
          <t>KALMAR LÄN</t>
        </is>
      </c>
      <c r="G325" t="inlineStr">
        <is>
          <t>HÖGSBY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46282</v>
      </c>
      <c r="F326" t="inlineStr">
        <is>
          <t>KALMAR LÄN</t>
        </is>
      </c>
      <c r="G326" t="inlineStr">
        <is>
          <t>HÖGSBY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46198</v>
      </c>
      <c r="E327" s="1" t="n">
        <v>46282</v>
      </c>
      <c r="F327" t="inlineStr">
        <is>
          <t>KALMAR LÄN</t>
        </is>
      </c>
      <c r="G327" t="inlineStr">
        <is>
          <t>HÖGSBY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46282</v>
      </c>
      <c r="F328" t="inlineStr">
        <is>
          <t>KALMAR LÄN</t>
        </is>
      </c>
      <c r="G328" t="inlineStr">
        <is>
          <t>HÖGSBY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46282</v>
      </c>
      <c r="F329" t="inlineStr">
        <is>
          <t>KALMAR LÄN</t>
        </is>
      </c>
      <c r="G329" t="inlineStr">
        <is>
          <t>HÖGSBY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46282</v>
      </c>
      <c r="F330" t="inlineStr">
        <is>
          <t>KALMAR LÄN</t>
        </is>
      </c>
      <c r="G330" t="inlineStr">
        <is>
          <t>HÖGSBY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46202</v>
      </c>
      <c r="E331" s="1" t="n">
        <v>46282</v>
      </c>
      <c r="F331" t="inlineStr">
        <is>
          <t>KALMAR LÄN</t>
        </is>
      </c>
      <c r="G331" t="inlineStr">
        <is>
          <t>HÖGSBY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46282</v>
      </c>
      <c r="F332" t="inlineStr">
        <is>
          <t>KALMAR LÄN</t>
        </is>
      </c>
      <c r="G332" t="inlineStr">
        <is>
          <t>HÖGSBY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46282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46282</v>
      </c>
      <c r="F334" t="inlineStr">
        <is>
          <t>KALMAR LÄN</t>
        </is>
      </c>
      <c r="G334" t="inlineStr">
        <is>
          <t>HÖGSBY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62562-2022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44924</v>
      </c>
      <c r="E335" s="1" t="n">
        <v>46282</v>
      </c>
      <c r="F335" t="inlineStr">
        <is>
          <t>KALMAR LÄN</t>
        </is>
      </c>
      <c r="G335" t="inlineStr">
        <is>
          <t>HÖGSBY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46282</v>
      </c>
      <c r="F336" t="inlineStr">
        <is>
          <t>KALMAR LÄN</t>
        </is>
      </c>
      <c r="G336" t="inlineStr">
        <is>
          <t>HÖGSBY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33788-2026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46251</v>
      </c>
      <c r="E337" s="1" t="n">
        <v>46282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46282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45254</v>
      </c>
      <c r="E339" s="1" t="n">
        <v>46282</v>
      </c>
      <c r="F339" t="inlineStr">
        <is>
          <t>KALMAR LÄN</t>
        </is>
      </c>
      <c r="G339" t="inlineStr">
        <is>
          <t>HÖGSBY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30180-2026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46282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46282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46282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39629-2024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45552</v>
      </c>
      <c r="E343" s="1" t="n">
        <v>46282</v>
      </c>
      <c r="F343" t="inlineStr">
        <is>
          <t>KALMAR LÄN</t>
        </is>
      </c>
      <c r="G343" t="inlineStr">
        <is>
          <t>HÖGSBY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12396-2023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44999</v>
      </c>
      <c r="E344" s="1" t="n">
        <v>46282</v>
      </c>
      <c r="F344" t="inlineStr">
        <is>
          <t>KALMAR LÄN</t>
        </is>
      </c>
      <c r="G344" t="inlineStr">
        <is>
          <t>HÖGSBY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46282</v>
      </c>
      <c r="F345" t="inlineStr">
        <is>
          <t>KALMAR LÄN</t>
        </is>
      </c>
      <c r="G345" t="inlineStr">
        <is>
          <t>HÖGSBY</t>
        </is>
      </c>
      <c r="H345" t="inlineStr">
        <is>
          <t>Övriga Aktiebolag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50428-2024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46282</v>
      </c>
      <c r="F346" t="inlineStr">
        <is>
          <t>KALMAR LÄN</t>
        </is>
      </c>
      <c r="G346" t="inlineStr">
        <is>
          <t>HÖGSBY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38600-2024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45546</v>
      </c>
      <c r="E347" s="1" t="n">
        <v>46282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45247</v>
      </c>
      <c r="E348" s="1" t="n">
        <v>46282</v>
      </c>
      <c r="F348" t="inlineStr">
        <is>
          <t>KALMAR LÄN</t>
        </is>
      </c>
      <c r="G348" t="inlineStr">
        <is>
          <t>HÖGSBY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65130-2023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45288</v>
      </c>
      <c r="E349" s="1" t="n">
        <v>46282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45341</v>
      </c>
      <c r="E350" s="1" t="n">
        <v>46282</v>
      </c>
      <c r="F350" t="inlineStr">
        <is>
          <t>KALMAR LÄN</t>
        </is>
      </c>
      <c r="G350" t="inlineStr">
        <is>
          <t>HÖGSBY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49486-2022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44861</v>
      </c>
      <c r="E351" s="1" t="n">
        <v>46282</v>
      </c>
      <c r="F351" t="inlineStr">
        <is>
          <t>KALMAR LÄN</t>
        </is>
      </c>
      <c r="G351" t="inlineStr">
        <is>
          <t>HÖGSBY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46282</v>
      </c>
      <c r="F352" t="inlineStr">
        <is>
          <t>KALMAR LÄN</t>
        </is>
      </c>
      <c r="G352" t="inlineStr">
        <is>
          <t>HÖGSBY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26927-2023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45093</v>
      </c>
      <c r="E353" s="1" t="n">
        <v>46282</v>
      </c>
      <c r="F353" t="inlineStr">
        <is>
          <t>KALMAR LÄN</t>
        </is>
      </c>
      <c r="G353" t="inlineStr">
        <is>
          <t>HÖGSBY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46282</v>
      </c>
      <c r="F354" t="inlineStr">
        <is>
          <t>KALMAR LÄN</t>
        </is>
      </c>
      <c r="G354" t="inlineStr">
        <is>
          <t>HÖGSBY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35873-2026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46282</v>
      </c>
      <c r="F355" t="inlineStr">
        <is>
          <t>KALMAR LÄN</t>
        </is>
      </c>
      <c r="G355" t="inlineStr">
        <is>
          <t>HÖGSBY</t>
        </is>
      </c>
      <c r="I355" t="n">
        <v>9.6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46266</v>
      </c>
      <c r="E356" s="1" t="n">
        <v>46282</v>
      </c>
      <c r="F356" t="inlineStr">
        <is>
          <t>KALMAR LÄN</t>
        </is>
      </c>
      <c r="G356" t="inlineStr">
        <is>
          <t>HÖGSBY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46282</v>
      </c>
      <c r="F357" t="inlineStr">
        <is>
          <t>KALMAR LÄN</t>
        </is>
      </c>
      <c r="G357" t="inlineStr">
        <is>
          <t>HÖGSBY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46267</v>
      </c>
      <c r="E358" s="1" t="n">
        <v>46282</v>
      </c>
      <c r="F358" t="inlineStr">
        <is>
          <t>KALMAR LÄN</t>
        </is>
      </c>
      <c r="G358" t="inlineStr">
        <is>
          <t>HÖGSBY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46267</v>
      </c>
      <c r="E359" s="1" t="n">
        <v>46282</v>
      </c>
      <c r="F359" t="inlineStr">
        <is>
          <t>KALMAR LÄN</t>
        </is>
      </c>
      <c r="G359" t="inlineStr">
        <is>
          <t>HÖGSBY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35910-2026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46282</v>
      </c>
      <c r="F360" t="inlineStr">
        <is>
          <t>KALMAR LÄN</t>
        </is>
      </c>
      <c r="G360" t="inlineStr">
        <is>
          <t>HÖGSBY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59408-2022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44907</v>
      </c>
      <c r="E361" s="1" t="n">
        <v>46282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46282</v>
      </c>
      <c r="F362" t="inlineStr">
        <is>
          <t>KALMAR LÄN</t>
        </is>
      </c>
      <c r="G362" t="inlineStr">
        <is>
          <t>HÖGSBY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36442-2026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46269</v>
      </c>
      <c r="E363" s="1" t="n">
        <v>46282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46268</v>
      </c>
      <c r="E364" s="1" t="n">
        <v>46282</v>
      </c>
      <c r="F364" t="inlineStr">
        <is>
          <t>KALMAR LÄN</t>
        </is>
      </c>
      <c r="G364" t="inlineStr">
        <is>
          <t>HÖGSBY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51624-2023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45222</v>
      </c>
      <c r="E365" s="1" t="n">
        <v>46282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46282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24.4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56339-2024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46282</v>
      </c>
      <c r="F367" t="inlineStr">
        <is>
          <t>KALMAR LÄN</t>
        </is>
      </c>
      <c r="G367" t="inlineStr">
        <is>
          <t>HÖGSBY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46268</v>
      </c>
      <c r="E368" s="1" t="n">
        <v>46282</v>
      </c>
      <c r="F368" t="inlineStr">
        <is>
          <t>KALMAR LÄN</t>
        </is>
      </c>
      <c r="G368" t="inlineStr">
        <is>
          <t>HÖGSBY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46282</v>
      </c>
      <c r="F369" t="inlineStr">
        <is>
          <t>KALMAR LÄN</t>
        </is>
      </c>
      <c r="G369" t="inlineStr">
        <is>
          <t>HÖGSBY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44953</v>
      </c>
      <c r="E370" s="1" t="n">
        <v>46282</v>
      </c>
      <c r="F370" t="inlineStr">
        <is>
          <t>KALMAR LÄN</t>
        </is>
      </c>
      <c r="G370" t="inlineStr">
        <is>
          <t>HÖGSBY</t>
        </is>
      </c>
      <c r="H370" t="inlineStr">
        <is>
          <t>Övriga Aktiebolag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46282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46282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44939</v>
      </c>
      <c r="E373" s="1" t="n">
        <v>46282</v>
      </c>
      <c r="F373" t="inlineStr">
        <is>
          <t>KALMAR LÄN</t>
        </is>
      </c>
      <c r="G373" t="inlineStr">
        <is>
          <t>HÖGSBY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45614</v>
      </c>
      <c r="E374" s="1" t="n">
        <v>46282</v>
      </c>
      <c r="F374" t="inlineStr">
        <is>
          <t>KALMAR LÄN</t>
        </is>
      </c>
      <c r="G374" t="inlineStr">
        <is>
          <t>HÖGSBY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46329-2024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45581</v>
      </c>
      <c r="E375" s="1" t="n">
        <v>46282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46282</v>
      </c>
      <c r="F376" t="inlineStr">
        <is>
          <t>KALMAR LÄN</t>
        </is>
      </c>
      <c r="G376" t="inlineStr">
        <is>
          <t>HÖGSBY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46282</v>
      </c>
      <c r="F377" t="inlineStr">
        <is>
          <t>KALMAR LÄN</t>
        </is>
      </c>
      <c r="G377" t="inlineStr">
        <is>
          <t>HÖGSBY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46282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44866</v>
      </c>
      <c r="E379" s="1" t="n">
        <v>46282</v>
      </c>
      <c r="F379" t="inlineStr">
        <is>
          <t>KALMAR LÄN</t>
        </is>
      </c>
      <c r="G379" t="inlineStr">
        <is>
          <t>HÖGSBY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46275</v>
      </c>
      <c r="E380" s="1" t="n">
        <v>46282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46274</v>
      </c>
      <c r="E381" s="1" t="n">
        <v>46282</v>
      </c>
      <c r="F381" t="inlineStr">
        <is>
          <t>KALMAR LÄN</t>
        </is>
      </c>
      <c r="G381" t="inlineStr">
        <is>
          <t>HÖGSBY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45638</v>
      </c>
      <c r="E382" s="1" t="n">
        <v>46282</v>
      </c>
      <c r="F382" t="inlineStr">
        <is>
          <t>KALMAR LÄN</t>
        </is>
      </c>
      <c r="G382" t="inlineStr">
        <is>
          <t>HÖGSBY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45307</v>
      </c>
      <c r="E383" s="1" t="n">
        <v>46282</v>
      </c>
      <c r="F383" t="inlineStr">
        <is>
          <t>KALMAR LÄN</t>
        </is>
      </c>
      <c r="G383" t="inlineStr">
        <is>
          <t>HÖGSBY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46282</v>
      </c>
      <c r="F384" t="inlineStr">
        <is>
          <t>KALMAR LÄN</t>
        </is>
      </c>
      <c r="G384" t="inlineStr">
        <is>
          <t>HÖGSBY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34078-2024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45523</v>
      </c>
      <c r="E385" s="1" t="n">
        <v>46282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38185-2026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46281</v>
      </c>
      <c r="E386" s="1" t="n">
        <v>46282</v>
      </c>
      <c r="F386" t="inlineStr">
        <is>
          <t>KALMAR LÄN</t>
        </is>
      </c>
      <c r="G386" t="inlineStr">
        <is>
          <t>HÖGSBY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46282</v>
      </c>
      <c r="F387" t="inlineStr">
        <is>
          <t>KALMAR LÄN</t>
        </is>
      </c>
      <c r="G387" t="inlineStr">
        <is>
          <t>HÖGSBY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46282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46282</v>
      </c>
      <c r="F389" t="inlineStr">
        <is>
          <t>KALMAR LÄN</t>
        </is>
      </c>
      <c r="G389" t="inlineStr">
        <is>
          <t>HÖGSBY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  <c r="Z389">
        <f>HYPERLINK("https://klasma.github.io/Logging_0821/knärot/A 40137-2024 karta knärot.png", "A 40137-2024")</f>
        <v/>
      </c>
      <c r="AA389">
        <f>HYPERLINK("https://klasma.github.io/Logging_0821/klagomål/A 40137-2024 FSC-klagomål.docx", "A 40137-2024")</f>
        <v/>
      </c>
      <c r="AB389">
        <f>HYPERLINK("https://klasma.github.io/Logging_0821/klagomålsmail/A 40137-2024 FSC-klagomål mail.docx", "A 40137-2024")</f>
        <v/>
      </c>
      <c r="AC389">
        <f>HYPERLINK("https://klasma.github.io/Logging_0821/tillsyn/A 40137-2024 tillsynsbegäran.docx", "A 40137-2024")</f>
        <v/>
      </c>
      <c r="AD389">
        <f>HYPERLINK("https://klasma.github.io/Logging_0821/tillsynsmail/A 40137-2024 tillsynsbegäran mail.docx", "A 40137-2024")</f>
        <v/>
      </c>
    </row>
    <row r="390" ht="15" customHeight="1">
      <c r="A390" t="inlineStr">
        <is>
          <t>A 24378-2025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46282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24013-2025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45796</v>
      </c>
      <c r="E391" s="1" t="n">
        <v>46282</v>
      </c>
      <c r="F391" t="inlineStr">
        <is>
          <t>KALMAR LÄN</t>
        </is>
      </c>
      <c r="G391" t="inlineStr">
        <is>
          <t>HÖGSBY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46282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46282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46282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46282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46282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46282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46282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46282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46282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46282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46282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46282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46282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46282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46282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46282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46282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46282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46282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46282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46282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46282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46282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46282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2026-09-17T02:03:03Z</dcterms:created>
  <dcterms:modified xmlns:dcterms="http://purl.org/dc/terms/" xmlns:xsi="http://www.w3.org/2001/XMLSchema-instance" xsi:type="dcterms:W3CDTF">2026-09-17T02:03:03Z</dcterms:modified>
</cp:coreProperties>
</file>