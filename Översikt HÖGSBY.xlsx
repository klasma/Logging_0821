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46230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46230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46230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46230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46230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46230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46230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46230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46230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46230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46230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46230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46230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22559-2026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46230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1.5</v>
      </c>
      <c r="J17" t="n">
        <v>2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Svartoxe
Talltita
Bergsslok
Blåsippa</t>
        </is>
      </c>
      <c r="W17">
        <f>HYPERLINK("https://klasma.github.io/Logging_0821/artfynd/A 22559-2026 artfynd.xlsx", "A 22559-2026")</f>
        <v/>
      </c>
      <c r="X17">
        <f>HYPERLINK("https://klasma.github.io/Logging_0821/kartor/A 22559-2026 karta.png", "A 22559-2026")</f>
        <v/>
      </c>
      <c r="Y17">
        <f>HYPERLINK("https://klasma.github.io/Logging_0821/kartor_geotiff/A 22559-2026 georefererad karta.tif", "A 22559-2026")</f>
        <v/>
      </c>
      <c r="AA17">
        <f>HYPERLINK("https://klasma.github.io/Logging_0821/klagomål/A 22559-2026 FSC-klagomål.docx", "A 22559-2026")</f>
        <v/>
      </c>
      <c r="AB17">
        <f>HYPERLINK("https://klasma.github.io/Logging_0821/klagomålsmail/A 22559-2026 FSC-klagomål mail.docx", "A 22559-2026")</f>
        <v/>
      </c>
      <c r="AC17">
        <f>HYPERLINK("https://klasma.github.io/Logging_0821/tillsyn/A 22559-2026 tillsynsbegäran.docx", "A 22559-2026")</f>
        <v/>
      </c>
      <c r="AD17">
        <f>HYPERLINK("https://klasma.github.io/Logging_0821/tillsynsmail/A 22559-2026 tillsynsbegäran mail.docx", "A 22559-2026")</f>
        <v/>
      </c>
      <c r="AE17">
        <f>HYPERLINK("https://klasma.github.io/Logging_0821/fåglar/A 22559-2026 prioriterade fågelarter.docx", "A 22559-2026")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46230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46230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46230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46230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46230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46230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46230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46230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46230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46230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46230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46230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46230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46230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46230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46230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46230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46230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46230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46230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46230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46230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38267-2025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46230</v>
      </c>
      <c r="F41" t="inlineStr">
        <is>
          <t>KALMAR LÄN</t>
        </is>
      </c>
      <c r="G41" t="inlineStr">
        <is>
          <t>HÖGSBY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Flikig tallfibbla</t>
        </is>
      </c>
      <c r="W41">
        <f>HYPERLINK("https://klasma.github.io/Logging_0821/artfynd/A 38267-2025 artfynd.xlsx", "A 38267-2025")</f>
        <v/>
      </c>
      <c r="X41">
        <f>HYPERLINK("https://klasma.github.io/Logging_0821/kartor/A 38267-2025 karta.png", "A 38267-2025")</f>
        <v/>
      </c>
      <c r="Y41">
        <f>HYPERLINK("https://klasma.github.io/Logging_0821/kartor_geotiff/A 38267-2025 georefererad karta.tif", "A 38267-2025")</f>
        <v/>
      </c>
      <c r="AA41">
        <f>HYPERLINK("https://klasma.github.io/Logging_0821/klagomål/A 38267-2025 FSC-klagomål.docx", "A 38267-2025")</f>
        <v/>
      </c>
      <c r="AB41">
        <f>HYPERLINK("https://klasma.github.io/Logging_0821/klagomålsmail/A 38267-2025 FSC-klagomål mail.docx", "A 38267-2025")</f>
        <v/>
      </c>
      <c r="AC41">
        <f>HYPERLINK("https://klasma.github.io/Logging_0821/tillsyn/A 38267-2025 tillsynsbegäran.docx", "A 38267-2025")</f>
        <v/>
      </c>
      <c r="AD41">
        <f>HYPERLINK("https://klasma.github.io/Logging_0821/tillsynsmail/A 38267-2025 tillsynsbegäran mail.docx", "A 38267-2025")</f>
        <v/>
      </c>
    </row>
    <row r="42" ht="15" customHeight="1">
      <c r="A42" t="inlineStr">
        <is>
          <t>A 35075-2023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46230</v>
      </c>
      <c r="F42" t="inlineStr">
        <is>
          <t>KALMAR LÄN</t>
        </is>
      </c>
      <c r="G42" t="inlineStr">
        <is>
          <t>HÖGSBY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35075-2023 artfynd.xlsx", "A 35075-2023")</f>
        <v/>
      </c>
      <c r="X42">
        <f>HYPERLINK("https://klasma.github.io/Logging_0821/kartor/A 35075-2023 karta.png", "A 35075-2023")</f>
        <v/>
      </c>
      <c r="Y42">
        <f>HYPERLINK("https://klasma.github.io/Logging_0821/kartor_geotiff/A 35075-2023 georefererad karta.tif", "A 35075-2023")</f>
        <v/>
      </c>
      <c r="AA42">
        <f>HYPERLINK("https://klasma.github.io/Logging_0821/klagomål/A 35075-2023 FSC-klagomål.docx", "A 35075-2023")</f>
        <v/>
      </c>
      <c r="AB42">
        <f>HYPERLINK("https://klasma.github.io/Logging_0821/klagomålsmail/A 35075-2023 FSC-klagomål mail.docx", "A 35075-2023")</f>
        <v/>
      </c>
      <c r="AC42">
        <f>HYPERLINK("https://klasma.github.io/Logging_0821/tillsyn/A 35075-2023 tillsynsbegäran.docx", "A 35075-2023")</f>
        <v/>
      </c>
      <c r="AD42">
        <f>HYPERLINK("https://klasma.github.io/Logging_0821/tillsynsmail/A 35075-2023 tillsynsbegäran mail.docx", "A 35075-2023")</f>
        <v/>
      </c>
    </row>
    <row r="43" ht="15" customHeight="1">
      <c r="A43" t="inlineStr">
        <is>
          <t>A 28894-2026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46230</v>
      </c>
      <c r="F43" t="inlineStr">
        <is>
          <t>KALMAR LÄN</t>
        </is>
      </c>
      <c r="G43" t="inlineStr">
        <is>
          <t>HÖGSBY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HYPERLINK("https://klasma.github.io/Logging_0821/artfynd/A 28894-2026 artfynd.xlsx", "A 28894-2026")</f>
        <v/>
      </c>
      <c r="X43">
        <f>HYPERLINK("https://klasma.github.io/Logging_0821/kartor/A 28894-2026 karta.png", "A 28894-2026")</f>
        <v/>
      </c>
      <c r="Y43">
        <f>HYPERLINK("https://klasma.github.io/Logging_0821/kartor_geotiff/A 28894-2026 georefererad karta.tif", "A 28894-2026")</f>
        <v/>
      </c>
      <c r="AA43">
        <f>HYPERLINK("https://klasma.github.io/Logging_0821/klagomål/A 28894-2026 FSC-klagomål.docx", "A 28894-2026")</f>
        <v/>
      </c>
      <c r="AB43">
        <f>HYPERLINK("https://klasma.github.io/Logging_0821/klagomålsmail/A 28894-2026 FSC-klagomål mail.docx", "A 28894-2026")</f>
        <v/>
      </c>
      <c r="AC43">
        <f>HYPERLINK("https://klasma.github.io/Logging_0821/tillsyn/A 28894-2026 tillsynsbegäran.docx", "A 28894-2026")</f>
        <v/>
      </c>
      <c r="AD43">
        <f>HYPERLINK("https://klasma.github.io/Logging_0821/tillsynsmail/A 28894-2026 tillsynsbegäran mail.docx", "A 28894-2026")</f>
        <v/>
      </c>
      <c r="AE43">
        <f>HYPERLINK("https://klasma.github.io/Logging_0821/fåglar/A 28894-2026 prioriterade fågelarter.docx", "A 28894-2026")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46230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30186-2026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46206</v>
      </c>
      <c r="E45" s="1" t="n">
        <v>46230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HYPERLINK("https://klasma.github.io/Logging_0821/artfynd/A 30186-2026 artfynd.xlsx", "A 30186-2026")</f>
        <v/>
      </c>
      <c r="X45">
        <f>HYPERLINK("https://klasma.github.io/Logging_0821/kartor/A 30186-2026 karta.png", "A 30186-2026")</f>
        <v/>
      </c>
      <c r="Y45">
        <f>HYPERLINK("https://klasma.github.io/Logging_0821/kartor_geotiff/A 30186-2026 georefererad karta.tif", "A 30186-2026")</f>
        <v/>
      </c>
      <c r="AA45">
        <f>HYPERLINK("https://klasma.github.io/Logging_0821/klagomål/A 30186-2026 FSC-klagomål.docx", "A 30186-2026")</f>
        <v/>
      </c>
      <c r="AB45">
        <f>HYPERLINK("https://klasma.github.io/Logging_0821/klagomålsmail/A 30186-2026 FSC-klagomål mail.docx", "A 30186-2026")</f>
        <v/>
      </c>
      <c r="AC45">
        <f>HYPERLINK("https://klasma.github.io/Logging_0821/tillsyn/A 30186-2026 tillsynsbegäran.docx", "A 30186-2026")</f>
        <v/>
      </c>
      <c r="AD45">
        <f>HYPERLINK("https://klasma.github.io/Logging_0821/tillsynsmail/A 30186-2026 tillsynsbegäran mail.docx", "A 30186-2026")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46230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46230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46230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46230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17994-2026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46124</v>
      </c>
      <c r="E50" s="1" t="n">
        <v>46230</v>
      </c>
      <c r="F50" t="inlineStr">
        <is>
          <t>KALMAR LÄN</t>
        </is>
      </c>
      <c r="G50" t="inlineStr">
        <is>
          <t>HÖGSBY</t>
        </is>
      </c>
      <c r="I50" t="n">
        <v>1.7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Mindre bastardsvärmare</t>
        </is>
      </c>
      <c r="W50">
        <f>HYPERLINK("https://klasma.github.io/Logging_0821/artfynd/A 17994-2026 artfynd.xlsx", "A 17994-2026")</f>
        <v/>
      </c>
      <c r="X50">
        <f>HYPERLINK("https://klasma.github.io/Logging_0821/kartor/A 17994-2026 karta.png", "A 17994-2026")</f>
        <v/>
      </c>
      <c r="Y50">
        <f>HYPERLINK("https://klasma.github.io/Logging_0821/kartor_geotiff/A 17994-2026 georefererad karta.tif", "A 17994-2026")</f>
        <v/>
      </c>
      <c r="AA50">
        <f>HYPERLINK("https://klasma.github.io/Logging_0821/klagomål/A 17994-2026 FSC-klagomål.docx", "A 17994-2026")</f>
        <v/>
      </c>
      <c r="AB50">
        <f>HYPERLINK("https://klasma.github.io/Logging_0821/klagomålsmail/A 17994-2026 FSC-klagomål mail.docx", "A 17994-2026")</f>
        <v/>
      </c>
      <c r="AC50">
        <f>HYPERLINK("https://klasma.github.io/Logging_0821/tillsyn/A 17994-2026 tillsynsbegäran.docx", "A 17994-2026")</f>
        <v/>
      </c>
      <c r="AD50">
        <f>HYPERLINK("https://klasma.github.io/Logging_0821/tillsynsmail/A 17994-2026 tillsynsbegäran mail.docx", "A 17994-2026")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46230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46230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58792-2022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46230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58792-2022 artfynd.xlsx", "A 58792-2022")</f>
        <v/>
      </c>
      <c r="X53">
        <f>HYPERLINK("https://klasma.github.io/Logging_0821/kartor/A 58792-2022 karta.png", "A 58792-2022")</f>
        <v/>
      </c>
      <c r="Y53">
        <f>HYPERLINK("https://klasma.github.io/Logging_0821/kartor_geotiff/A 58792-2022 georefererad karta.tif", "A 58792-2022")</f>
        <v/>
      </c>
      <c r="AA53">
        <f>HYPERLINK("https://klasma.github.io/Logging_0821/klagomål/A 58792-2022 FSC-klagomål.docx", "A 58792-2022")</f>
        <v/>
      </c>
      <c r="AB53">
        <f>HYPERLINK("https://klasma.github.io/Logging_0821/klagomålsmail/A 58792-2022 FSC-klagomål mail.docx", "A 58792-2022")</f>
        <v/>
      </c>
      <c r="AC53">
        <f>HYPERLINK("https://klasma.github.io/Logging_0821/tillsyn/A 58792-2022 tillsynsbegäran.docx", "A 58792-2022")</f>
        <v/>
      </c>
      <c r="AD53">
        <f>HYPERLINK("https://klasma.github.io/Logging_0821/tillsynsmail/A 58792-2022 tillsynsbegäran mail.docx", "A 58792-2022")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46230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46230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46230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46230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46230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46230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46230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46230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46230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46230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46230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46230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46230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46230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46230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46230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46230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46230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46230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46230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46230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46230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46230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46230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46230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46230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46230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46230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46230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46230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46230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46230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46230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46230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46230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46230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46230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46230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46230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46230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46230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46230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46230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46230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46230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46230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46230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46230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46230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46230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46230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46230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46230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74478-2021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46230</v>
      </c>
      <c r="F108" t="inlineStr">
        <is>
          <t>KALMAR LÄN</t>
        </is>
      </c>
      <c r="G108" t="inlineStr">
        <is>
          <t>HÖGSBY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46230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46230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46230</v>
      </c>
      <c r="F111" t="inlineStr">
        <is>
          <t>KALMAR LÄN</t>
        </is>
      </c>
      <c r="G111" t="inlineStr">
        <is>
          <t>HÖGSBY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46230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46230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46230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46230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46230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46230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46230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46230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46230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46230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46230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46230</v>
      </c>
      <c r="F123" t="inlineStr">
        <is>
          <t>KALMAR LÄN</t>
        </is>
      </c>
      <c r="G123" t="inlineStr">
        <is>
          <t>HÖGSBY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44861</v>
      </c>
      <c r="E124" s="1" t="n">
        <v>46230</v>
      </c>
      <c r="F124" t="inlineStr">
        <is>
          <t>KALMAR LÄN</t>
        </is>
      </c>
      <c r="G124" t="inlineStr">
        <is>
          <t>HÖGSBY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46230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46230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46230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46230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46230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46230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46230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46230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46230</v>
      </c>
      <c r="F133" t="inlineStr">
        <is>
          <t>KALMAR LÄN</t>
        </is>
      </c>
      <c r="G133" t="inlineStr">
        <is>
          <t>HÖGSBY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44677</v>
      </c>
      <c r="E134" s="1" t="n">
        <v>46230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46230</v>
      </c>
      <c r="F135" t="inlineStr">
        <is>
          <t>KALMAR LÄN</t>
        </is>
      </c>
      <c r="G135" t="inlineStr">
        <is>
          <t>HÖGSBY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46230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46230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46230</v>
      </c>
      <c r="F138" t="inlineStr">
        <is>
          <t>KALMAR LÄN</t>
        </is>
      </c>
      <c r="G138" t="inlineStr">
        <is>
          <t>HÖGSBY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46230</v>
      </c>
      <c r="F139" t="inlineStr">
        <is>
          <t>KALMAR LÄN</t>
        </is>
      </c>
      <c r="G139" t="inlineStr">
        <is>
          <t>HÖGSBY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46230</v>
      </c>
      <c r="F140" t="inlineStr">
        <is>
          <t>KALMAR LÄN</t>
        </is>
      </c>
      <c r="G140" t="inlineStr">
        <is>
          <t>HÖGSBY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46230</v>
      </c>
      <c r="F141" t="inlineStr">
        <is>
          <t>KALMAR LÄN</t>
        </is>
      </c>
      <c r="G141" t="inlineStr">
        <is>
          <t>HÖGSBY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46230</v>
      </c>
      <c r="F142" t="inlineStr">
        <is>
          <t>KALMAR LÄN</t>
        </is>
      </c>
      <c r="G142" t="inlineStr">
        <is>
          <t>HÖGSBY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46230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46230</v>
      </c>
      <c r="F144" t="inlineStr">
        <is>
          <t>KALMAR LÄN</t>
        </is>
      </c>
      <c r="G144" t="inlineStr">
        <is>
          <t>HÖGSBY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46230</v>
      </c>
      <c r="F145" t="inlineStr">
        <is>
          <t>KALMAR LÄN</t>
        </is>
      </c>
      <c r="G145" t="inlineStr">
        <is>
          <t>HÖGSBY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46230</v>
      </c>
      <c r="F146" t="inlineStr">
        <is>
          <t>KALMAR LÄN</t>
        </is>
      </c>
      <c r="G146" t="inlineStr">
        <is>
          <t>HÖGSBY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46230</v>
      </c>
      <c r="F147" t="inlineStr">
        <is>
          <t>KALMAR LÄN</t>
        </is>
      </c>
      <c r="G147" t="inlineStr">
        <is>
          <t>HÖGSBY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32049-2023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45119</v>
      </c>
      <c r="E148" s="1" t="n">
        <v>46230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46230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38068-2025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45882</v>
      </c>
      <c r="E150" s="1" t="n">
        <v>46230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38824-2024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45547</v>
      </c>
      <c r="E151" s="1" t="n">
        <v>46230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46230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46230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46230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46230</v>
      </c>
      <c r="F155" t="inlineStr">
        <is>
          <t>KALMAR LÄN</t>
        </is>
      </c>
      <c r="G155" t="inlineStr">
        <is>
          <t>HÖGSBY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46230</v>
      </c>
      <c r="F156" t="inlineStr">
        <is>
          <t>KALMAR LÄN</t>
        </is>
      </c>
      <c r="G156" t="inlineStr">
        <is>
          <t>HÖGSBY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28648-2023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45103</v>
      </c>
      <c r="E157" s="1" t="n">
        <v>46230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46230</v>
      </c>
      <c r="F158" t="inlineStr">
        <is>
          <t>KALMAR LÄN</t>
        </is>
      </c>
      <c r="G158" t="inlineStr">
        <is>
          <t>HÖGSBY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44413</v>
      </c>
      <c r="E159" s="1" t="n">
        <v>46230</v>
      </c>
      <c r="F159" t="inlineStr">
        <is>
          <t>KALMAR LÄN</t>
        </is>
      </c>
      <c r="G159" t="inlineStr">
        <is>
          <t>HÖGSBY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46230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46230</v>
      </c>
      <c r="F161" t="inlineStr">
        <is>
          <t>KALMAR LÄN</t>
        </is>
      </c>
      <c r="G161" t="inlineStr">
        <is>
          <t>HÖGSBY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44729</v>
      </c>
      <c r="E162" s="1" t="n">
        <v>46230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46230</v>
      </c>
      <c r="F163" t="inlineStr">
        <is>
          <t>KALMAR LÄN</t>
        </is>
      </c>
      <c r="G163" t="inlineStr">
        <is>
          <t>HÖGSBY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45793</v>
      </c>
      <c r="E164" s="1" t="n">
        <v>46230</v>
      </c>
      <c r="F164" t="inlineStr">
        <is>
          <t>KALMAR LÄN</t>
        </is>
      </c>
      <c r="G164" t="inlineStr">
        <is>
          <t>HÖGSBY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44552</v>
      </c>
      <c r="E165" s="1" t="n">
        <v>46230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39237-2021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44413</v>
      </c>
      <c r="E166" s="1" t="n">
        <v>46230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46230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46230</v>
      </c>
      <c r="F168" t="inlineStr">
        <is>
          <t>KALMAR LÄN</t>
        </is>
      </c>
      <c r="G168" t="inlineStr">
        <is>
          <t>HÖGSBY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46230</v>
      </c>
      <c r="F169" t="inlineStr">
        <is>
          <t>KALMAR LÄN</t>
        </is>
      </c>
      <c r="G169" t="inlineStr">
        <is>
          <t>HÖGSBY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46230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46230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46230</v>
      </c>
      <c r="F172" t="inlineStr">
        <is>
          <t>KALMAR LÄN</t>
        </is>
      </c>
      <c r="G172" t="inlineStr">
        <is>
          <t>HÖGSBY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44809</v>
      </c>
      <c r="E173" s="1" t="n">
        <v>46230</v>
      </c>
      <c r="F173" t="inlineStr">
        <is>
          <t>KALMAR LÄN</t>
        </is>
      </c>
      <c r="G173" t="inlineStr">
        <is>
          <t>HÖGSBY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46230</v>
      </c>
      <c r="F174" t="inlineStr">
        <is>
          <t>KALMAR LÄN</t>
        </is>
      </c>
      <c r="G174" t="inlineStr">
        <is>
          <t>HÖGSBY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46230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46230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46230</v>
      </c>
      <c r="F177" t="inlineStr">
        <is>
          <t>KALMAR LÄN</t>
        </is>
      </c>
      <c r="G177" t="inlineStr">
        <is>
          <t>HÖGSBY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46230</v>
      </c>
      <c r="F178" t="inlineStr">
        <is>
          <t>KALMAR LÄN</t>
        </is>
      </c>
      <c r="G178" t="inlineStr">
        <is>
          <t>HÖGSBY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46230</v>
      </c>
      <c r="F179" t="inlineStr">
        <is>
          <t>KALMAR LÄN</t>
        </is>
      </c>
      <c r="G179" t="inlineStr">
        <is>
          <t>HÖGSBY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46230</v>
      </c>
      <c r="F180" t="inlineStr">
        <is>
          <t>KALMAR LÄN</t>
        </is>
      </c>
      <c r="G180" t="inlineStr">
        <is>
          <t>HÖGSBY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46230</v>
      </c>
      <c r="F181" t="inlineStr">
        <is>
          <t>KALMAR LÄN</t>
        </is>
      </c>
      <c r="G181" t="inlineStr">
        <is>
          <t>HÖGSBY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46230</v>
      </c>
      <c r="F182" t="inlineStr">
        <is>
          <t>KALMAR LÄN</t>
        </is>
      </c>
      <c r="G182" t="inlineStr">
        <is>
          <t>HÖGSBY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46230</v>
      </c>
      <c r="F183" t="inlineStr">
        <is>
          <t>KALMAR LÄN</t>
        </is>
      </c>
      <c r="G183" t="inlineStr">
        <is>
          <t>HÖGSBY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46230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46230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46230</v>
      </c>
      <c r="F186" t="inlineStr">
        <is>
          <t>KALMAR LÄN</t>
        </is>
      </c>
      <c r="G186" t="inlineStr">
        <is>
          <t>HÖGSBY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46230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46230</v>
      </c>
      <c r="F188" t="inlineStr">
        <is>
          <t>KALMAR LÄN</t>
        </is>
      </c>
      <c r="G188" t="inlineStr">
        <is>
          <t>HÖGSBY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46230</v>
      </c>
      <c r="F189" t="inlineStr">
        <is>
          <t>KALMAR LÄN</t>
        </is>
      </c>
      <c r="G189" t="inlineStr">
        <is>
          <t>HÖGSBY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46230</v>
      </c>
      <c r="F190" t="inlineStr">
        <is>
          <t>KALMAR LÄN</t>
        </is>
      </c>
      <c r="G190" t="inlineStr">
        <is>
          <t>HÖGSBY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46230</v>
      </c>
      <c r="F191" t="inlineStr">
        <is>
          <t>KALMAR LÄN</t>
        </is>
      </c>
      <c r="G191" t="inlineStr">
        <is>
          <t>HÖGSBY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71635-2021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46230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46230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46230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46230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46230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46230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46230</v>
      </c>
      <c r="F198" t="inlineStr">
        <is>
          <t>KALMAR LÄN</t>
        </is>
      </c>
      <c r="G198" t="inlineStr">
        <is>
          <t>HÖGSBY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46230</v>
      </c>
      <c r="F199" t="inlineStr">
        <is>
          <t>KALMAR LÄN</t>
        </is>
      </c>
      <c r="G199" t="inlineStr">
        <is>
          <t>HÖGSBY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46230</v>
      </c>
      <c r="F200" t="inlineStr">
        <is>
          <t>KALMAR LÄN</t>
        </is>
      </c>
      <c r="G200" t="inlineStr">
        <is>
          <t>HÖGSBY</t>
        </is>
      </c>
      <c r="H200" t="inlineStr">
        <is>
          <t>Kyrkan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46230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44993</v>
      </c>
      <c r="E202" s="1" t="n">
        <v>46230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46230</v>
      </c>
      <c r="F203" t="inlineStr">
        <is>
          <t>KALMAR LÄN</t>
        </is>
      </c>
      <c r="G203" t="inlineStr">
        <is>
          <t>HÖGSBY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46230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46230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46230</v>
      </c>
      <c r="F206" t="inlineStr">
        <is>
          <t>KALMAR LÄN</t>
        </is>
      </c>
      <c r="G206" t="inlineStr">
        <is>
          <t>HÖGSBY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46230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46230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46230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46230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46230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46230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46230</v>
      </c>
      <c r="F213" t="inlineStr">
        <is>
          <t>KALMAR LÄN</t>
        </is>
      </c>
      <c r="G213" t="inlineStr">
        <is>
          <t>HÖGSBY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46230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46230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46230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46230</v>
      </c>
      <c r="F217" t="inlineStr">
        <is>
          <t>KALMAR LÄN</t>
        </is>
      </c>
      <c r="G217" t="inlineStr">
        <is>
          <t>HÖGSBY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46230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46230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46230</v>
      </c>
      <c r="F220" t="inlineStr">
        <is>
          <t>KALMAR LÄN</t>
        </is>
      </c>
      <c r="G220" t="inlineStr">
        <is>
          <t>HÖGSBY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45982</v>
      </c>
      <c r="E221" s="1" t="n">
        <v>46230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46230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46230</v>
      </c>
      <c r="F223" t="inlineStr">
        <is>
          <t>KALMAR LÄN</t>
        </is>
      </c>
      <c r="G223" t="inlineStr">
        <is>
          <t>HÖGSBY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46230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46230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44861</v>
      </c>
      <c r="E226" s="1" t="n">
        <v>46230</v>
      </c>
      <c r="F226" t="inlineStr">
        <is>
          <t>KALMAR LÄN</t>
        </is>
      </c>
      <c r="G226" t="inlineStr">
        <is>
          <t>HÖGSBY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22562-2026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46155</v>
      </c>
      <c r="E227" s="1" t="n">
        <v>46230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22564-2026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46155</v>
      </c>
      <c r="E228" s="1" t="n">
        <v>46230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46230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46230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46230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46230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46230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46230</v>
      </c>
      <c r="F234" t="inlineStr">
        <is>
          <t>KALMAR LÄN</t>
        </is>
      </c>
      <c r="G234" t="inlineStr">
        <is>
          <t>HÖGSBY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46230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46230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46230</v>
      </c>
      <c r="F237" t="inlineStr">
        <is>
          <t>KALMAR LÄN</t>
        </is>
      </c>
      <c r="G237" t="inlineStr">
        <is>
          <t>HÖGSBY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46230</v>
      </c>
      <c r="F238" t="inlineStr">
        <is>
          <t>KALMAR LÄN</t>
        </is>
      </c>
      <c r="G238" t="inlineStr">
        <is>
          <t>HÖGSBY</t>
        </is>
      </c>
      <c r="I238" t="n">
        <v>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46230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46230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46230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46230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46230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46230</v>
      </c>
      <c r="F244" t="inlineStr">
        <is>
          <t>KALMAR LÄN</t>
        </is>
      </c>
      <c r="G244" t="inlineStr">
        <is>
          <t>HÖGSBY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46230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45320</v>
      </c>
      <c r="E246" s="1" t="n">
        <v>46230</v>
      </c>
      <c r="F246" t="inlineStr">
        <is>
          <t>KALMAR LÄN</t>
        </is>
      </c>
      <c r="G246" t="inlineStr">
        <is>
          <t>HÖGSBY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46230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46230</v>
      </c>
      <c r="F248" t="inlineStr">
        <is>
          <t>KALMAR LÄN</t>
        </is>
      </c>
      <c r="G248" t="inlineStr">
        <is>
          <t>HÖGSBY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46230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46230</v>
      </c>
      <c r="F250" t="inlineStr">
        <is>
          <t>KALMAR LÄN</t>
        </is>
      </c>
      <c r="G250" t="inlineStr">
        <is>
          <t>HÖGSBY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46230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62720-2025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46008</v>
      </c>
      <c r="E252" s="1" t="n">
        <v>46230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62722-2025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46008</v>
      </c>
      <c r="E253" s="1" t="n">
        <v>46230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46230</v>
      </c>
      <c r="F254" t="inlineStr">
        <is>
          <t>KALMAR LÄN</t>
        </is>
      </c>
      <c r="G254" t="inlineStr">
        <is>
          <t>HÖGSBY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46230</v>
      </c>
      <c r="F255" t="inlineStr">
        <is>
          <t>KALMAR LÄN</t>
        </is>
      </c>
      <c r="G255" t="inlineStr">
        <is>
          <t>HÖGSBY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46230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46230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28692-2026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46198</v>
      </c>
      <c r="E258" s="1" t="n">
        <v>46230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28697-2026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46198</v>
      </c>
      <c r="E259" s="1" t="n">
        <v>46230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28702-2026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46198</v>
      </c>
      <c r="E260" s="1" t="n">
        <v>46230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57006-2024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45626</v>
      </c>
      <c r="E261" s="1" t="n">
        <v>46230</v>
      </c>
      <c r="F261" t="inlineStr">
        <is>
          <t>KALMAR LÄN</t>
        </is>
      </c>
      <c r="G261" t="inlineStr">
        <is>
          <t>HÖGSBY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46230</v>
      </c>
      <c r="F262" t="inlineStr">
        <is>
          <t>KALMAR LÄN</t>
        </is>
      </c>
      <c r="G262" t="inlineStr">
        <is>
          <t>HÖGSBY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46230</v>
      </c>
      <c r="F263" t="inlineStr">
        <is>
          <t>KALMAR LÄN</t>
        </is>
      </c>
      <c r="G263" t="inlineStr">
        <is>
          <t>HÖGSBY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60853-2021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44496</v>
      </c>
      <c r="E264" s="1" t="n">
        <v>46230</v>
      </c>
      <c r="F264" t="inlineStr">
        <is>
          <t>KALMAR LÄN</t>
        </is>
      </c>
      <c r="G264" t="inlineStr">
        <is>
          <t>HÖGSBY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46230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46230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28691-2026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46198</v>
      </c>
      <c r="E267" s="1" t="n">
        <v>46230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46230</v>
      </c>
      <c r="F268" t="inlineStr">
        <is>
          <t>KALMAR LÄN</t>
        </is>
      </c>
      <c r="G268" t="inlineStr">
        <is>
          <t>HÖGSBY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28713-2026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46230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46230</v>
      </c>
      <c r="F270" t="inlineStr">
        <is>
          <t>KALMAR LÄN</t>
        </is>
      </c>
      <c r="G270" t="inlineStr">
        <is>
          <t>HÖGSBY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46230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46230</v>
      </c>
      <c r="F272" t="inlineStr">
        <is>
          <t>KALMAR LÄN</t>
        </is>
      </c>
      <c r="G272" t="inlineStr">
        <is>
          <t>HÖGSBY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46230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54238-2021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46230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46230</v>
      </c>
      <c r="F275" t="inlineStr">
        <is>
          <t>KALMAR LÄN</t>
        </is>
      </c>
      <c r="G275" t="inlineStr">
        <is>
          <t>HÖGSBY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46230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46230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46230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46230</v>
      </c>
      <c r="F279" t="inlineStr">
        <is>
          <t>KALMAR LÄN</t>
        </is>
      </c>
      <c r="G279" t="inlineStr">
        <is>
          <t>HÖGSBY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46230</v>
      </c>
      <c r="F280" t="inlineStr">
        <is>
          <t>KALMAR LÄN</t>
        </is>
      </c>
      <c r="G280" t="inlineStr">
        <is>
          <t>HÖGSBY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45391</v>
      </c>
      <c r="E281" s="1" t="n">
        <v>46230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46230</v>
      </c>
      <c r="F282" t="inlineStr">
        <is>
          <t>KALMAR LÄN</t>
        </is>
      </c>
      <c r="G282" t="inlineStr">
        <is>
          <t>HÖGSBY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46230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46167</v>
      </c>
      <c r="E284" s="1" t="n">
        <v>46230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46230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46230</v>
      </c>
      <c r="F286" t="inlineStr">
        <is>
          <t>KALMAR LÄN</t>
        </is>
      </c>
      <c r="G286" t="inlineStr">
        <is>
          <t>HÖGSBY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46230</v>
      </c>
      <c r="F287" t="inlineStr">
        <is>
          <t>KALMAR LÄN</t>
        </is>
      </c>
      <c r="G287" t="inlineStr">
        <is>
          <t>HÖGSBY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7443-2026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46059</v>
      </c>
      <c r="E288" s="1" t="n">
        <v>46230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46230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46230</v>
      </c>
      <c r="F290" t="inlineStr">
        <is>
          <t>KALMAR LÄN</t>
        </is>
      </c>
      <c r="G290" t="inlineStr">
        <is>
          <t>HÖGSBY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8613-2022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44613</v>
      </c>
      <c r="E291" s="1" t="n">
        <v>46230</v>
      </c>
      <c r="F291" t="inlineStr">
        <is>
          <t>KALMAR LÄN</t>
        </is>
      </c>
      <c r="G291" t="inlineStr">
        <is>
          <t>HÖGSBY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26545-2024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45469</v>
      </c>
      <c r="E292" s="1" t="n">
        <v>46230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46230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46230</v>
      </c>
      <c r="F294" t="inlineStr">
        <is>
          <t>KALMAR LÄN</t>
        </is>
      </c>
      <c r="G294" t="inlineStr">
        <is>
          <t>HÖGSBY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46230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46230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46230</v>
      </c>
      <c r="F297" t="inlineStr">
        <is>
          <t>KALMAR LÄN</t>
        </is>
      </c>
      <c r="G297" t="inlineStr">
        <is>
          <t>HÖGSBY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46230</v>
      </c>
      <c r="F298" t="inlineStr">
        <is>
          <t>KALMAR LÄN</t>
        </is>
      </c>
      <c r="G298" t="inlineStr">
        <is>
          <t>HÖGSBY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46230</v>
      </c>
      <c r="F299" t="inlineStr">
        <is>
          <t>KALMAR LÄN</t>
        </is>
      </c>
      <c r="G299" t="inlineStr">
        <is>
          <t>HÖGSBY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46230</v>
      </c>
      <c r="F300" t="inlineStr">
        <is>
          <t>KALMAR LÄN</t>
        </is>
      </c>
      <c r="G300" t="inlineStr">
        <is>
          <t>HÖGSBY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46230</v>
      </c>
      <c r="F301" t="inlineStr">
        <is>
          <t>KALMAR LÄN</t>
        </is>
      </c>
      <c r="G301" t="inlineStr">
        <is>
          <t>HÖGSBY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46230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44907</v>
      </c>
      <c r="E303" s="1" t="n">
        <v>46230</v>
      </c>
      <c r="F303" t="inlineStr">
        <is>
          <t>KALMAR LÄN</t>
        </is>
      </c>
      <c r="G303" t="inlineStr">
        <is>
          <t>HÖGSBY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46230</v>
      </c>
      <c r="F304" t="inlineStr">
        <is>
          <t>KALMAR LÄN</t>
        </is>
      </c>
      <c r="G304" t="inlineStr">
        <is>
          <t>HÖGSBY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45588</v>
      </c>
      <c r="E305" s="1" t="n">
        <v>46230</v>
      </c>
      <c r="F305" t="inlineStr">
        <is>
          <t>KALMAR LÄN</t>
        </is>
      </c>
      <c r="G305" t="inlineStr">
        <is>
          <t>HÖGSBY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46230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45447</v>
      </c>
      <c r="E307" s="1" t="n">
        <v>46230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46230</v>
      </c>
      <c r="F308" t="inlineStr">
        <is>
          <t>KALMAR LÄN</t>
        </is>
      </c>
      <c r="G308" t="inlineStr">
        <is>
          <t>HÖGSBY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46230</v>
      </c>
      <c r="F309" t="inlineStr">
        <is>
          <t>KALMAR LÄN</t>
        </is>
      </c>
      <c r="G309" t="inlineStr">
        <is>
          <t>HÖGSBY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24601-2024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45460</v>
      </c>
      <c r="E310" s="1" t="n">
        <v>46230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46230</v>
      </c>
      <c r="F311" t="inlineStr">
        <is>
          <t>KALMAR LÄN</t>
        </is>
      </c>
      <c r="G311" t="inlineStr">
        <is>
          <t>HÖGSBY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46230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46230</v>
      </c>
      <c r="F313" t="inlineStr">
        <is>
          <t>KALMAR LÄN</t>
        </is>
      </c>
      <c r="G313" t="inlineStr">
        <is>
          <t>HÖGSBY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46230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46230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46230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46230</v>
      </c>
      <c r="F317" t="inlineStr">
        <is>
          <t>KALMAR LÄN</t>
        </is>
      </c>
      <c r="G317" t="inlineStr">
        <is>
          <t>HÖGSBY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14894-2025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45743</v>
      </c>
      <c r="E318" s="1" t="n">
        <v>46230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46230</v>
      </c>
      <c r="F319" t="inlineStr">
        <is>
          <t>KALMAR LÄN</t>
        </is>
      </c>
      <c r="G319" t="inlineStr">
        <is>
          <t>HÖGSBY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46230</v>
      </c>
      <c r="F320" t="inlineStr">
        <is>
          <t>KALMAR LÄN</t>
        </is>
      </c>
      <c r="G320" t="inlineStr">
        <is>
          <t>HÖGSBY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38802-2024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45547</v>
      </c>
      <c r="E321" s="1" t="n">
        <v>46230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46230</v>
      </c>
      <c r="F322" t="inlineStr">
        <is>
          <t>KALMAR LÄN</t>
        </is>
      </c>
      <c r="G322" t="inlineStr">
        <is>
          <t>HÖGSBY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46230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46230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44866</v>
      </c>
      <c r="E325" s="1" t="n">
        <v>46230</v>
      </c>
      <c r="F325" t="inlineStr">
        <is>
          <t>KALMAR LÄN</t>
        </is>
      </c>
      <c r="G325" t="inlineStr">
        <is>
          <t>HÖGSBY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46230</v>
      </c>
      <c r="F326" t="inlineStr">
        <is>
          <t>KALMAR LÄN</t>
        </is>
      </c>
      <c r="G326" t="inlineStr">
        <is>
          <t>HÖGSBY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46230</v>
      </c>
      <c r="F327" t="inlineStr">
        <is>
          <t>KALMAR LÄN</t>
        </is>
      </c>
      <c r="G327" t="inlineStr">
        <is>
          <t>HÖGSBY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46230</v>
      </c>
      <c r="F328" t="inlineStr">
        <is>
          <t>KALMAR LÄN</t>
        </is>
      </c>
      <c r="G328" t="inlineStr">
        <is>
          <t>HÖGSBY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60555-2021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44496</v>
      </c>
      <c r="E329" s="1" t="n">
        <v>46230</v>
      </c>
      <c r="F329" t="inlineStr">
        <is>
          <t>KALMAR LÄN</t>
        </is>
      </c>
      <c r="G329" t="inlineStr">
        <is>
          <t>HÖGSBY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46230</v>
      </c>
      <c r="F330" t="inlineStr">
        <is>
          <t>KALMAR LÄN</t>
        </is>
      </c>
      <c r="G330" t="inlineStr">
        <is>
          <t>HÖGSBY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46230</v>
      </c>
      <c r="F331" t="inlineStr">
        <is>
          <t>KALMAR LÄN</t>
        </is>
      </c>
      <c r="G331" t="inlineStr">
        <is>
          <t>HÖGSBY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46230</v>
      </c>
      <c r="F332" t="inlineStr">
        <is>
          <t>KALMAR LÄN</t>
        </is>
      </c>
      <c r="G332" t="inlineStr">
        <is>
          <t>HÖGSBY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46230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44879</v>
      </c>
      <c r="E334" s="1" t="n">
        <v>46230</v>
      </c>
      <c r="F334" t="inlineStr">
        <is>
          <t>KALMAR LÄN</t>
        </is>
      </c>
      <c r="G334" t="inlineStr">
        <is>
          <t>HÖGSBY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46230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46134</v>
      </c>
      <c r="E336" s="1" t="n">
        <v>46230</v>
      </c>
      <c r="F336" t="inlineStr">
        <is>
          <t>KALMAR LÄN</t>
        </is>
      </c>
      <c r="G336" t="inlineStr">
        <is>
          <t>HÖGSBY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46230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46230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46230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46230</v>
      </c>
      <c r="F340" t="inlineStr">
        <is>
          <t>KALMAR LÄN</t>
        </is>
      </c>
      <c r="G340" t="inlineStr">
        <is>
          <t>HÖGSBY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46230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46230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46230</v>
      </c>
      <c r="F343" t="inlineStr">
        <is>
          <t>KALMAR LÄN</t>
        </is>
      </c>
      <c r="G343" t="inlineStr">
        <is>
          <t>HÖGSBY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46230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46230</v>
      </c>
      <c r="F345" t="inlineStr">
        <is>
          <t>KALMAR LÄN</t>
        </is>
      </c>
      <c r="G345" t="inlineStr">
        <is>
          <t>HÖGSBY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46230</v>
      </c>
      <c r="F346" t="inlineStr">
        <is>
          <t>KALMAR LÄN</t>
        </is>
      </c>
      <c r="G346" t="inlineStr">
        <is>
          <t>HÖGSBY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44924</v>
      </c>
      <c r="E347" s="1" t="n">
        <v>46230</v>
      </c>
      <c r="F347" t="inlineStr">
        <is>
          <t>KALMAR LÄN</t>
        </is>
      </c>
      <c r="G347" t="inlineStr">
        <is>
          <t>HÖGSBY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45254</v>
      </c>
      <c r="E348" s="1" t="n">
        <v>46230</v>
      </c>
      <c r="F348" t="inlineStr">
        <is>
          <t>KALMAR LÄN</t>
        </is>
      </c>
      <c r="G348" t="inlineStr">
        <is>
          <t>HÖGSBY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46230</v>
      </c>
      <c r="F349" t="inlineStr">
        <is>
          <t>KALMAR LÄN</t>
        </is>
      </c>
      <c r="G349" t="inlineStr">
        <is>
          <t>HÖGSBY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44999</v>
      </c>
      <c r="E350" s="1" t="n">
        <v>46230</v>
      </c>
      <c r="F350" t="inlineStr">
        <is>
          <t>KALMAR LÄN</t>
        </is>
      </c>
      <c r="G350" t="inlineStr">
        <is>
          <t>HÖGSBY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44981</v>
      </c>
      <c r="E351" s="1" t="n">
        <v>46230</v>
      </c>
      <c r="F351" t="inlineStr">
        <is>
          <t>KALMAR LÄN</t>
        </is>
      </c>
      <c r="G351" t="inlineStr">
        <is>
          <t>HÖGSBY</t>
        </is>
      </c>
      <c r="H351" t="inlineStr">
        <is>
          <t>Övriga Aktiebolag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50428-2024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46230</v>
      </c>
      <c r="F352" t="inlineStr">
        <is>
          <t>KALMAR LÄN</t>
        </is>
      </c>
      <c r="G352" t="inlineStr">
        <is>
          <t>HÖGSBY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46230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46230</v>
      </c>
      <c r="F354" t="inlineStr">
        <is>
          <t>KALMAR LÄN</t>
        </is>
      </c>
      <c r="G354" t="inlineStr">
        <is>
          <t>HÖGSBY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65130-2023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45288</v>
      </c>
      <c r="E355" s="1" t="n">
        <v>46230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46230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44861</v>
      </c>
      <c r="E357" s="1" t="n">
        <v>46230</v>
      </c>
      <c r="F357" t="inlineStr">
        <is>
          <t>KALMAR LÄN</t>
        </is>
      </c>
      <c r="G357" t="inlineStr">
        <is>
          <t>HÖGSBY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46230</v>
      </c>
      <c r="F358" t="inlineStr">
        <is>
          <t>KALMAR LÄN</t>
        </is>
      </c>
      <c r="G358" t="inlineStr">
        <is>
          <t>HÖGSBY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46230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46230</v>
      </c>
      <c r="F360" t="inlineStr">
        <is>
          <t>KALMAR LÄN</t>
        </is>
      </c>
      <c r="G360" t="inlineStr">
        <is>
          <t>HÖGSBY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46230</v>
      </c>
      <c r="F361" t="inlineStr">
        <is>
          <t>KALMAR LÄN</t>
        </is>
      </c>
      <c r="G361" t="inlineStr">
        <is>
          <t>HÖGSBY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44907</v>
      </c>
      <c r="E362" s="1" t="n">
        <v>46230</v>
      </c>
      <c r="F362" t="inlineStr">
        <is>
          <t>KALMAR LÄN</t>
        </is>
      </c>
      <c r="G362" t="inlineStr">
        <is>
          <t>HÖGSBY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46230</v>
      </c>
      <c r="F363" t="inlineStr">
        <is>
          <t>KALMAR LÄN</t>
        </is>
      </c>
      <c r="G363" t="inlineStr">
        <is>
          <t>HÖGSBY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46230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46230</v>
      </c>
      <c r="F365" t="inlineStr">
        <is>
          <t>KALMAR LÄN</t>
        </is>
      </c>
      <c r="G365" t="inlineStr">
        <is>
          <t>HÖGSBY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46230</v>
      </c>
      <c r="F366" t="inlineStr">
        <is>
          <t>KALMAR LÄN</t>
        </is>
      </c>
      <c r="G366" t="inlineStr">
        <is>
          <t>HÖGSBY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46230</v>
      </c>
      <c r="F367" t="inlineStr">
        <is>
          <t>KALMAR LÄN</t>
        </is>
      </c>
      <c r="G367" t="inlineStr">
        <is>
          <t>HÖGSBY</t>
        </is>
      </c>
      <c r="H367" t="inlineStr">
        <is>
          <t>Övriga Aktiebolag</t>
        </is>
      </c>
      <c r="I367" t="n">
        <v>15.2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46230</v>
      </c>
      <c r="F368" t="inlineStr">
        <is>
          <t>KALMAR LÄN</t>
        </is>
      </c>
      <c r="G368" t="inlineStr">
        <is>
          <t>HÖGSBY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46230</v>
      </c>
      <c r="F369" t="inlineStr">
        <is>
          <t>KALMAR LÄN</t>
        </is>
      </c>
      <c r="G369" t="inlineStr">
        <is>
          <t>HÖGSBY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46230</v>
      </c>
      <c r="F370" t="inlineStr">
        <is>
          <t>KALMAR LÄN</t>
        </is>
      </c>
      <c r="G370" t="inlineStr">
        <is>
          <t>HÖGSBY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46230</v>
      </c>
      <c r="F371" t="inlineStr">
        <is>
          <t>KALMAR LÄN</t>
        </is>
      </c>
      <c r="G371" t="inlineStr">
        <is>
          <t>HÖGSBY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46230</v>
      </c>
      <c r="F372" t="inlineStr">
        <is>
          <t>KALMAR LÄN</t>
        </is>
      </c>
      <c r="G372" t="inlineStr">
        <is>
          <t>HÖGSBY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46230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44866</v>
      </c>
      <c r="E374" s="1" t="n">
        <v>46230</v>
      </c>
      <c r="F374" t="inlineStr">
        <is>
          <t>KALMAR LÄN</t>
        </is>
      </c>
      <c r="G374" t="inlineStr">
        <is>
          <t>HÖGSBY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46230</v>
      </c>
      <c r="F375" t="inlineStr">
        <is>
          <t>KALMAR LÄN</t>
        </is>
      </c>
      <c r="G375" t="inlineStr">
        <is>
          <t>HÖGSBY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46230</v>
      </c>
      <c r="F376" t="inlineStr">
        <is>
          <t>KALMAR LÄN</t>
        </is>
      </c>
      <c r="G376" t="inlineStr">
        <is>
          <t>HÖGSBY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34078-2024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45523</v>
      </c>
      <c r="E377" s="1" t="n">
        <v>46230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46230</v>
      </c>
      <c r="F378" t="inlineStr">
        <is>
          <t>KALMAR LÄN</t>
        </is>
      </c>
      <c r="G378" t="inlineStr">
        <is>
          <t>HÖGSBY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46230</v>
      </c>
      <c r="F379" t="inlineStr">
        <is>
          <t>KALMAR LÄN</t>
        </is>
      </c>
      <c r="G379" t="inlineStr">
        <is>
          <t>HÖGSBY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46230</v>
      </c>
      <c r="F380" t="inlineStr">
        <is>
          <t>KALMAR LÄN</t>
        </is>
      </c>
      <c r="G380" t="inlineStr">
        <is>
          <t>HÖGSBY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  <c r="Z380">
        <f>HYPERLINK("https://klasma.github.io/Logging_0821/knärot/A 40137-2024 karta knärot.png", "A 40137-2024")</f>
        <v/>
      </c>
      <c r="AA380">
        <f>HYPERLINK("https://klasma.github.io/Logging_0821/klagomål/A 40137-2024 FSC-klagomål.docx", "A 40137-2024")</f>
        <v/>
      </c>
      <c r="AB380">
        <f>HYPERLINK("https://klasma.github.io/Logging_0821/klagomålsmail/A 40137-2024 FSC-klagomål mail.docx", "A 40137-2024")</f>
        <v/>
      </c>
      <c r="AC380">
        <f>HYPERLINK("https://klasma.github.io/Logging_0821/tillsyn/A 40137-2024 tillsynsbegäran.docx", "A 40137-2024")</f>
        <v/>
      </c>
      <c r="AD380">
        <f>HYPERLINK("https://klasma.github.io/Logging_0821/tillsynsmail/A 40137-2024 tillsynsbegäran mail.docx", "A 40137-2024")</f>
        <v/>
      </c>
    </row>
    <row r="381" ht="15" customHeight="1">
      <c r="A381" t="inlineStr">
        <is>
          <t>A 24378-2025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46230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46230</v>
      </c>
      <c r="F382" t="inlineStr">
        <is>
          <t>KALMAR LÄN</t>
        </is>
      </c>
      <c r="G382" t="inlineStr">
        <is>
          <t>HÖGSBY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46230</v>
      </c>
      <c r="F383" t="inlineStr">
        <is>
          <t>KALMAR LÄN</t>
        </is>
      </c>
      <c r="G383" t="inlineStr">
        <is>
          <t>HÖGSBY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46230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46230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46230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46230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46230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46230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46230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46230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46230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46230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46230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46230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46230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46230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46230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46230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46230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46230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46230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46230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46230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46230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46230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46230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46230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2026-07-27T01:52:18Z</dcterms:created>
  <dcterms:modified xmlns:dcterms="http://purl.org/dc/terms/" xmlns:xsi="http://www.w3.org/2001/XMLSchema-instance" xsi:type="dcterms:W3CDTF">2026-07-27T01:52:19Z</dcterms:modified>
</cp:coreProperties>
</file>