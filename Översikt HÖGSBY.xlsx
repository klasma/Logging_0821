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46217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V2">
        <f>HYPERLINK("https://klasma.github.io/Logging_0821/artfynd/S 921-2026 artfynd.xlsx", "S 921-2026")</f>
        <v/>
      </c>
      <c r="W2">
        <f>HYPERLINK("https://klasma.github.io/Logging_0821/kartor/S 921-2026 karta.png", "S 921-2026")</f>
        <v/>
      </c>
      <c r="Y2">
        <f>HYPERLINK("https://klasma.github.io/Logging_0821/klagomål/S 921-2026 FSC-klagomål.docx", "S 921-2026")</f>
        <v/>
      </c>
      <c r="Z2">
        <f>HYPERLINK("https://klasma.github.io/Logging_0821/klagomålsmail/S 921-2026 FSC-klagomål mail.docx", "S 921-2026")</f>
        <v/>
      </c>
      <c r="AA2">
        <f>HYPERLINK("https://klasma.github.io/Logging_0821/tillsyn/S 921-2026 tillsynsbegäran.docx", "S 921-2026")</f>
        <v/>
      </c>
      <c r="AB2">
        <f>HYPERLINK("https://klasma.github.io/Logging_0821/tillsynsmail/S 921-2026 tillsynsbegäran mail.docx", "S 921-2026")</f>
        <v/>
      </c>
      <c r="AC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46217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V3">
        <f>HYPERLINK("https://klasma.github.io/Logging_0821/artfynd/A 44969-2021 artfynd.xlsx", "A 44969-2021")</f>
        <v/>
      </c>
      <c r="W3">
        <f>HYPERLINK("https://klasma.github.io/Logging_0821/kartor/A 44969-2021 karta.png", "A 44969-2021")</f>
        <v/>
      </c>
      <c r="Y3">
        <f>HYPERLINK("https://klasma.github.io/Logging_0821/klagomål/A 44969-2021 FSC-klagomål.docx", "A 44969-2021")</f>
        <v/>
      </c>
      <c r="Z3">
        <f>HYPERLINK("https://klasma.github.io/Logging_0821/klagomålsmail/A 44969-2021 FSC-klagomål mail.docx", "A 44969-2021")</f>
        <v/>
      </c>
      <c r="AA3">
        <f>HYPERLINK("https://klasma.github.io/Logging_0821/tillsyn/A 44969-2021 tillsynsbegäran.docx", "A 44969-2021")</f>
        <v/>
      </c>
      <c r="AB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46217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s="2" t="inlineStr">
        <is>
          <t>Svartoxe
Knärot
Enkelbeckasin
Entita
Grönhjon
Sparvuggla
Större flatbagge
Ullticka
Barkticka
Brandticka
Västlig hakmossa
Blåsippa
Spillkråka</t>
        </is>
      </c>
      <c r="V4">
        <f>HYPERLINK("https://klasma.github.io/Logging_0821/artfynd/A 52987-2024 artfynd.xlsx", "A 52987-2024")</f>
        <v/>
      </c>
      <c r="W4">
        <f>HYPERLINK("https://klasma.github.io/Logging_0821/kartor/A 52987-2024 karta.png", "A 52987-2024")</f>
        <v/>
      </c>
      <c r="X4">
        <f>HYPERLINK("https://klasma.github.io/Logging_0821/knärot/A 52987-2024 karta knärot.png", "A 52987-2024")</f>
        <v/>
      </c>
      <c r="Y4">
        <f>HYPERLINK("https://klasma.github.io/Logging_0821/klagomål/A 52987-2024 FSC-klagomål.docx", "A 52987-2024")</f>
        <v/>
      </c>
      <c r="Z4">
        <f>HYPERLINK("https://klasma.github.io/Logging_0821/klagomålsmail/A 52987-2024 FSC-klagomål mail.docx", "A 52987-2024")</f>
        <v/>
      </c>
      <c r="AA4">
        <f>HYPERLINK("https://klasma.github.io/Logging_0821/tillsyn/A 52987-2024 tillsynsbegäran.docx", "A 52987-2024")</f>
        <v/>
      </c>
      <c r="AB4">
        <f>HYPERLINK("https://klasma.github.io/Logging_0821/tillsynsmail/A 52987-2024 tillsynsbegäran mail.docx", "A 52987-2024")</f>
        <v/>
      </c>
      <c r="AC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46217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s="2" t="inlineStr">
        <is>
          <t>Ask
Skogsalm
Hjärtstilla
Läderbagge
Ekticka
Flentimotej
Kavelhirs
Korskovall
Slåtterfibbla
Svinrot
Vippärt
Vårärt
Nattviol</t>
        </is>
      </c>
      <c r="V5">
        <f>HYPERLINK("https://klasma.github.io/Logging_0821/artfynd/S 925-2026 artfynd.xlsx", "S 925-2026")</f>
        <v/>
      </c>
      <c r="W5">
        <f>HYPERLINK("https://klasma.github.io/Logging_0821/kartor/S 925-2026 karta.png", "S 925-2026")</f>
        <v/>
      </c>
      <c r="Y5">
        <f>HYPERLINK("https://klasma.github.io/Logging_0821/klagomål/S 925-2026 FSC-klagomål.docx", "S 925-2026")</f>
        <v/>
      </c>
      <c r="Z5">
        <f>HYPERLINK("https://klasma.github.io/Logging_0821/klagomålsmail/S 925-2026 FSC-klagomål mail.docx", "S 925-2026")</f>
        <v/>
      </c>
      <c r="AA5">
        <f>HYPERLINK("https://klasma.github.io/Logging_0821/tillsyn/S 925-2026 tillsynsbegäran.docx", "S 925-2026")</f>
        <v/>
      </c>
      <c r="AB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46217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s="2" t="inlineStr">
        <is>
          <t>Knärot
Gransotdyna
Talltita
Grönpyrola
Thomsons trägnagare
Vedticka
Västlig hakmossa
Blåsippa
Spillkråka
Kungsfågel</t>
        </is>
      </c>
      <c r="V6">
        <f>HYPERLINK("https://klasma.github.io/Logging_0821/artfynd/A 74479-2021 artfynd.xlsx", "A 74479-2021")</f>
        <v/>
      </c>
      <c r="W6">
        <f>HYPERLINK("https://klasma.github.io/Logging_0821/kartor/A 74479-2021 karta.png", "A 74479-2021")</f>
        <v/>
      </c>
      <c r="X6">
        <f>HYPERLINK("https://klasma.github.io/Logging_0821/knärot/A 74479-2021 karta knärot.png", "A 74479-2021")</f>
        <v/>
      </c>
      <c r="Y6">
        <f>HYPERLINK("https://klasma.github.io/Logging_0821/klagomål/A 74479-2021 FSC-klagomål.docx", "A 74479-2021")</f>
        <v/>
      </c>
      <c r="Z6">
        <f>HYPERLINK("https://klasma.github.io/Logging_0821/klagomålsmail/A 74479-2021 FSC-klagomål mail.docx", "A 74479-2021")</f>
        <v/>
      </c>
      <c r="AA6">
        <f>HYPERLINK("https://klasma.github.io/Logging_0821/tillsyn/A 74479-2021 tillsynsbegäran.docx", "A 74479-2021")</f>
        <v/>
      </c>
      <c r="AB6">
        <f>HYPERLINK("https://klasma.github.io/Logging_0821/tillsynsmail/A 74479-2021 tillsynsbegäran mail.docx", "A 74479-2021")</f>
        <v/>
      </c>
      <c r="AC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46217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s="2" t="inlineStr">
        <is>
          <t>Dvärgbägarlav
Motaggsvamp
Tallticka
Vedskivlav
Blomskägglav
Blåmossa
Flagellkvastmossa
Mindre märgborre
Spillkråka
Lopplummer (aggregat)</t>
        </is>
      </c>
      <c r="V7">
        <f>HYPERLINK("https://klasma.github.io/Logging_0821/artfynd/A 52175-2023 artfynd.xlsx", "A 52175-2023")</f>
        <v/>
      </c>
      <c r="W7">
        <f>HYPERLINK("https://klasma.github.io/Logging_0821/kartor/A 52175-2023 karta.png", "A 52175-2023")</f>
        <v/>
      </c>
      <c r="Y7">
        <f>HYPERLINK("https://klasma.github.io/Logging_0821/klagomål/A 52175-2023 FSC-klagomål.docx", "A 52175-2023")</f>
        <v/>
      </c>
      <c r="Z7">
        <f>HYPERLINK("https://klasma.github.io/Logging_0821/klagomålsmail/A 52175-2023 FSC-klagomål mail.docx", "A 52175-2023")</f>
        <v/>
      </c>
      <c r="AA7">
        <f>HYPERLINK("https://klasma.github.io/Logging_0821/tillsyn/A 52175-2023 tillsynsbegäran.docx", "A 52175-2023")</f>
        <v/>
      </c>
      <c r="AB7">
        <f>HYPERLINK("https://klasma.github.io/Logging_0821/tillsynsmail/A 52175-2023 tillsynsbegäran mail.docx", "A 52175-2023")</f>
        <v/>
      </c>
      <c r="AC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46217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s="2" t="inlineStr">
        <is>
          <t>Mindre hackspett
Sädesärla
Talltita
Blåsippa
Skogsduva
Svartvit flugsnappare
Ärtsångare</t>
        </is>
      </c>
      <c r="V8">
        <f>HYPERLINK("https://klasma.github.io/Logging_0821/artfynd/A 50746-2022 artfynd.xlsx", "A 50746-2022")</f>
        <v/>
      </c>
      <c r="W8">
        <f>HYPERLINK("https://klasma.github.io/Logging_0821/kartor/A 50746-2022 karta.png", "A 50746-2022")</f>
        <v/>
      </c>
      <c r="Y8">
        <f>HYPERLINK("https://klasma.github.io/Logging_0821/klagomål/A 50746-2022 FSC-klagomål.docx", "A 50746-2022")</f>
        <v/>
      </c>
      <c r="Z8">
        <f>HYPERLINK("https://klasma.github.io/Logging_0821/klagomålsmail/A 50746-2022 FSC-klagomål mail.docx", "A 50746-2022")</f>
        <v/>
      </c>
      <c r="AA8">
        <f>HYPERLINK("https://klasma.github.io/Logging_0821/tillsyn/A 50746-2022 tillsynsbegäran.docx", "A 50746-2022")</f>
        <v/>
      </c>
      <c r="AB8">
        <f>HYPERLINK("https://klasma.github.io/Logging_0821/tillsynsmail/A 50746-2022 tillsynsbegäran mail.docx", "A 50746-2022")</f>
        <v/>
      </c>
      <c r="AC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46217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s="2" t="inlineStr">
        <is>
          <t>Koppartaggsvamp
Raggtaggsvamp
Fjällig taggsvamp s.str.
Luddfingersvamp
Orange taggsvamp
Skarp dropptaggsvamp
Tjockfotad fingersvamp</t>
        </is>
      </c>
      <c r="V9">
        <f>HYPERLINK("https://klasma.github.io/Logging_0821/artfynd/S 2201-2022 artfynd.xlsx", "S 2201-2022")</f>
        <v/>
      </c>
      <c r="W9">
        <f>HYPERLINK("https://klasma.github.io/Logging_0821/kartor/S 2201-2022 karta.png", "S 2201-2022")</f>
        <v/>
      </c>
      <c r="Y9">
        <f>HYPERLINK("https://klasma.github.io/Logging_0821/klagomål/S 2201-2022 FSC-klagomål.docx", "S 2201-2022")</f>
        <v/>
      </c>
      <c r="Z9">
        <f>HYPERLINK("https://klasma.github.io/Logging_0821/klagomålsmail/S 2201-2022 FSC-klagomål mail.docx", "S 2201-2022")</f>
        <v/>
      </c>
      <c r="AA9">
        <f>HYPERLINK("https://klasma.github.io/Logging_0821/tillsyn/S 2201-2022 tillsynsbegäran.docx", "S 2201-2022")</f>
        <v/>
      </c>
      <c r="AB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46217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s="2" t="inlineStr">
        <is>
          <t>Knärot
Slåtterfibbla
Tallticka
Ekoxe
Blåsippa
Spillkråka
Gullviva</t>
        </is>
      </c>
      <c r="V10">
        <f>HYPERLINK("https://klasma.github.io/Logging_0821/artfynd/S 5036-2024 artfynd.xlsx", "S 5036-2024")</f>
        <v/>
      </c>
      <c r="W10">
        <f>HYPERLINK("https://klasma.github.io/Logging_0821/kartor/S 5036-2024 karta.png", "S 5036-2024")</f>
        <v/>
      </c>
      <c r="X10">
        <f>HYPERLINK("https://klasma.github.io/Logging_0821/knärot/S 5036-2024 karta knärot.png", "S 5036-2024")</f>
        <v/>
      </c>
      <c r="Y10">
        <f>HYPERLINK("https://klasma.github.io/Logging_0821/klagomål/S 5036-2024 FSC-klagomål.docx", "S 5036-2024")</f>
        <v/>
      </c>
      <c r="Z10">
        <f>HYPERLINK("https://klasma.github.io/Logging_0821/klagomålsmail/S 5036-2024 FSC-klagomål mail.docx", "S 5036-2024")</f>
        <v/>
      </c>
      <c r="AA10">
        <f>HYPERLINK("https://klasma.github.io/Logging_0821/tillsyn/S 5036-2024 tillsynsbegäran.docx", "S 5036-2024")</f>
        <v/>
      </c>
      <c r="AB10">
        <f>HYPERLINK("https://klasma.github.io/Logging_0821/tillsynsmail/S 5036-2024 tillsynsbegäran mail.docx", "S 5036-2024")</f>
        <v/>
      </c>
      <c r="AC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46217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Mindre hackspett
Sädesärla
Skogsduva
Svartvit flugsnappare
Ärtsångare</t>
        </is>
      </c>
      <c r="V11">
        <f>HYPERLINK("https://klasma.github.io/Logging_0821/artfynd/A 50623-2022 artfynd.xlsx", "A 50623-2022")</f>
        <v/>
      </c>
      <c r="W11">
        <f>HYPERLINK("https://klasma.github.io/Logging_0821/kartor/A 50623-2022 karta.png", "A 50623-2022")</f>
        <v/>
      </c>
      <c r="Y11">
        <f>HYPERLINK("https://klasma.github.io/Logging_0821/klagomål/A 50623-2022 FSC-klagomål.docx", "A 50623-2022")</f>
        <v/>
      </c>
      <c r="Z11">
        <f>HYPERLINK("https://klasma.github.io/Logging_0821/klagomålsmail/A 50623-2022 FSC-klagomål mail.docx", "A 50623-2022")</f>
        <v/>
      </c>
      <c r="AA11">
        <f>HYPERLINK("https://klasma.github.io/Logging_0821/tillsyn/A 50623-2022 tillsynsbegäran.docx", "A 50623-2022")</f>
        <v/>
      </c>
      <c r="AB11">
        <f>HYPERLINK("https://klasma.github.io/Logging_0821/tillsynsmail/A 50623-2022 tillsynsbegäran mail.docx", "A 50623-2022")</f>
        <v/>
      </c>
      <c r="AC11">
        <f>HYPERLINK("https://klasma.github.io/Logging_0821/fåglar/A 50623-2022 prioriterade fågelarter.docx", "A 50623-2022")</f>
        <v/>
      </c>
    </row>
    <row r="12" ht="15" customHeight="1">
      <c r="A12" t="inlineStr">
        <is>
          <t>A 7410-2024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45345</v>
      </c>
      <c r="E12" s="1" t="n">
        <v>46217</v>
      </c>
      <c r="F12" t="inlineStr">
        <is>
          <t>KALMAR LÄN</t>
        </is>
      </c>
      <c r="G12" t="inlineStr">
        <is>
          <t>HÖGSBY</t>
        </is>
      </c>
      <c r="I12" t="n">
        <v>2.7</v>
      </c>
      <c r="J12" t="n">
        <v>5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16</v>
      </c>
      <c r="U12" s="2" t="inlineStr">
        <is>
          <t>Knärot
Talltita
Blåsippa
Mattlummer
Tjäder</t>
        </is>
      </c>
      <c r="V12">
        <f>HYPERLINK("https://klasma.github.io/Logging_0821/artfynd/A 7410-2024 artfynd.xlsx", "A 7410-2024")</f>
        <v/>
      </c>
      <c r="W12">
        <f>HYPERLINK("https://klasma.github.io/Logging_0821/kartor/A 7410-2024 karta.png", "A 7410-2024")</f>
        <v/>
      </c>
      <c r="X12">
        <f>HYPERLINK("https://klasma.github.io/Logging_0821/knärot/A 7410-2024 karta knärot.png", "A 7410-2024")</f>
        <v/>
      </c>
      <c r="Y12">
        <f>HYPERLINK("https://klasma.github.io/Logging_0821/klagomål/A 7410-2024 FSC-klagomål.docx", "A 7410-2024")</f>
        <v/>
      </c>
      <c r="Z12">
        <f>HYPERLINK("https://klasma.github.io/Logging_0821/klagomålsmail/A 7410-2024 FSC-klagomål mail.docx", "A 7410-2024")</f>
        <v/>
      </c>
      <c r="AA12">
        <f>HYPERLINK("https://klasma.github.io/Logging_0821/tillsyn/A 7410-2024 tillsynsbegäran.docx", "A 7410-2024")</f>
        <v/>
      </c>
      <c r="AB12">
        <f>HYPERLINK("https://klasma.github.io/Logging_0821/tillsynsmail/A 7410-2024 tillsynsbegäran mail.docx", "A 7410-2024")</f>
        <v/>
      </c>
      <c r="AC12">
        <f>HYPERLINK("https://klasma.github.io/Logging_0821/fåglar/A 7410-2024 prioriterade fågelarter.docx", "A 7410-2024")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46217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s="2" t="inlineStr">
        <is>
          <t>Mindre bastardsvärmare
Slåttergubbe
Jungfrulin
Solvända
Gullviva</t>
        </is>
      </c>
      <c r="V13">
        <f>HYPERLINK("https://klasma.github.io/Logging_0821/artfynd/A 54942-2022 artfynd.xlsx", "A 54942-2022")</f>
        <v/>
      </c>
      <c r="W13">
        <f>HYPERLINK("https://klasma.github.io/Logging_0821/kartor/A 54942-2022 karta.png", "A 54942-2022")</f>
        <v/>
      </c>
      <c r="Y13">
        <f>HYPERLINK("https://klasma.github.io/Logging_0821/klagomål/A 54942-2022 FSC-klagomål.docx", "A 54942-2022")</f>
        <v/>
      </c>
      <c r="Z13">
        <f>HYPERLINK("https://klasma.github.io/Logging_0821/klagomålsmail/A 54942-2022 FSC-klagomål mail.docx", "A 54942-2022")</f>
        <v/>
      </c>
      <c r="AA13">
        <f>HYPERLINK("https://klasma.github.io/Logging_0821/tillsyn/A 54942-2022 tillsynsbegäran.docx", "A 54942-2022")</f>
        <v/>
      </c>
      <c r="AB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46217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s="2" t="inlineStr">
        <is>
          <t>Vedtrappmossa
Bronshjon
Flagellkvastmossa
Vågbandad barkbock
Tjäder</t>
        </is>
      </c>
      <c r="V14">
        <f>HYPERLINK("https://klasma.github.io/Logging_0821/artfynd/A 62412-2023 artfynd.xlsx", "A 62412-2023")</f>
        <v/>
      </c>
      <c r="W14">
        <f>HYPERLINK("https://klasma.github.io/Logging_0821/kartor/A 62412-2023 karta.png", "A 62412-2023")</f>
        <v/>
      </c>
      <c r="Y14">
        <f>HYPERLINK("https://klasma.github.io/Logging_0821/klagomål/A 62412-2023 FSC-klagomål.docx", "A 62412-2023")</f>
        <v/>
      </c>
      <c r="Z14">
        <f>HYPERLINK("https://klasma.github.io/Logging_0821/klagomålsmail/A 62412-2023 FSC-klagomål mail.docx", "A 62412-2023")</f>
        <v/>
      </c>
      <c r="AA14">
        <f>HYPERLINK("https://klasma.github.io/Logging_0821/tillsyn/A 62412-2023 tillsynsbegäran.docx", "A 62412-2023")</f>
        <v/>
      </c>
      <c r="AB14">
        <f>HYPERLINK("https://klasma.github.io/Logging_0821/tillsynsmail/A 62412-2023 tillsynsbegäran mail.docx", "A 62412-2023")</f>
        <v/>
      </c>
      <c r="AC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46217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s="2" t="inlineStr">
        <is>
          <t>Kopparspindling
Fjällig taggsvamp s.str.
Persiljespindling
Skarp dropptaggsvamp
Tjockfotad fingersvamp</t>
        </is>
      </c>
      <c r="V15">
        <f>HYPERLINK("https://klasma.github.io/Logging_0821/artfynd/S 1426-2025 artfynd.xlsx", "S 1426-2025")</f>
        <v/>
      </c>
      <c r="W15">
        <f>HYPERLINK("https://klasma.github.io/Logging_0821/kartor/S 1426-2025 karta.png", "S 1426-2025")</f>
        <v/>
      </c>
      <c r="Y15">
        <f>HYPERLINK("https://klasma.github.io/Logging_0821/klagomål/S 1426-2025 FSC-klagomål.docx", "S 1426-2025")</f>
        <v/>
      </c>
      <c r="Z15">
        <f>HYPERLINK("https://klasma.github.io/Logging_0821/klagomålsmail/S 1426-2025 FSC-klagomål mail.docx", "S 1426-2025")</f>
        <v/>
      </c>
      <c r="AA15">
        <f>HYPERLINK("https://klasma.github.io/Logging_0821/tillsyn/S 1426-2025 tillsynsbegäran.docx", "S 1426-2025")</f>
        <v/>
      </c>
      <c r="AB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46217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Gulsparv
Mindre träfjäril
Talltita
Gröngöling</t>
        </is>
      </c>
      <c r="V16">
        <f>HYPERLINK("https://klasma.github.io/Logging_0821/artfynd/A 57171-2022 artfynd.xlsx", "A 57171-2022")</f>
        <v/>
      </c>
      <c r="W16">
        <f>HYPERLINK("https://klasma.github.io/Logging_0821/kartor/A 57171-2022 karta.png", "A 57171-2022")</f>
        <v/>
      </c>
      <c r="Y16">
        <f>HYPERLINK("https://klasma.github.io/Logging_0821/klagomål/A 57171-2022 FSC-klagomål.docx", "A 57171-2022")</f>
        <v/>
      </c>
      <c r="Z16">
        <f>HYPERLINK("https://klasma.github.io/Logging_0821/klagomålsmail/A 57171-2022 FSC-klagomål mail.docx", "A 57171-2022")</f>
        <v/>
      </c>
      <c r="AA16">
        <f>HYPERLINK("https://klasma.github.io/Logging_0821/tillsyn/A 57171-2022 tillsynsbegäran.docx", "A 57171-2022")</f>
        <v/>
      </c>
      <c r="AB16">
        <f>HYPERLINK("https://klasma.github.io/Logging_0821/tillsynsmail/A 57171-2022 tillsynsbegäran mail.docx", "A 57171-2022")</f>
        <v/>
      </c>
      <c r="AC16">
        <f>HYPERLINK("https://klasma.github.io/Logging_0821/fåglar/A 57171-2022 prioriterade fågelarter.docx", "A 57171-2022")</f>
        <v/>
      </c>
    </row>
    <row r="17" ht="15" customHeight="1">
      <c r="A17" t="inlineStr">
        <is>
          <t>A 26772-2026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46217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7.8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Talltita
Vårärt
Vanlig flatbagge
Blåsippa</t>
        </is>
      </c>
      <c r="V17">
        <f>HYPERLINK("https://klasma.github.io/Logging_0821/artfynd/A 26772-2026 artfynd.xlsx", "A 26772-2026")</f>
        <v/>
      </c>
      <c r="W17">
        <f>HYPERLINK("https://klasma.github.io/Logging_0821/kartor/A 26772-2026 karta.png", "A 26772-2026")</f>
        <v/>
      </c>
      <c r="Y17">
        <f>HYPERLINK("https://klasma.github.io/Logging_0821/klagomål/A 26772-2026 FSC-klagomål.docx", "A 26772-2026")</f>
        <v/>
      </c>
      <c r="Z17">
        <f>HYPERLINK("https://klasma.github.io/Logging_0821/klagomålsmail/A 26772-2026 FSC-klagomål mail.docx", "A 26772-2026")</f>
        <v/>
      </c>
      <c r="AA17">
        <f>HYPERLINK("https://klasma.github.io/Logging_0821/tillsyn/A 26772-2026 tillsynsbegäran.docx", "A 26772-2026")</f>
        <v/>
      </c>
      <c r="AB17">
        <f>HYPERLINK("https://klasma.github.io/Logging_0821/tillsynsmail/A 26772-2026 tillsynsbegäran mail.docx", "A 26772-2026")</f>
        <v/>
      </c>
      <c r="AC17">
        <f>HYPERLINK("https://klasma.github.io/Logging_0821/fåglar/A 26772-2026 prioriterade fågelarter.docx", "A 26772-2026")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46217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Mindre hackspett
Fällmossa
Källpraktmossa
Skogsknipprot</t>
        </is>
      </c>
      <c r="V18">
        <f>HYPERLINK("https://klasma.github.io/Logging_0821/artfynd/A 17959-2026 artfynd.xlsx", "A 17959-2026")</f>
        <v/>
      </c>
      <c r="W18">
        <f>HYPERLINK("https://klasma.github.io/Logging_0821/kartor/A 17959-2026 karta.png", "A 17959-2026")</f>
        <v/>
      </c>
      <c r="Y18">
        <f>HYPERLINK("https://klasma.github.io/Logging_0821/klagomål/A 17959-2026 FSC-klagomål.docx", "A 17959-2026")</f>
        <v/>
      </c>
      <c r="Z18">
        <f>HYPERLINK("https://klasma.github.io/Logging_0821/klagomålsmail/A 17959-2026 FSC-klagomål mail.docx", "A 17959-2026")</f>
        <v/>
      </c>
      <c r="AA18">
        <f>HYPERLINK("https://klasma.github.io/Logging_0821/tillsyn/A 17959-2026 tillsynsbegäran.docx", "A 17959-2026")</f>
        <v/>
      </c>
      <c r="AB18">
        <f>HYPERLINK("https://klasma.github.io/Logging_0821/tillsynsmail/A 17959-2026 tillsynsbegäran mail.docx", "A 17959-2026")</f>
        <v/>
      </c>
      <c r="AC18">
        <f>HYPERLINK("https://klasma.github.io/Logging_0821/fåglar/A 17959-2026 prioriterade fågelarter.docx", "A 17959-2026")</f>
        <v/>
      </c>
    </row>
    <row r="19" ht="15" customHeight="1">
      <c r="A19" t="inlineStr">
        <is>
          <t>A 22559-2026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46155</v>
      </c>
      <c r="E19" s="1" t="n">
        <v>46217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1.5</v>
      </c>
      <c r="J19" t="n">
        <v>2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s="2" t="inlineStr">
        <is>
          <t>Svartoxe
Talltita
Bergsslok
Blåsippa</t>
        </is>
      </c>
      <c r="V19">
        <f>HYPERLINK("https://klasma.github.io/Logging_0821/artfynd/A 22559-2026 artfynd.xlsx", "A 22559-2026")</f>
        <v/>
      </c>
      <c r="W19">
        <f>HYPERLINK("https://klasma.github.io/Logging_0821/kartor/A 22559-2026 karta.png", "A 22559-2026")</f>
        <v/>
      </c>
      <c r="Y19">
        <f>HYPERLINK("https://klasma.github.io/Logging_0821/klagomål/A 22559-2026 FSC-klagomål.docx", "A 22559-2026")</f>
        <v/>
      </c>
      <c r="Z19">
        <f>HYPERLINK("https://klasma.github.io/Logging_0821/klagomålsmail/A 22559-2026 FSC-klagomål mail.docx", "A 22559-2026")</f>
        <v/>
      </c>
      <c r="AA19">
        <f>HYPERLINK("https://klasma.github.io/Logging_0821/tillsyn/A 22559-2026 tillsynsbegäran.docx", "A 22559-2026")</f>
        <v/>
      </c>
      <c r="AB19">
        <f>HYPERLINK("https://klasma.github.io/Logging_0821/tillsynsmail/A 22559-2026 tillsynsbegäran mail.docx", "A 22559-2026")</f>
        <v/>
      </c>
      <c r="AC19">
        <f>HYPERLINK("https://klasma.github.io/Logging_0821/fåglar/A 22559-2026 prioriterade fågelarter.docx", "A 22559-2026")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46217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s="2" t="inlineStr">
        <is>
          <t>Underviol
Blåsippa
Spillkråka
Gullviva</t>
        </is>
      </c>
      <c r="V20">
        <f>HYPERLINK("https://klasma.github.io/Logging_0821/artfynd/A 56995-2024 artfynd.xlsx", "A 56995-2024")</f>
        <v/>
      </c>
      <c r="W20">
        <f>HYPERLINK("https://klasma.github.io/Logging_0821/kartor/A 56995-2024 karta.png", "A 56995-2024")</f>
        <v/>
      </c>
      <c r="Y20">
        <f>HYPERLINK("https://klasma.github.io/Logging_0821/klagomål/A 56995-2024 FSC-klagomål.docx", "A 56995-2024")</f>
        <v/>
      </c>
      <c r="Z20">
        <f>HYPERLINK("https://klasma.github.io/Logging_0821/klagomålsmail/A 56995-2024 FSC-klagomål mail.docx", "A 56995-2024")</f>
        <v/>
      </c>
      <c r="AA20">
        <f>HYPERLINK("https://klasma.github.io/Logging_0821/tillsyn/A 56995-2024 tillsynsbegäran.docx", "A 56995-2024")</f>
        <v/>
      </c>
      <c r="AB20">
        <f>HYPERLINK("https://klasma.github.io/Logging_0821/tillsynsmail/A 56995-2024 tillsynsbegäran mail.docx", "A 56995-2024")</f>
        <v/>
      </c>
      <c r="AC20">
        <f>HYPERLINK("https://klasma.github.io/Logging_0821/fåglar/A 56995-2024 prioriterade fågelarter.docx", "A 56995-2024")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46217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s="2" t="inlineStr">
        <is>
          <t>Talltita
Spillkråka
Kungsfågel</t>
        </is>
      </c>
      <c r="V21">
        <f>HYPERLINK("https://klasma.github.io/Logging_0821/artfynd/A 48263-2022 artfynd.xlsx", "A 48263-2022")</f>
        <v/>
      </c>
      <c r="W21">
        <f>HYPERLINK("https://klasma.github.io/Logging_0821/kartor/A 48263-2022 karta.png", "A 48263-2022")</f>
        <v/>
      </c>
      <c r="Y21">
        <f>HYPERLINK("https://klasma.github.io/Logging_0821/klagomål/A 48263-2022 FSC-klagomål.docx", "A 48263-2022")</f>
        <v/>
      </c>
      <c r="Z21">
        <f>HYPERLINK("https://klasma.github.io/Logging_0821/klagomålsmail/A 48263-2022 FSC-klagomål mail.docx", "A 48263-2022")</f>
        <v/>
      </c>
      <c r="AA21">
        <f>HYPERLINK("https://klasma.github.io/Logging_0821/tillsyn/A 48263-2022 tillsynsbegäran.docx", "A 48263-2022")</f>
        <v/>
      </c>
      <c r="AB21">
        <f>HYPERLINK("https://klasma.github.io/Logging_0821/tillsynsmail/A 48263-2022 tillsynsbegäran mail.docx", "A 48263-2022")</f>
        <v/>
      </c>
      <c r="AC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46217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s="2" t="inlineStr">
        <is>
          <t>Fjällig taggsvamp s.str.
Gultoppig fingersvamp
Skarp dropptaggsvamp</t>
        </is>
      </c>
      <c r="V22">
        <f>HYPERLINK("https://klasma.github.io/Logging_0821/artfynd/A 9384-2024 artfynd.xlsx", "A 9384-2024")</f>
        <v/>
      </c>
      <c r="W22">
        <f>HYPERLINK("https://klasma.github.io/Logging_0821/kartor/A 9384-2024 karta.png", "A 9384-2024")</f>
        <v/>
      </c>
      <c r="Y22">
        <f>HYPERLINK("https://klasma.github.io/Logging_0821/klagomål/A 9384-2024 FSC-klagomål.docx", "A 9384-2024")</f>
        <v/>
      </c>
      <c r="Z22">
        <f>HYPERLINK("https://klasma.github.io/Logging_0821/klagomålsmail/A 9384-2024 FSC-klagomål mail.docx", "A 9384-2024")</f>
        <v/>
      </c>
      <c r="AA22">
        <f>HYPERLINK("https://klasma.github.io/Logging_0821/tillsyn/A 9384-2024 tillsynsbegäran.docx", "A 9384-2024")</f>
        <v/>
      </c>
      <c r="AB22">
        <f>HYPERLINK("https://klasma.github.io/Logging_0821/tillsynsmail/A 9384-2024 tillsynsbegäran mail.docx", "A 9384-2024")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46217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s="2" t="inlineStr">
        <is>
          <t>Backklöver
Nötkråka
Revlummer</t>
        </is>
      </c>
      <c r="V23">
        <f>HYPERLINK("https://klasma.github.io/Logging_0821/artfynd/A 47236-2023 artfynd.xlsx", "A 47236-2023")</f>
        <v/>
      </c>
      <c r="W23">
        <f>HYPERLINK("https://klasma.github.io/Logging_0821/kartor/A 47236-2023 karta.png", "A 47236-2023")</f>
        <v/>
      </c>
      <c r="Y23">
        <f>HYPERLINK("https://klasma.github.io/Logging_0821/klagomål/A 47236-2023 FSC-klagomål.docx", "A 47236-2023")</f>
        <v/>
      </c>
      <c r="Z23">
        <f>HYPERLINK("https://klasma.github.io/Logging_0821/klagomålsmail/A 47236-2023 FSC-klagomål mail.docx", "A 47236-2023")</f>
        <v/>
      </c>
      <c r="AA23">
        <f>HYPERLINK("https://klasma.github.io/Logging_0821/tillsyn/A 47236-2023 tillsynsbegäran.docx", "A 47236-2023")</f>
        <v/>
      </c>
      <c r="AB23">
        <f>HYPERLINK("https://klasma.github.io/Logging_0821/tillsynsmail/A 47236-2023 tillsynsbegäran mail.docx", "A 47236-2023")</f>
        <v/>
      </c>
      <c r="AC23">
        <f>HYPERLINK("https://klasma.github.io/Logging_0821/fåglar/A 47236-2023 prioriterade fågelarter.docx", "A 47236-2023")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46217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s="2" t="inlineStr">
        <is>
          <t>Svartoxe
Talltita
Kärrviol</t>
        </is>
      </c>
      <c r="V24">
        <f>HYPERLINK("https://klasma.github.io/Logging_0821/artfynd/A 22542-2026 artfynd.xlsx", "A 22542-2026")</f>
        <v/>
      </c>
      <c r="W24">
        <f>HYPERLINK("https://klasma.github.io/Logging_0821/kartor/A 22542-2026 karta.png", "A 22542-2026")</f>
        <v/>
      </c>
      <c r="Y24">
        <f>HYPERLINK("https://klasma.github.io/Logging_0821/klagomål/A 22542-2026 FSC-klagomål.docx", "A 22542-2026")</f>
        <v/>
      </c>
      <c r="Z24">
        <f>HYPERLINK("https://klasma.github.io/Logging_0821/klagomålsmail/A 22542-2026 FSC-klagomål mail.docx", "A 22542-2026")</f>
        <v/>
      </c>
      <c r="AA24">
        <f>HYPERLINK("https://klasma.github.io/Logging_0821/tillsyn/A 22542-2026 tillsynsbegäran.docx", "A 22542-2026")</f>
        <v/>
      </c>
      <c r="AB24">
        <f>HYPERLINK("https://klasma.github.io/Logging_0821/tillsynsmail/A 22542-2026 tillsynsbegäran mail.docx", "A 22542-2026")</f>
        <v/>
      </c>
      <c r="AC24">
        <f>HYPERLINK("https://klasma.github.io/Logging_0821/fåglar/A 22542-2026 prioriterade fågelarter.docx", "A 22542-2026")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46217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s="2" t="inlineStr">
        <is>
          <t>Tallticka
Blodticka
Spillkråka</t>
        </is>
      </c>
      <c r="V25">
        <f>HYPERLINK("https://klasma.github.io/Logging_0821/artfynd/A 55060-2023 artfynd.xlsx", "A 55060-2023")</f>
        <v/>
      </c>
      <c r="W25">
        <f>HYPERLINK("https://klasma.github.io/Logging_0821/kartor/A 55060-2023 karta.png", "A 55060-2023")</f>
        <v/>
      </c>
      <c r="Y25">
        <f>HYPERLINK("https://klasma.github.io/Logging_0821/klagomål/A 55060-2023 FSC-klagomål.docx", "A 55060-2023")</f>
        <v/>
      </c>
      <c r="Z25">
        <f>HYPERLINK("https://klasma.github.io/Logging_0821/klagomålsmail/A 55060-2023 FSC-klagomål mail.docx", "A 55060-2023")</f>
        <v/>
      </c>
      <c r="AA25">
        <f>HYPERLINK("https://klasma.github.io/Logging_0821/tillsyn/A 55060-2023 tillsynsbegäran.docx", "A 55060-2023")</f>
        <v/>
      </c>
      <c r="AB25">
        <f>HYPERLINK("https://klasma.github.io/Logging_0821/tillsynsmail/A 55060-2023 tillsynsbegäran mail.docx", "A 55060-2023")</f>
        <v/>
      </c>
      <c r="AC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46217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s="2" t="inlineStr">
        <is>
          <t>Mindre bastardsvärmare
Spindelört
Spindelörtskinnbagge</t>
        </is>
      </c>
      <c r="V26">
        <f>HYPERLINK("https://klasma.github.io/Logging_0821/artfynd/A 23413-2023 artfynd.xlsx", "A 23413-2023")</f>
        <v/>
      </c>
      <c r="W26">
        <f>HYPERLINK("https://klasma.github.io/Logging_0821/kartor/A 23413-2023 karta.png", "A 23413-2023")</f>
        <v/>
      </c>
      <c r="Y26">
        <f>HYPERLINK("https://klasma.github.io/Logging_0821/klagomål/A 23413-2023 FSC-klagomål.docx", "A 23413-2023")</f>
        <v/>
      </c>
      <c r="Z26">
        <f>HYPERLINK("https://klasma.github.io/Logging_0821/klagomålsmail/A 23413-2023 FSC-klagomål mail.docx", "A 23413-2023")</f>
        <v/>
      </c>
      <c r="AA26">
        <f>HYPERLINK("https://klasma.github.io/Logging_0821/tillsyn/A 23413-2023 tillsynsbegäran.docx", "A 23413-2023")</f>
        <v/>
      </c>
      <c r="AB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46217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Större flatbagge
Fällmossa
Jättesvampmal</t>
        </is>
      </c>
      <c r="V27">
        <f>HYPERLINK("https://klasma.github.io/Logging_0821/artfynd/S 620-2024 artfynd.xlsx", "S 620-2024")</f>
        <v/>
      </c>
      <c r="W27">
        <f>HYPERLINK("https://klasma.github.io/Logging_0821/kartor/S 620-2024 karta.png", "S 620-2024")</f>
        <v/>
      </c>
      <c r="Y27">
        <f>HYPERLINK("https://klasma.github.io/Logging_0821/klagomål/S 620-2024 FSC-klagomål.docx", "S 620-2024")</f>
        <v/>
      </c>
      <c r="Z27">
        <f>HYPERLINK("https://klasma.github.io/Logging_0821/klagomålsmail/S 620-2024 FSC-klagomål mail.docx", "S 620-2024")</f>
        <v/>
      </c>
      <c r="AA27">
        <f>HYPERLINK("https://klasma.github.io/Logging_0821/tillsyn/S 620-2024 tillsynsbegäran.docx", "S 620-2024")</f>
        <v/>
      </c>
      <c r="AB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46217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s="2" t="inlineStr">
        <is>
          <t>Ask
Ekoxe
Spindelbock</t>
        </is>
      </c>
      <c r="V28">
        <f>HYPERLINK("https://klasma.github.io/Logging_0821/artfynd/S 922-2026 artfynd.xlsx", "S 922-2026")</f>
        <v/>
      </c>
      <c r="W28">
        <f>HYPERLINK("https://klasma.github.io/Logging_0821/kartor/S 922-2026 karta.png", "S 922-2026")</f>
        <v/>
      </c>
      <c r="Y28">
        <f>HYPERLINK("https://klasma.github.io/Logging_0821/klagomål/S 922-2026 FSC-klagomål.docx", "S 922-2026")</f>
        <v/>
      </c>
      <c r="Z28">
        <f>HYPERLINK("https://klasma.github.io/Logging_0821/klagomålsmail/S 922-2026 FSC-klagomål mail.docx", "S 922-2026")</f>
        <v/>
      </c>
      <c r="AA28">
        <f>HYPERLINK("https://klasma.github.io/Logging_0821/tillsyn/S 922-2026 tillsynsbegäran.docx", "S 922-2026")</f>
        <v/>
      </c>
      <c r="AB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46217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s="2" t="inlineStr">
        <is>
          <t>Svartoxe
Talltita
Kärrviol</t>
        </is>
      </c>
      <c r="V29">
        <f>HYPERLINK("https://klasma.github.io/Logging_0821/artfynd/S 1414-2026 artfynd.xlsx", "S 1414-2026")</f>
        <v/>
      </c>
      <c r="W29">
        <f>HYPERLINK("https://klasma.github.io/Logging_0821/kartor/S 1414-2026 karta.png", "S 1414-2026")</f>
        <v/>
      </c>
      <c r="Y29">
        <f>HYPERLINK("https://klasma.github.io/Logging_0821/klagomål/S 1414-2026 FSC-klagomål.docx", "S 1414-2026")</f>
        <v/>
      </c>
      <c r="Z29">
        <f>HYPERLINK("https://klasma.github.io/Logging_0821/klagomålsmail/S 1414-2026 FSC-klagomål mail.docx", "S 1414-2026")</f>
        <v/>
      </c>
      <c r="AA29">
        <f>HYPERLINK("https://klasma.github.io/Logging_0821/tillsyn/S 1414-2026 tillsynsbegäran.docx", "S 1414-2026")</f>
        <v/>
      </c>
      <c r="AB29">
        <f>HYPERLINK("https://klasma.github.io/Logging_0821/tillsynsmail/S 1414-2026 tillsynsbegäran mail.docx", "S 1414-2026")</f>
        <v/>
      </c>
      <c r="AC29">
        <f>HYPERLINK("https://klasma.github.io/Logging_0821/fåglar/S 1414-2026 prioriterade fågelarter.docx", "S 1414-2026")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46217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Tallticka
Tjäder</t>
        </is>
      </c>
      <c r="V30">
        <f>HYPERLINK("https://klasma.github.io/Logging_0821/artfynd/A 62431-2023 artfynd.xlsx", "A 62431-2023")</f>
        <v/>
      </c>
      <c r="W30">
        <f>HYPERLINK("https://klasma.github.io/Logging_0821/kartor/A 62431-2023 karta.png", "A 62431-2023")</f>
        <v/>
      </c>
      <c r="Y30">
        <f>HYPERLINK("https://klasma.github.io/Logging_0821/klagomål/A 62431-2023 FSC-klagomål.docx", "A 62431-2023")</f>
        <v/>
      </c>
      <c r="Z30">
        <f>HYPERLINK("https://klasma.github.io/Logging_0821/klagomålsmail/A 62431-2023 FSC-klagomål mail.docx", "A 62431-2023")</f>
        <v/>
      </c>
      <c r="AA30">
        <f>HYPERLINK("https://klasma.github.io/Logging_0821/tillsyn/A 62431-2023 tillsynsbegäran.docx", "A 62431-2023")</f>
        <v/>
      </c>
      <c r="AB30">
        <f>HYPERLINK("https://klasma.github.io/Logging_0821/tillsynsmail/A 62431-2023 tillsynsbegäran mail.docx", "A 62431-2023")</f>
        <v/>
      </c>
      <c r="AC30">
        <f>HYPERLINK("https://klasma.github.io/Logging_0821/fåglar/A 62431-2023 prioriterade fågelarter.docx", "A 62431-2023")</f>
        <v/>
      </c>
    </row>
    <row r="31" ht="15" customHeight="1">
      <c r="A31" t="inlineStr">
        <is>
          <t>A 9616-2022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44617</v>
      </c>
      <c r="E31" s="1" t="n">
        <v>46217</v>
      </c>
      <c r="F31" t="inlineStr">
        <is>
          <t>KALMAR LÄN</t>
        </is>
      </c>
      <c r="G31" t="inlineStr">
        <is>
          <t>HÖGSBY</t>
        </is>
      </c>
      <c r="I31" t="n">
        <v>6.4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Knippnejlika
Solvända</t>
        </is>
      </c>
      <c r="V31">
        <f>HYPERLINK("https://klasma.github.io/Logging_0821/artfynd/A 9616-2022 artfynd.xlsx", "A 9616-2022")</f>
        <v/>
      </c>
      <c r="W31">
        <f>HYPERLINK("https://klasma.github.io/Logging_0821/kartor/A 9616-2022 karta.png", "A 9616-2022")</f>
        <v/>
      </c>
      <c r="Y31">
        <f>HYPERLINK("https://klasma.github.io/Logging_0821/klagomål/A 9616-2022 FSC-klagomål.docx", "A 9616-2022")</f>
        <v/>
      </c>
      <c r="Z31">
        <f>HYPERLINK("https://klasma.github.io/Logging_0821/klagomålsmail/A 9616-2022 FSC-klagomål mail.docx", "A 9616-2022")</f>
        <v/>
      </c>
      <c r="AA31">
        <f>HYPERLINK("https://klasma.github.io/Logging_0821/tillsyn/A 9616-2022 tillsynsbegäran.docx", "A 9616-2022")</f>
        <v/>
      </c>
      <c r="AB31">
        <f>HYPERLINK("https://klasma.github.io/Logging_0821/tillsynsmail/A 9616-2022 tillsynsbegäran mail.docx", "A 9616-2022")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46217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Kattfotslav
Flagellkvastmossa</t>
        </is>
      </c>
      <c r="V32">
        <f>HYPERLINK("https://klasma.github.io/Logging_0821/artfynd/A 62394-2023 artfynd.xlsx", "A 62394-2023")</f>
        <v/>
      </c>
      <c r="W32">
        <f>HYPERLINK("https://klasma.github.io/Logging_0821/kartor/A 62394-2023 karta.png", "A 62394-2023")</f>
        <v/>
      </c>
      <c r="Y32">
        <f>HYPERLINK("https://klasma.github.io/Logging_0821/klagomål/A 62394-2023 FSC-klagomål.docx", "A 62394-2023")</f>
        <v/>
      </c>
      <c r="Z32">
        <f>HYPERLINK("https://klasma.github.io/Logging_0821/klagomålsmail/A 62394-2023 FSC-klagomål mail.docx", "A 62394-2023")</f>
        <v/>
      </c>
      <c r="AA32">
        <f>HYPERLINK("https://klasma.github.io/Logging_0821/tillsyn/A 62394-2023 tillsynsbegäran.docx", "A 62394-2023")</f>
        <v/>
      </c>
      <c r="AB32">
        <f>HYPERLINK("https://klasma.github.io/Logging_0821/tillsynsmail/A 62394-2023 tillsynsbegäran mail.docx", "A 62394-2023")</f>
        <v/>
      </c>
    </row>
    <row r="33" ht="15" customHeight="1">
      <c r="A33" t="inlineStr">
        <is>
          <t>A 26759-2026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46184</v>
      </c>
      <c r="E33" s="1" t="n">
        <v>46217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5.5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Järnsparv
Kungsfågel</t>
        </is>
      </c>
      <c r="V33">
        <f>HYPERLINK("https://klasma.github.io/Logging_0821/artfynd/A 26759-2026 artfynd.xlsx", "A 26759-2026")</f>
        <v/>
      </c>
      <c r="W33">
        <f>HYPERLINK("https://klasma.github.io/Logging_0821/kartor/A 26759-2026 karta.png", "A 26759-2026")</f>
        <v/>
      </c>
      <c r="Y33">
        <f>HYPERLINK("https://klasma.github.io/Logging_0821/klagomål/A 26759-2026 FSC-klagomål.docx", "A 26759-2026")</f>
        <v/>
      </c>
      <c r="Z33">
        <f>HYPERLINK("https://klasma.github.io/Logging_0821/klagomålsmail/A 26759-2026 FSC-klagomål mail.docx", "A 26759-2026")</f>
        <v/>
      </c>
      <c r="AA33">
        <f>HYPERLINK("https://klasma.github.io/Logging_0821/tillsyn/A 26759-2026 tillsynsbegäran.docx", "A 26759-2026")</f>
        <v/>
      </c>
      <c r="AB33">
        <f>HYPERLINK("https://klasma.github.io/Logging_0821/tillsynsmail/A 26759-2026 tillsynsbegäran mail.docx", "A 26759-2026")</f>
        <v/>
      </c>
      <c r="AC33">
        <f>HYPERLINK("https://klasma.github.io/Logging_0821/fåglar/A 26759-2026 prioriterade fågelarter.docx", "A 26759-2026")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46217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Vårärt
Blåsippa</t>
        </is>
      </c>
      <c r="V34">
        <f>HYPERLINK("https://klasma.github.io/Logging_0821/artfynd/A 26775-2026 artfynd.xlsx", "A 26775-2026")</f>
        <v/>
      </c>
      <c r="W34">
        <f>HYPERLINK("https://klasma.github.io/Logging_0821/kartor/A 26775-2026 karta.png", "A 26775-2026")</f>
        <v/>
      </c>
      <c r="Y34">
        <f>HYPERLINK("https://klasma.github.io/Logging_0821/klagomål/A 26775-2026 FSC-klagomål.docx", "A 26775-2026")</f>
        <v/>
      </c>
      <c r="Z34">
        <f>HYPERLINK("https://klasma.github.io/Logging_0821/klagomålsmail/A 26775-2026 FSC-klagomål mail.docx", "A 26775-2026")</f>
        <v/>
      </c>
      <c r="AA34">
        <f>HYPERLINK("https://klasma.github.io/Logging_0821/tillsyn/A 26775-2026 tillsynsbegäran.docx", "A 26775-2026")</f>
        <v/>
      </c>
      <c r="AB34">
        <f>HYPERLINK("https://klasma.github.io/Logging_0821/tillsynsmail/A 26775-2026 tillsynsbegäran mail.docx", "A 26775-2026")</f>
        <v/>
      </c>
    </row>
    <row r="35" ht="15" customHeight="1">
      <c r="A35" t="inlineStr">
        <is>
          <t>A 30203-2023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45110</v>
      </c>
      <c r="E35" s="1" t="n">
        <v>46217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3.4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6</v>
      </c>
      <c r="U35" s="2" t="inlineStr">
        <is>
          <t>Mistel
Gullviva</t>
        </is>
      </c>
      <c r="V35">
        <f>HYPERLINK("https://klasma.github.io/Logging_0821/artfynd/A 30203-2023 artfynd.xlsx", "A 30203-2023")</f>
        <v/>
      </c>
      <c r="W35">
        <f>HYPERLINK("https://klasma.github.io/Logging_0821/kartor/A 30203-2023 karta.png", "A 30203-2023")</f>
        <v/>
      </c>
      <c r="Y35">
        <f>HYPERLINK("https://klasma.github.io/Logging_0821/klagomål/A 30203-2023 FSC-klagomål.docx", "A 30203-2023")</f>
        <v/>
      </c>
      <c r="Z35">
        <f>HYPERLINK("https://klasma.github.io/Logging_0821/klagomålsmail/A 30203-2023 FSC-klagomål mail.docx", "A 30203-2023")</f>
        <v/>
      </c>
      <c r="AA35">
        <f>HYPERLINK("https://klasma.github.io/Logging_0821/tillsyn/A 30203-2023 tillsynsbegäran.docx", "A 30203-2023")</f>
        <v/>
      </c>
      <c r="AB35">
        <f>HYPERLINK("https://klasma.github.io/Logging_0821/tillsynsmail/A 30203-2023 tillsynsbegäran mail.docx", "A 30203-2023")</f>
        <v/>
      </c>
    </row>
    <row r="36" ht="15" customHeight="1">
      <c r="A36" t="inlineStr">
        <is>
          <t>A 5667-2026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46051</v>
      </c>
      <c r="E36" s="1" t="n">
        <v>46217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19.8</v>
      </c>
      <c r="J36" t="n">
        <v>0</v>
      </c>
      <c r="K36" t="n">
        <v>0</v>
      </c>
      <c r="L36" t="n">
        <v>0</v>
      </c>
      <c r="M36" t="n">
        <v>2</v>
      </c>
      <c r="N36" t="n">
        <v>0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s="2" t="inlineStr">
        <is>
          <t>Slåttergubbe
Slåttergubbemal</t>
        </is>
      </c>
      <c r="V36">
        <f>HYPERLINK("https://klasma.github.io/Logging_0821/artfynd/A 5667-2026 artfynd.xlsx", "A 5667-2026")</f>
        <v/>
      </c>
      <c r="W36">
        <f>HYPERLINK("https://klasma.github.io/Logging_0821/kartor/A 5667-2026 karta.png", "A 5667-2026")</f>
        <v/>
      </c>
      <c r="Y36">
        <f>HYPERLINK("https://klasma.github.io/Logging_0821/klagomål/A 5667-2026 FSC-klagomål.docx", "A 5667-2026")</f>
        <v/>
      </c>
      <c r="Z36">
        <f>HYPERLINK("https://klasma.github.io/Logging_0821/klagomålsmail/A 5667-2026 FSC-klagomål mail.docx", "A 5667-2026")</f>
        <v/>
      </c>
      <c r="AA36">
        <f>HYPERLINK("https://klasma.github.io/Logging_0821/tillsyn/A 5667-2026 tillsynsbegäran.docx", "A 5667-2026")</f>
        <v/>
      </c>
      <c r="AB36">
        <f>HYPERLINK("https://klasma.github.io/Logging_0821/tillsynsmail/A 5667-2026 tillsynsbegäran mail.docx", "A 5667-2026")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46217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Ullticka
Spillkråka</t>
        </is>
      </c>
      <c r="V37">
        <f>HYPERLINK("https://klasma.github.io/Logging_0821/artfynd/A 62371-2023 artfynd.xlsx", "A 62371-2023")</f>
        <v/>
      </c>
      <c r="W37">
        <f>HYPERLINK("https://klasma.github.io/Logging_0821/kartor/A 62371-2023 karta.png", "A 62371-2023")</f>
        <v/>
      </c>
      <c r="X37">
        <f>HYPERLINK("https://klasma.github.io/Logging_0821/knärot/A 62371-2023 karta knärot.png", "A 62371-2023")</f>
        <v/>
      </c>
      <c r="Y37">
        <f>HYPERLINK("https://klasma.github.io/Logging_0821/klagomål/A 62371-2023 FSC-klagomål.docx", "A 62371-2023")</f>
        <v/>
      </c>
      <c r="Z37">
        <f>HYPERLINK("https://klasma.github.io/Logging_0821/klagomålsmail/A 62371-2023 FSC-klagomål mail.docx", "A 62371-2023")</f>
        <v/>
      </c>
      <c r="AA37">
        <f>HYPERLINK("https://klasma.github.io/Logging_0821/tillsyn/A 62371-2023 tillsynsbegäran.docx", "A 62371-2023")</f>
        <v/>
      </c>
      <c r="AB37">
        <f>HYPERLINK("https://klasma.github.io/Logging_0821/tillsynsmail/A 62371-2023 tillsynsbegäran mail.docx", "A 62371-2023")</f>
        <v/>
      </c>
      <c r="AC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46217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Knärot
Grönpyrola</t>
        </is>
      </c>
      <c r="V38">
        <f>HYPERLINK("https://klasma.github.io/Logging_0821/artfynd/S 787-2023 artfynd.xlsx", "S 787-2023")</f>
        <v/>
      </c>
      <c r="W38">
        <f>HYPERLINK("https://klasma.github.io/Logging_0821/kartor/S 787-2023 karta.png", "S 787-2023")</f>
        <v/>
      </c>
      <c r="X38">
        <f>HYPERLINK("https://klasma.github.io/Logging_0821/knärot/S 787-2023 karta knärot.png", "S 787-2023")</f>
        <v/>
      </c>
      <c r="Y38">
        <f>HYPERLINK("https://klasma.github.io/Logging_0821/klagomål/S 787-2023 FSC-klagomål.docx", "S 787-2023")</f>
        <v/>
      </c>
      <c r="Z38">
        <f>HYPERLINK("https://klasma.github.io/Logging_0821/klagomålsmail/S 787-2023 FSC-klagomål mail.docx", "S 787-2023")</f>
        <v/>
      </c>
      <c r="AA38">
        <f>HYPERLINK("https://klasma.github.io/Logging_0821/tillsyn/S 787-2023 tillsynsbegäran.docx", "S 787-2023")</f>
        <v/>
      </c>
      <c r="AB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46217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Talltita</t>
        </is>
      </c>
      <c r="V39">
        <f>HYPERLINK("https://klasma.github.io/Logging_0821/artfynd/A 62744-2021 artfynd.xlsx", "A 62744-2021")</f>
        <v/>
      </c>
      <c r="W39">
        <f>HYPERLINK("https://klasma.github.io/Logging_0821/kartor/A 62744-2021 karta.png", "A 62744-2021")</f>
        <v/>
      </c>
      <c r="Y39">
        <f>HYPERLINK("https://klasma.github.io/Logging_0821/klagomål/A 62744-2021 FSC-klagomål.docx", "A 62744-2021")</f>
        <v/>
      </c>
      <c r="Z39">
        <f>HYPERLINK("https://klasma.github.io/Logging_0821/klagomålsmail/A 62744-2021 FSC-klagomål mail.docx", "A 62744-2021")</f>
        <v/>
      </c>
      <c r="AA39">
        <f>HYPERLINK("https://klasma.github.io/Logging_0821/tillsyn/A 62744-2021 tillsynsbegäran.docx", "A 62744-2021")</f>
        <v/>
      </c>
      <c r="AB39">
        <f>HYPERLINK("https://klasma.github.io/Logging_0821/tillsynsmail/A 62744-2021 tillsynsbegäran mail.docx", "A 62744-2021")</f>
        <v/>
      </c>
      <c r="AC39">
        <f>HYPERLINK("https://klasma.github.io/Logging_0821/fåglar/A 62744-2021 prioriterade fågelarter.docx", "A 62744-2021")</f>
        <v/>
      </c>
    </row>
    <row r="40" ht="15" customHeight="1">
      <c r="A40" t="inlineStr">
        <is>
          <t>A 38267-2025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45883</v>
      </c>
      <c r="E40" s="1" t="n">
        <v>46217</v>
      </c>
      <c r="F40" t="inlineStr">
        <is>
          <t>KALMAR LÄN</t>
        </is>
      </c>
      <c r="G40" t="inlineStr">
        <is>
          <t>HÖGSBY</t>
        </is>
      </c>
      <c r="I40" t="n">
        <v>1.6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Flikig tallfibbla</t>
        </is>
      </c>
      <c r="V40">
        <f>HYPERLINK("https://klasma.github.io/Logging_0821/artfynd/A 38267-2025 artfynd.xlsx", "A 38267-2025")</f>
        <v/>
      </c>
      <c r="W40">
        <f>HYPERLINK("https://klasma.github.io/Logging_0821/kartor/A 38267-2025 karta.png", "A 38267-2025")</f>
        <v/>
      </c>
      <c r="Y40">
        <f>HYPERLINK("https://klasma.github.io/Logging_0821/klagomål/A 38267-2025 FSC-klagomål.docx", "A 38267-2025")</f>
        <v/>
      </c>
      <c r="Z40">
        <f>HYPERLINK("https://klasma.github.io/Logging_0821/klagomålsmail/A 38267-2025 FSC-klagomål mail.docx", "A 38267-2025")</f>
        <v/>
      </c>
      <c r="AA40">
        <f>HYPERLINK("https://klasma.github.io/Logging_0821/tillsyn/A 38267-2025 tillsynsbegäran.docx", "A 38267-2025")</f>
        <v/>
      </c>
      <c r="AB40">
        <f>HYPERLINK("https://klasma.github.io/Logging_0821/tillsynsmail/A 38267-2025 tillsynsbegäran mail.docx", "A 38267-2025")</f>
        <v/>
      </c>
    </row>
    <row r="41" ht="15" customHeight="1">
      <c r="A41" t="inlineStr">
        <is>
          <t>A 26145-2026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46217</v>
      </c>
      <c r="F41" t="inlineStr">
        <is>
          <t>KALMAR LÄN</t>
        </is>
      </c>
      <c r="G41" t="inlineStr">
        <is>
          <t>HÖGSBY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s="2" t="inlineStr">
        <is>
          <t>Gullviva</t>
        </is>
      </c>
      <c r="V41">
        <f>HYPERLINK("https://klasma.github.io/Logging_0821/artfynd/A 26145-2026 artfynd.xlsx", "A 26145-2026")</f>
        <v/>
      </c>
      <c r="W41">
        <f>HYPERLINK("https://klasma.github.io/Logging_0821/kartor/A 26145-2026 karta.png", "A 26145-2026")</f>
        <v/>
      </c>
      <c r="Y41">
        <f>HYPERLINK("https://klasma.github.io/Logging_0821/klagomål/A 26145-2026 FSC-klagomål.docx", "A 26145-2026")</f>
        <v/>
      </c>
      <c r="Z41">
        <f>HYPERLINK("https://klasma.github.io/Logging_0821/klagomålsmail/A 26145-2026 FSC-klagomål mail.docx", "A 26145-2026")</f>
        <v/>
      </c>
      <c r="AA41">
        <f>HYPERLINK("https://klasma.github.io/Logging_0821/tillsyn/A 26145-2026 tillsynsbegäran.docx", "A 26145-2026")</f>
        <v/>
      </c>
      <c r="AB41">
        <f>HYPERLINK("https://klasma.github.io/Logging_0821/tillsynsmail/A 26145-2026 tillsynsbegäran mail.docx", "A 26145-2026")</f>
        <v/>
      </c>
    </row>
    <row r="42" ht="15" customHeight="1">
      <c r="A42" t="inlineStr">
        <is>
          <t>A 24911-2023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45085</v>
      </c>
      <c r="E42" s="1" t="n">
        <v>46217</v>
      </c>
      <c r="F42" t="inlineStr">
        <is>
          <t>KALMAR LÄN</t>
        </is>
      </c>
      <c r="G42" t="inlineStr">
        <is>
          <t>HÖGSBY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s="2" t="inlineStr">
        <is>
          <t>Sotlav</t>
        </is>
      </c>
      <c r="V42">
        <f>HYPERLINK("https://klasma.github.io/Logging_0821/artfynd/A 24911-2023 artfynd.xlsx", "A 24911-2023")</f>
        <v/>
      </c>
      <c r="W42">
        <f>HYPERLINK("https://klasma.github.io/Logging_0821/kartor/A 24911-2023 karta.png", "A 24911-2023")</f>
        <v/>
      </c>
      <c r="Y42">
        <f>HYPERLINK("https://klasma.github.io/Logging_0821/klagomål/A 24911-2023 FSC-klagomål.docx", "A 24911-2023")</f>
        <v/>
      </c>
      <c r="Z42">
        <f>HYPERLINK("https://klasma.github.io/Logging_0821/klagomålsmail/A 24911-2023 FSC-klagomål mail.docx", "A 24911-2023")</f>
        <v/>
      </c>
      <c r="AA42">
        <f>HYPERLINK("https://klasma.github.io/Logging_0821/tillsyn/A 24911-2023 tillsynsbegäran.docx", "A 24911-2023")</f>
        <v/>
      </c>
      <c r="AB42">
        <f>HYPERLINK("https://klasma.github.io/Logging_0821/tillsynsmail/A 24911-2023 tillsynsbegäran mail.docx", "A 24911-2023")</f>
        <v/>
      </c>
    </row>
    <row r="43" ht="15" customHeight="1">
      <c r="A43" t="inlineStr">
        <is>
          <t>A 52177-2022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44868</v>
      </c>
      <c r="E43" s="1" t="n">
        <v>46217</v>
      </c>
      <c r="F43" t="inlineStr">
        <is>
          <t>KALMAR LÄN</t>
        </is>
      </c>
      <c r="G43" t="inlineStr">
        <is>
          <t>HÖGSBY</t>
        </is>
      </c>
      <c r="I43" t="n">
        <v>0.9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Nordfladdermus</t>
        </is>
      </c>
      <c r="V43">
        <f>HYPERLINK("https://klasma.github.io/Logging_0821/artfynd/A 52177-2022 artfynd.xlsx", "A 52177-2022")</f>
        <v/>
      </c>
      <c r="W43">
        <f>HYPERLINK("https://klasma.github.io/Logging_0821/kartor/A 52177-2022 karta.png", "A 52177-2022")</f>
        <v/>
      </c>
      <c r="Y43">
        <f>HYPERLINK("https://klasma.github.io/Logging_0821/klagomål/A 52177-2022 FSC-klagomål.docx", "A 52177-2022")</f>
        <v/>
      </c>
      <c r="Z43">
        <f>HYPERLINK("https://klasma.github.io/Logging_0821/klagomålsmail/A 52177-2022 FSC-klagomål mail.docx", "A 52177-2022")</f>
        <v/>
      </c>
      <c r="AA43">
        <f>HYPERLINK("https://klasma.github.io/Logging_0821/tillsyn/A 52177-2022 tillsynsbegäran.docx", "A 52177-2022")</f>
        <v/>
      </c>
      <c r="AB43">
        <f>HYPERLINK("https://klasma.github.io/Logging_0821/tillsynsmail/A 52177-2022 tillsynsbegäran mail.docx", "A 52177-2022")</f>
        <v/>
      </c>
    </row>
    <row r="44" ht="15" customHeight="1">
      <c r="A44" t="inlineStr">
        <is>
          <t>A 58792-2022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44903</v>
      </c>
      <c r="E44" s="1" t="n">
        <v>46217</v>
      </c>
      <c r="F44" t="inlineStr">
        <is>
          <t>KALMAR LÄN</t>
        </is>
      </c>
      <c r="G44" t="inlineStr">
        <is>
          <t>HÖGSBY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Nattviol</t>
        </is>
      </c>
      <c r="V44">
        <f>HYPERLINK("https://klasma.github.io/Logging_0821/artfynd/A 58792-2022 artfynd.xlsx", "A 58792-2022")</f>
        <v/>
      </c>
      <c r="W44">
        <f>HYPERLINK("https://klasma.github.io/Logging_0821/kartor/A 58792-2022 karta.png", "A 58792-2022")</f>
        <v/>
      </c>
      <c r="Y44">
        <f>HYPERLINK("https://klasma.github.io/Logging_0821/klagomål/A 58792-2022 FSC-klagomål.docx", "A 58792-2022")</f>
        <v/>
      </c>
      <c r="Z44">
        <f>HYPERLINK("https://klasma.github.io/Logging_0821/klagomålsmail/A 58792-2022 FSC-klagomål mail.docx", "A 58792-2022")</f>
        <v/>
      </c>
      <c r="AA44">
        <f>HYPERLINK("https://klasma.github.io/Logging_0821/tillsyn/A 58792-2022 tillsynsbegäran.docx", "A 58792-2022")</f>
        <v/>
      </c>
      <c r="AB44">
        <f>HYPERLINK("https://klasma.github.io/Logging_0821/tillsynsmail/A 58792-2022 tillsynsbegäran mail.docx", "A 58792-2022")</f>
        <v/>
      </c>
    </row>
    <row r="45" ht="15" customHeight="1">
      <c r="A45" t="inlineStr">
        <is>
          <t>A 27366-2026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46217</v>
      </c>
      <c r="F45" t="inlineStr">
        <is>
          <t>KALMAR LÄN</t>
        </is>
      </c>
      <c r="G45" t="inlineStr">
        <is>
          <t>HÖGSBY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Nattviol</t>
        </is>
      </c>
      <c r="V45">
        <f>HYPERLINK("https://klasma.github.io/Logging_0821/artfynd/A 27366-2026 artfynd.xlsx", "A 27366-2026")</f>
        <v/>
      </c>
      <c r="W45">
        <f>HYPERLINK("https://klasma.github.io/Logging_0821/kartor/A 27366-2026 karta.png", "A 27366-2026")</f>
        <v/>
      </c>
      <c r="Y45">
        <f>HYPERLINK("https://klasma.github.io/Logging_0821/klagomål/A 27366-2026 FSC-klagomål.docx", "A 27366-2026")</f>
        <v/>
      </c>
      <c r="Z45">
        <f>HYPERLINK("https://klasma.github.io/Logging_0821/klagomålsmail/A 27366-2026 FSC-klagomål mail.docx", "A 27366-2026")</f>
        <v/>
      </c>
      <c r="AA45">
        <f>HYPERLINK("https://klasma.github.io/Logging_0821/tillsyn/A 27366-2026 tillsynsbegäran.docx", "A 27366-2026")</f>
        <v/>
      </c>
      <c r="AB45">
        <f>HYPERLINK("https://klasma.github.io/Logging_0821/tillsynsmail/A 27366-2026 tillsynsbegäran mail.docx", "A 27366-2026")</f>
        <v/>
      </c>
    </row>
    <row r="46" ht="15" customHeight="1">
      <c r="A46" t="inlineStr">
        <is>
          <t>A 59407-2022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46217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Blåsippa</t>
        </is>
      </c>
      <c r="V46">
        <f>HYPERLINK("https://klasma.github.io/Logging_0821/artfynd/A 59407-2022 artfynd.xlsx", "A 59407-2022")</f>
        <v/>
      </c>
      <c r="W46">
        <f>HYPERLINK("https://klasma.github.io/Logging_0821/kartor/A 59407-2022 karta.png", "A 59407-2022")</f>
        <v/>
      </c>
      <c r="Y46">
        <f>HYPERLINK("https://klasma.github.io/Logging_0821/klagomål/A 59407-2022 FSC-klagomål.docx", "A 59407-2022")</f>
        <v/>
      </c>
      <c r="Z46">
        <f>HYPERLINK("https://klasma.github.io/Logging_0821/klagomålsmail/A 59407-2022 FSC-klagomål mail.docx", "A 59407-2022")</f>
        <v/>
      </c>
      <c r="AA46">
        <f>HYPERLINK("https://klasma.github.io/Logging_0821/tillsyn/A 59407-2022 tillsynsbegäran.docx", "A 59407-2022")</f>
        <v/>
      </c>
      <c r="AB46">
        <f>HYPERLINK("https://klasma.github.io/Logging_0821/tillsynsmail/A 59407-2022 tillsynsbegäran mail.docx", "A 59407-2022")</f>
        <v/>
      </c>
    </row>
    <row r="47" ht="15" customHeight="1">
      <c r="A47" t="inlineStr">
        <is>
          <t>A 35075-2023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46217</v>
      </c>
      <c r="F47" t="inlineStr">
        <is>
          <t>KALMAR LÄN</t>
        </is>
      </c>
      <c r="G47" t="inlineStr">
        <is>
          <t>HÖGSBY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Blåsippa</t>
        </is>
      </c>
      <c r="V47">
        <f>HYPERLINK("https://klasma.github.io/Logging_0821/artfynd/A 35075-2023 artfynd.xlsx", "A 35075-2023")</f>
        <v/>
      </c>
      <c r="W47">
        <f>HYPERLINK("https://klasma.github.io/Logging_0821/kartor/A 35075-2023 karta.png", "A 35075-2023")</f>
        <v/>
      </c>
      <c r="Y47">
        <f>HYPERLINK("https://klasma.github.io/Logging_0821/klagomål/A 35075-2023 FSC-klagomål.docx", "A 35075-2023")</f>
        <v/>
      </c>
      <c r="Z47">
        <f>HYPERLINK("https://klasma.github.io/Logging_0821/klagomålsmail/A 35075-2023 FSC-klagomål mail.docx", "A 35075-2023")</f>
        <v/>
      </c>
      <c r="AA47">
        <f>HYPERLINK("https://klasma.github.io/Logging_0821/tillsyn/A 35075-2023 tillsynsbegäran.docx", "A 35075-2023")</f>
        <v/>
      </c>
      <c r="AB47">
        <f>HYPERLINK("https://klasma.github.io/Logging_0821/tillsynsmail/A 35075-2023 tillsynsbegäran mail.docx", "A 35075-2023")</f>
        <v/>
      </c>
    </row>
    <row r="48" ht="15" customHeight="1">
      <c r="A48" t="inlineStr">
        <is>
          <t>A 1519-2022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46217</v>
      </c>
      <c r="F48" t="inlineStr">
        <is>
          <t>KALMAR LÄN</t>
        </is>
      </c>
      <c r="G48" t="inlineStr">
        <is>
          <t>HÖGSBY</t>
        </is>
      </c>
      <c r="I48" t="n">
        <v>2.6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Slåttergubbe</t>
        </is>
      </c>
      <c r="V48">
        <f>HYPERLINK("https://klasma.github.io/Logging_0821/artfynd/A 1519-2022 artfynd.xlsx", "A 1519-2022")</f>
        <v/>
      </c>
      <c r="W48">
        <f>HYPERLINK("https://klasma.github.io/Logging_0821/kartor/A 1519-2022 karta.png", "A 1519-2022")</f>
        <v/>
      </c>
      <c r="Y48">
        <f>HYPERLINK("https://klasma.github.io/Logging_0821/klagomål/A 1519-2022 FSC-klagomål.docx", "A 1519-2022")</f>
        <v/>
      </c>
      <c r="Z48">
        <f>HYPERLINK("https://klasma.github.io/Logging_0821/klagomålsmail/A 1519-2022 FSC-klagomål mail.docx", "A 1519-2022")</f>
        <v/>
      </c>
      <c r="AA48">
        <f>HYPERLINK("https://klasma.github.io/Logging_0821/tillsyn/A 1519-2022 tillsynsbegäran.docx", "A 1519-2022")</f>
        <v/>
      </c>
      <c r="AB48">
        <f>HYPERLINK("https://klasma.github.io/Logging_0821/tillsynsmail/A 1519-2022 tillsynsbegäran mail.docx", "A 1519-2022")</f>
        <v/>
      </c>
    </row>
    <row r="49" ht="15" customHeight="1">
      <c r="A49" t="inlineStr">
        <is>
          <t>A 28894-2026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46199</v>
      </c>
      <c r="E49" s="1" t="n">
        <v>46217</v>
      </c>
      <c r="F49" t="inlineStr">
        <is>
          <t>KALMAR LÄN</t>
        </is>
      </c>
      <c r="G49" t="inlineStr">
        <is>
          <t>HÖGSBY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Spillkråka</t>
        </is>
      </c>
      <c r="V49">
        <f>HYPERLINK("https://klasma.github.io/Logging_0821/artfynd/A 28894-2026 artfynd.xlsx", "A 28894-2026")</f>
        <v/>
      </c>
      <c r="W49">
        <f>HYPERLINK("https://klasma.github.io/Logging_0821/kartor/A 28894-2026 karta.png", "A 28894-2026")</f>
        <v/>
      </c>
      <c r="Y49">
        <f>HYPERLINK("https://klasma.github.io/Logging_0821/klagomål/A 28894-2026 FSC-klagomål.docx", "A 28894-2026")</f>
        <v/>
      </c>
      <c r="Z49">
        <f>HYPERLINK("https://klasma.github.io/Logging_0821/klagomålsmail/A 28894-2026 FSC-klagomål mail.docx", "A 28894-2026")</f>
        <v/>
      </c>
      <c r="AA49">
        <f>HYPERLINK("https://klasma.github.io/Logging_0821/tillsyn/A 28894-2026 tillsynsbegäran.docx", "A 28894-2026")</f>
        <v/>
      </c>
      <c r="AB49">
        <f>HYPERLINK("https://klasma.github.io/Logging_0821/tillsynsmail/A 28894-2026 tillsynsbegäran mail.docx", "A 28894-2026")</f>
        <v/>
      </c>
      <c r="AC49">
        <f>HYPERLINK("https://klasma.github.io/Logging_0821/fåglar/A 28894-2026 prioriterade fågelarter.docx", "A 28894-2026")</f>
        <v/>
      </c>
    </row>
    <row r="50" ht="15" customHeight="1">
      <c r="A50" t="inlineStr">
        <is>
          <t>A 35072-2023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46217</v>
      </c>
      <c r="F50" t="inlineStr">
        <is>
          <t>KALMAR LÄN</t>
        </is>
      </c>
      <c r="G50" t="inlineStr">
        <is>
          <t>HÖGSBY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Blåsippa</t>
        </is>
      </c>
      <c r="V50">
        <f>HYPERLINK("https://klasma.github.io/Logging_0821/artfynd/A 35072-2023 artfynd.xlsx", "A 35072-2023")</f>
        <v/>
      </c>
      <c r="W50">
        <f>HYPERLINK("https://klasma.github.io/Logging_0821/kartor/A 35072-2023 karta.png", "A 35072-2023")</f>
        <v/>
      </c>
      <c r="Y50">
        <f>HYPERLINK("https://klasma.github.io/Logging_0821/klagomål/A 35072-2023 FSC-klagomål.docx", "A 35072-2023")</f>
        <v/>
      </c>
      <c r="Z50">
        <f>HYPERLINK("https://klasma.github.io/Logging_0821/klagomålsmail/A 35072-2023 FSC-klagomål mail.docx", "A 35072-2023")</f>
        <v/>
      </c>
      <c r="AA50">
        <f>HYPERLINK("https://klasma.github.io/Logging_0821/tillsyn/A 35072-2023 tillsynsbegäran.docx", "A 35072-2023")</f>
        <v/>
      </c>
      <c r="AB50">
        <f>HYPERLINK("https://klasma.github.io/Logging_0821/tillsynsmail/A 35072-2023 tillsynsbegäran mail.docx", "A 35072-2023")</f>
        <v/>
      </c>
    </row>
    <row r="51" ht="15" customHeight="1">
      <c r="A51" t="inlineStr">
        <is>
          <t>A 30186-2026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46206</v>
      </c>
      <c r="E51" s="1" t="n">
        <v>46217</v>
      </c>
      <c r="F51" t="inlineStr">
        <is>
          <t>KALMAR LÄN</t>
        </is>
      </c>
      <c r="G51" t="inlineStr">
        <is>
          <t>HÖGSBY</t>
        </is>
      </c>
      <c r="H51" t="inlineStr">
        <is>
          <t>Sveaskog</t>
        </is>
      </c>
      <c r="I51" t="n">
        <v>3.4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Gullklöver</t>
        </is>
      </c>
      <c r="V51">
        <f>HYPERLINK("https://klasma.github.io/Logging_0821/artfynd/A 30186-2026 artfynd.xlsx", "A 30186-2026")</f>
        <v/>
      </c>
      <c r="W51">
        <f>HYPERLINK("https://klasma.github.io/Logging_0821/kartor/A 30186-2026 karta.png", "A 30186-2026")</f>
        <v/>
      </c>
      <c r="Y51">
        <f>HYPERLINK("https://klasma.github.io/Logging_0821/klagomål/A 30186-2026 FSC-klagomål.docx", "A 30186-2026")</f>
        <v/>
      </c>
      <c r="Z51">
        <f>HYPERLINK("https://klasma.github.io/Logging_0821/klagomålsmail/A 30186-2026 FSC-klagomål mail.docx", "A 30186-2026")</f>
        <v/>
      </c>
      <c r="AA51">
        <f>HYPERLINK("https://klasma.github.io/Logging_0821/tillsyn/A 30186-2026 tillsynsbegäran.docx", "A 30186-2026")</f>
        <v/>
      </c>
      <c r="AB51">
        <f>HYPERLINK("https://klasma.github.io/Logging_0821/tillsynsmail/A 30186-2026 tillsynsbegäran mail.docx", "A 30186-2026")</f>
        <v/>
      </c>
    </row>
    <row r="52" ht="15" customHeight="1">
      <c r="A52" t="inlineStr">
        <is>
          <t>A 19519-2025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45770</v>
      </c>
      <c r="E52" s="1" t="n">
        <v>46217</v>
      </c>
      <c r="F52" t="inlineStr">
        <is>
          <t>KALMAR LÄN</t>
        </is>
      </c>
      <c r="G52" t="inlineStr">
        <is>
          <t>HÖGSBY</t>
        </is>
      </c>
      <c r="I52" t="n">
        <v>3.5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Dropptaggsvamp</t>
        </is>
      </c>
      <c r="V52">
        <f>HYPERLINK("https://klasma.github.io/Logging_0821/artfynd/A 19519-2025 artfynd.xlsx", "A 19519-2025")</f>
        <v/>
      </c>
      <c r="W52">
        <f>HYPERLINK("https://klasma.github.io/Logging_0821/kartor/A 19519-2025 karta.png", "A 19519-2025")</f>
        <v/>
      </c>
      <c r="Y52">
        <f>HYPERLINK("https://klasma.github.io/Logging_0821/klagomål/A 19519-2025 FSC-klagomål.docx", "A 19519-2025")</f>
        <v/>
      </c>
      <c r="Z52">
        <f>HYPERLINK("https://klasma.github.io/Logging_0821/klagomålsmail/A 19519-2025 FSC-klagomål mail.docx", "A 19519-2025")</f>
        <v/>
      </c>
      <c r="AA52">
        <f>HYPERLINK("https://klasma.github.io/Logging_0821/tillsyn/A 19519-2025 tillsynsbegäran.docx", "A 19519-2025")</f>
        <v/>
      </c>
      <c r="AB52">
        <f>HYPERLINK("https://klasma.github.io/Logging_0821/tillsynsmail/A 19519-2025 tillsynsbegäran mail.docx", "A 19519-2025")</f>
        <v/>
      </c>
    </row>
    <row r="53" ht="15" customHeight="1">
      <c r="A53" t="inlineStr">
        <is>
          <t>A 23859-2026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46217</v>
      </c>
      <c r="F53" t="inlineStr">
        <is>
          <t>KALMAR LÄN</t>
        </is>
      </c>
      <c r="G53" t="inlineStr">
        <is>
          <t>HÖGSBY</t>
        </is>
      </c>
      <c r="I53" t="n">
        <v>3.8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Rödlånke</t>
        </is>
      </c>
      <c r="V53">
        <f>HYPERLINK("https://klasma.github.io/Logging_0821/artfynd/A 23859-2026 artfynd.xlsx", "A 23859-2026")</f>
        <v/>
      </c>
      <c r="W53">
        <f>HYPERLINK("https://klasma.github.io/Logging_0821/kartor/A 23859-2026 karta.png", "A 23859-2026")</f>
        <v/>
      </c>
      <c r="Y53">
        <f>HYPERLINK("https://klasma.github.io/Logging_0821/klagomål/A 23859-2026 FSC-klagomål.docx", "A 23859-2026")</f>
        <v/>
      </c>
      <c r="Z53">
        <f>HYPERLINK("https://klasma.github.io/Logging_0821/klagomålsmail/A 23859-2026 FSC-klagomål mail.docx", "A 23859-2026")</f>
        <v/>
      </c>
      <c r="AA53">
        <f>HYPERLINK("https://klasma.github.io/Logging_0821/tillsyn/A 23859-2026 tillsynsbegäran.docx", "A 23859-2026")</f>
        <v/>
      </c>
      <c r="AB53">
        <f>HYPERLINK("https://klasma.github.io/Logging_0821/tillsynsmail/A 23859-2026 tillsynsbegäran mail.docx", "A 23859-2026")</f>
        <v/>
      </c>
    </row>
    <row r="54" ht="15" customHeight="1">
      <c r="A54" t="inlineStr">
        <is>
          <t>A 30800-2026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46212</v>
      </c>
      <c r="E54" s="1" t="n">
        <v>46217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Grönpyrola</t>
        </is>
      </c>
      <c r="V54">
        <f>HYPERLINK("https://klasma.github.io/Logging_0821/artfynd/A 30800-2026 artfynd.xlsx", "A 30800-2026")</f>
        <v/>
      </c>
      <c r="W54">
        <f>HYPERLINK("https://klasma.github.io/Logging_0821/kartor/A 30800-2026 karta.png", "A 30800-2026")</f>
        <v/>
      </c>
      <c r="Y54">
        <f>HYPERLINK("https://klasma.github.io/Logging_0821/klagomål/A 30800-2026 FSC-klagomål.docx", "A 30800-2026")</f>
        <v/>
      </c>
      <c r="Z54">
        <f>HYPERLINK("https://klasma.github.io/Logging_0821/klagomålsmail/A 30800-2026 FSC-klagomål mail.docx", "A 30800-2026")</f>
        <v/>
      </c>
      <c r="AA54">
        <f>HYPERLINK("https://klasma.github.io/Logging_0821/tillsyn/A 30800-2026 tillsynsbegäran.docx", "A 30800-2026")</f>
        <v/>
      </c>
      <c r="AB54">
        <f>HYPERLINK("https://klasma.github.io/Logging_0821/tillsynsmail/A 30800-2026 tillsynsbegäran mail.docx", "A 30800-2026")</f>
        <v/>
      </c>
    </row>
    <row r="55" ht="15" customHeight="1">
      <c r="A55" t="inlineStr">
        <is>
          <t>A 17994-2026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46124</v>
      </c>
      <c r="E55" s="1" t="n">
        <v>46217</v>
      </c>
      <c r="F55" t="inlineStr">
        <is>
          <t>KALMAR LÄN</t>
        </is>
      </c>
      <c r="G55" t="inlineStr">
        <is>
          <t>HÖGSBY</t>
        </is>
      </c>
      <c r="I55" t="n">
        <v>1.7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Mindre bastardsvärmare</t>
        </is>
      </c>
      <c r="V55">
        <f>HYPERLINK("https://klasma.github.io/Logging_0821/artfynd/A 17994-2026 artfynd.xlsx", "A 17994-2026")</f>
        <v/>
      </c>
      <c r="W55">
        <f>HYPERLINK("https://klasma.github.io/Logging_0821/kartor/A 17994-2026 karta.png", "A 17994-2026")</f>
        <v/>
      </c>
      <c r="Y55">
        <f>HYPERLINK("https://klasma.github.io/Logging_0821/klagomål/A 17994-2026 FSC-klagomål.docx", "A 17994-2026")</f>
        <v/>
      </c>
      <c r="Z55">
        <f>HYPERLINK("https://klasma.github.io/Logging_0821/klagomålsmail/A 17994-2026 FSC-klagomål mail.docx", "A 17994-2026")</f>
        <v/>
      </c>
      <c r="AA55">
        <f>HYPERLINK("https://klasma.github.io/Logging_0821/tillsyn/A 17994-2026 tillsynsbegäran.docx", "A 17994-2026")</f>
        <v/>
      </c>
      <c r="AB55">
        <f>HYPERLINK("https://klasma.github.io/Logging_0821/tillsynsmail/A 17994-2026 tillsynsbegäran mail.docx", "A 17994-2026")</f>
        <v/>
      </c>
    </row>
    <row r="56" ht="15" customHeight="1">
      <c r="A56" t="inlineStr">
        <is>
          <t>A 19463-2026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46217</v>
      </c>
      <c r="F56" t="inlineStr">
        <is>
          <t>KALMAR LÄN</t>
        </is>
      </c>
      <c r="G56" t="inlineStr">
        <is>
          <t>HÖGSBY</t>
        </is>
      </c>
      <c r="I56" t="n">
        <v>4.1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Revlummer</t>
        </is>
      </c>
      <c r="V56">
        <f>HYPERLINK("https://klasma.github.io/Logging_0821/artfynd/A 19463-2026 artfynd.xlsx", "A 19463-2026")</f>
        <v/>
      </c>
      <c r="W56">
        <f>HYPERLINK("https://klasma.github.io/Logging_0821/kartor/A 19463-2026 karta.png", "A 19463-2026")</f>
        <v/>
      </c>
      <c r="Y56">
        <f>HYPERLINK("https://klasma.github.io/Logging_0821/klagomål/A 19463-2026 FSC-klagomål.docx", "A 19463-2026")</f>
        <v/>
      </c>
      <c r="Z56">
        <f>HYPERLINK("https://klasma.github.io/Logging_0821/klagomålsmail/A 19463-2026 FSC-klagomål mail.docx", "A 19463-2026")</f>
        <v/>
      </c>
      <c r="AA56">
        <f>HYPERLINK("https://klasma.github.io/Logging_0821/tillsyn/A 19463-2026 tillsynsbegäran.docx", "A 19463-2026")</f>
        <v/>
      </c>
      <c r="AB56">
        <f>HYPERLINK("https://klasma.github.io/Logging_0821/tillsynsmail/A 19463-2026 tillsynsbegäran mail.docx", "A 19463-2026")</f>
        <v/>
      </c>
    </row>
    <row r="57" ht="15" customHeight="1">
      <c r="A57" t="inlineStr">
        <is>
          <t>A 19536-2026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46134</v>
      </c>
      <c r="E57" s="1" t="n">
        <v>46217</v>
      </c>
      <c r="F57" t="inlineStr">
        <is>
          <t>KALMAR LÄN</t>
        </is>
      </c>
      <c r="G57" t="inlineStr">
        <is>
          <t>HÖGSBY</t>
        </is>
      </c>
      <c r="I57" t="n">
        <v>4.7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Tjäder</t>
        </is>
      </c>
      <c r="V57">
        <f>HYPERLINK("https://klasma.github.io/Logging_0821/artfynd/A 19536-2026 artfynd.xlsx", "A 19536-2026")</f>
        <v/>
      </c>
      <c r="W57">
        <f>HYPERLINK("https://klasma.github.io/Logging_0821/kartor/A 19536-2026 karta.png", "A 19536-2026")</f>
        <v/>
      </c>
      <c r="Y57">
        <f>HYPERLINK("https://klasma.github.io/Logging_0821/klagomål/A 19536-2026 FSC-klagomål.docx", "A 19536-2026")</f>
        <v/>
      </c>
      <c r="Z57">
        <f>HYPERLINK("https://klasma.github.io/Logging_0821/klagomålsmail/A 19536-2026 FSC-klagomål mail.docx", "A 19536-2026")</f>
        <v/>
      </c>
      <c r="AA57">
        <f>HYPERLINK("https://klasma.github.io/Logging_0821/tillsyn/A 19536-2026 tillsynsbegäran.docx", "A 19536-2026")</f>
        <v/>
      </c>
      <c r="AB57">
        <f>HYPERLINK("https://klasma.github.io/Logging_0821/tillsynsmail/A 19536-2026 tillsynsbegäran mail.docx", "A 19536-2026")</f>
        <v/>
      </c>
      <c r="AC57">
        <f>HYPERLINK("https://klasma.github.io/Logging_0821/fåglar/A 19536-2026 prioriterade fågelarter.docx", "A 19536-2026")</f>
        <v/>
      </c>
    </row>
    <row r="58" ht="15" customHeight="1">
      <c r="A58" t="inlineStr">
        <is>
          <t>A 59700-2023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45256</v>
      </c>
      <c r="E58" s="1" t="n">
        <v>46217</v>
      </c>
      <c r="F58" t="inlineStr">
        <is>
          <t>KALMAR LÄN</t>
        </is>
      </c>
      <c r="G58" t="inlineStr">
        <is>
          <t>HÖGSBY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Tjäder</t>
        </is>
      </c>
      <c r="V58">
        <f>HYPERLINK("https://klasma.github.io/Logging_0821/artfynd/A 59700-2023 artfynd.xlsx", "A 59700-2023")</f>
        <v/>
      </c>
      <c r="W58">
        <f>HYPERLINK("https://klasma.github.io/Logging_0821/kartor/A 59700-2023 karta.png", "A 59700-2023")</f>
        <v/>
      </c>
      <c r="Y58">
        <f>HYPERLINK("https://klasma.github.io/Logging_0821/klagomål/A 59700-2023 FSC-klagomål.docx", "A 59700-2023")</f>
        <v/>
      </c>
      <c r="Z58">
        <f>HYPERLINK("https://klasma.github.io/Logging_0821/klagomålsmail/A 59700-2023 FSC-klagomål mail.docx", "A 59700-2023")</f>
        <v/>
      </c>
      <c r="AA58">
        <f>HYPERLINK("https://klasma.github.io/Logging_0821/tillsyn/A 59700-2023 tillsynsbegäran.docx", "A 59700-2023")</f>
        <v/>
      </c>
      <c r="AB58">
        <f>HYPERLINK("https://klasma.github.io/Logging_0821/tillsynsmail/A 59700-2023 tillsynsbegäran mail.docx", "A 59700-2023")</f>
        <v/>
      </c>
      <c r="AC58">
        <f>HYPERLINK("https://klasma.github.io/Logging_0821/fåglar/A 59700-2023 prioriterade fågelarter.docx", "A 59700-2023")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46217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Mistel</t>
        </is>
      </c>
      <c r="V59">
        <f>HYPERLINK("https://klasma.github.io/Logging_0821/artfynd/S 1694-2022 artfynd.xlsx", "S 1694-2022")</f>
        <v/>
      </c>
      <c r="W59">
        <f>HYPERLINK("https://klasma.github.io/Logging_0821/kartor/S 1694-2022 karta.png", "S 1694-2022")</f>
        <v/>
      </c>
      <c r="Y59">
        <f>HYPERLINK("https://klasma.github.io/Logging_0821/klagomål/S 1694-2022 FSC-klagomål.docx", "S 1694-2022")</f>
        <v/>
      </c>
      <c r="Z59">
        <f>HYPERLINK("https://klasma.github.io/Logging_0821/klagomålsmail/S 1694-2022 FSC-klagomål mail.docx", "S 1694-2022")</f>
        <v/>
      </c>
      <c r="AA59">
        <f>HYPERLINK("https://klasma.github.io/Logging_0821/tillsyn/S 1694-2022 tillsynsbegäran.docx", "S 1694-2022")</f>
        <v/>
      </c>
      <c r="AB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46217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Ögonpyrola</t>
        </is>
      </c>
      <c r="V60">
        <f>HYPERLINK("https://klasma.github.io/Logging_0821/artfynd/S 771-2022 artfynd.xlsx", "S 771-2022")</f>
        <v/>
      </c>
      <c r="W60">
        <f>HYPERLINK("https://klasma.github.io/Logging_0821/kartor/S 771-2022 karta.png", "S 771-2022")</f>
        <v/>
      </c>
      <c r="Y60">
        <f>HYPERLINK("https://klasma.github.io/Logging_0821/klagomål/S 771-2022 FSC-klagomål.docx", "S 771-2022")</f>
        <v/>
      </c>
      <c r="Z60">
        <f>HYPERLINK("https://klasma.github.io/Logging_0821/klagomålsmail/S 771-2022 FSC-klagomål mail.docx", "S 771-2022")</f>
        <v/>
      </c>
      <c r="AA60">
        <f>HYPERLINK("https://klasma.github.io/Logging_0821/tillsyn/S 771-2022 tillsynsbegäran.docx", "S 771-2022")</f>
        <v/>
      </c>
      <c r="AB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46217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Tjäder</t>
        </is>
      </c>
      <c r="V61">
        <f>HYPERLINK("https://klasma.github.io/Logging_0821/artfynd/S 352-2023 artfynd.xlsx", "S 352-2023")</f>
        <v/>
      </c>
      <c r="W61">
        <f>HYPERLINK("https://klasma.github.io/Logging_0821/kartor/S 352-2023 karta.png", "S 352-2023")</f>
        <v/>
      </c>
      <c r="X61">
        <f>HYPERLINK("https://klasma.github.io/Logging_0821/knärot/S 352-2023 karta knärot.png", "S 352-2023")</f>
        <v/>
      </c>
      <c r="Y61">
        <f>HYPERLINK("https://klasma.github.io/Logging_0821/klagomål/S 352-2023 FSC-klagomål.docx", "S 352-2023")</f>
        <v/>
      </c>
      <c r="Z61">
        <f>HYPERLINK("https://klasma.github.io/Logging_0821/klagomålsmail/S 352-2023 FSC-klagomål mail.docx", "S 352-2023")</f>
        <v/>
      </c>
      <c r="AA61">
        <f>HYPERLINK("https://klasma.github.io/Logging_0821/tillsyn/S 352-2023 tillsynsbegäran.docx", "S 352-2023")</f>
        <v/>
      </c>
      <c r="AB61">
        <f>HYPERLINK("https://klasma.github.io/Logging_0821/tillsynsmail/S 352-2023 tillsynsbegäran mail.docx", "S 352-2023")</f>
        <v/>
      </c>
      <c r="AC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46217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Blåsippa</t>
        </is>
      </c>
      <c r="V62">
        <f>HYPERLINK("https://klasma.github.io/Logging_0821/artfynd/S 1064-2025 artfynd.xlsx", "S 1064-2025")</f>
        <v/>
      </c>
      <c r="W62">
        <f>HYPERLINK("https://klasma.github.io/Logging_0821/kartor/S 1064-2025 karta.png", "S 1064-2025")</f>
        <v/>
      </c>
      <c r="Y62">
        <f>HYPERLINK("https://klasma.github.io/Logging_0821/klagomål/S 1064-2025 FSC-klagomål.docx", "S 1064-2025")</f>
        <v/>
      </c>
      <c r="Z62">
        <f>HYPERLINK("https://klasma.github.io/Logging_0821/klagomålsmail/S 1064-2025 FSC-klagomål mail.docx", "S 1064-2025")</f>
        <v/>
      </c>
      <c r="AA62">
        <f>HYPERLINK("https://klasma.github.io/Logging_0821/tillsyn/S 1064-2025 tillsynsbegäran.docx", "S 1064-2025")</f>
        <v/>
      </c>
      <c r="AB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46217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Vedtrappmossa</t>
        </is>
      </c>
      <c r="V63">
        <f>HYPERLINK("https://klasma.github.io/Logging_0821/artfynd/S 1216-2025 artfynd.xlsx", "S 1216-2025")</f>
        <v/>
      </c>
      <c r="W63">
        <f>HYPERLINK("https://klasma.github.io/Logging_0821/kartor/S 1216-2025 karta.png", "S 1216-2025")</f>
        <v/>
      </c>
      <c r="Y63">
        <f>HYPERLINK("https://klasma.github.io/Logging_0821/klagomål/S 1216-2025 FSC-klagomål.docx", "S 1216-2025")</f>
        <v/>
      </c>
      <c r="Z63">
        <f>HYPERLINK("https://klasma.github.io/Logging_0821/klagomålsmail/S 1216-2025 FSC-klagomål mail.docx", "S 1216-2025")</f>
        <v/>
      </c>
      <c r="AA63">
        <f>HYPERLINK("https://klasma.github.io/Logging_0821/tillsyn/S 1216-2025 tillsynsbegäran.docx", "S 1216-2025")</f>
        <v/>
      </c>
      <c r="AB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46217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Revlummer</t>
        </is>
      </c>
      <c r="V64">
        <f>HYPERLINK("https://klasma.github.io/Logging_0821/artfynd/S 380-2023 artfynd.xlsx", "S 380-2023")</f>
        <v/>
      </c>
      <c r="W64">
        <f>HYPERLINK("https://klasma.github.io/Logging_0821/kartor/S 380-2023 karta.png", "S 380-2023")</f>
        <v/>
      </c>
      <c r="Y64">
        <f>HYPERLINK("https://klasma.github.io/Logging_0821/klagomål/S 380-2023 FSC-klagomål.docx", "S 380-2023")</f>
        <v/>
      </c>
      <c r="Z64">
        <f>HYPERLINK("https://klasma.github.io/Logging_0821/klagomålsmail/S 380-2023 FSC-klagomål mail.docx", "S 380-2023")</f>
        <v/>
      </c>
      <c r="AA64">
        <f>HYPERLINK("https://klasma.github.io/Logging_0821/tillsyn/S 380-2023 tillsynsbegäran.docx", "S 380-2023")</f>
        <v/>
      </c>
      <c r="AB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46217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Ryl</t>
        </is>
      </c>
      <c r="V65">
        <f>HYPERLINK("https://klasma.github.io/Logging_0821/artfynd/S 377-2023 artfynd.xlsx", "S 377-2023")</f>
        <v/>
      </c>
      <c r="W65">
        <f>HYPERLINK("https://klasma.github.io/Logging_0821/kartor/S 377-2023 karta.png", "S 377-2023")</f>
        <v/>
      </c>
      <c r="Y65">
        <f>HYPERLINK("https://klasma.github.io/Logging_0821/klagomål/S 377-2023 FSC-klagomål.docx", "S 377-2023")</f>
        <v/>
      </c>
      <c r="Z65">
        <f>HYPERLINK("https://klasma.github.io/Logging_0821/klagomålsmail/S 377-2023 FSC-klagomål mail.docx", "S 377-2023")</f>
        <v/>
      </c>
      <c r="AA65">
        <f>HYPERLINK("https://klasma.github.io/Logging_0821/tillsyn/S 377-2023 tillsynsbegäran.docx", "S 377-2023")</f>
        <v/>
      </c>
      <c r="AB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46217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Blomkålssvamp</t>
        </is>
      </c>
      <c r="V66">
        <f>HYPERLINK("https://klasma.github.io/Logging_0821/artfynd/S 923-2026 artfynd.xlsx", "S 923-2026")</f>
        <v/>
      </c>
      <c r="W66">
        <f>HYPERLINK("https://klasma.github.io/Logging_0821/kartor/S 923-2026 karta.png", "S 923-2026")</f>
        <v/>
      </c>
      <c r="Y66">
        <f>HYPERLINK("https://klasma.github.io/Logging_0821/klagomål/S 923-2026 FSC-klagomål.docx", "S 923-2026")</f>
        <v/>
      </c>
      <c r="Z66">
        <f>HYPERLINK("https://klasma.github.io/Logging_0821/klagomålsmail/S 923-2026 FSC-klagomål mail.docx", "S 923-2026")</f>
        <v/>
      </c>
      <c r="AA66">
        <f>HYPERLINK("https://klasma.github.io/Logging_0821/tillsyn/S 923-2026 tillsynsbegäran.docx", "S 923-2026")</f>
        <v/>
      </c>
      <c r="AB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46217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46217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46217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46217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46217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74475-2021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44559</v>
      </c>
      <c r="E72" s="1" t="n">
        <v>46217</v>
      </c>
      <c r="F72" t="inlineStr">
        <is>
          <t>KALMAR LÄN</t>
        </is>
      </c>
      <c r="G72" t="inlineStr">
        <is>
          <t>HÖGSBY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44441</v>
      </c>
      <c r="E73" s="1" t="n">
        <v>46217</v>
      </c>
      <c r="F73" t="inlineStr">
        <is>
          <t>KALMAR LÄN</t>
        </is>
      </c>
      <c r="G73" t="inlineStr">
        <is>
          <t>HÖGSBY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46217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46217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46217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46217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46217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46217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46217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46217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46217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46217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46217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46217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46217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46217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46217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46217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46217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46217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46217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46217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46217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46217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46217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46217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62274-2021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46217</v>
      </c>
      <c r="F98" t="inlineStr">
        <is>
          <t>KALMAR LÄN</t>
        </is>
      </c>
      <c r="G98" t="inlineStr">
        <is>
          <t>HÖGSBY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46217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46217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46217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10244-2024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45365</v>
      </c>
      <c r="E102" s="1" t="n">
        <v>46217</v>
      </c>
      <c r="F102" t="inlineStr">
        <is>
          <t>KALMAR LÄN</t>
        </is>
      </c>
      <c r="G102" t="inlineStr">
        <is>
          <t>HÖGSBY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38608-2024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45546</v>
      </c>
      <c r="E103" s="1" t="n">
        <v>46217</v>
      </c>
      <c r="F103" t="inlineStr">
        <is>
          <t>KALMAR LÄN</t>
        </is>
      </c>
      <c r="G103" t="inlineStr">
        <is>
          <t>HÖGSBY</t>
        </is>
      </c>
      <c r="H103" t="inlineStr">
        <is>
          <t>Sveaskog</t>
        </is>
      </c>
      <c r="I103" t="n">
        <v>9.199999999999999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53129-2022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46217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45391</v>
      </c>
      <c r="E105" s="1" t="n">
        <v>46217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37320-2022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46217</v>
      </c>
      <c r="F106" t="inlineStr">
        <is>
          <t>KALMAR LÄN</t>
        </is>
      </c>
      <c r="G106" t="inlineStr">
        <is>
          <t>HÖGSBY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14193-2024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46217</v>
      </c>
      <c r="F107" t="inlineStr">
        <is>
          <t>KALMAR LÄN</t>
        </is>
      </c>
      <c r="G107" t="inlineStr">
        <is>
          <t>HÖGSBY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50458-2022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44866</v>
      </c>
      <c r="E108" s="1" t="n">
        <v>46217</v>
      </c>
      <c r="F108" t="inlineStr">
        <is>
          <t>KALMAR LÄN</t>
        </is>
      </c>
      <c r="G108" t="inlineStr">
        <is>
          <t>HÖGSBY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46217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26545-2024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45469</v>
      </c>
      <c r="E110" s="1" t="n">
        <v>46217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3549-2024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46217</v>
      </c>
      <c r="F111" t="inlineStr">
        <is>
          <t>KALMAR LÄN</t>
        </is>
      </c>
      <c r="G111" t="inlineStr">
        <is>
          <t>HÖGSBY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59430-2023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46217</v>
      </c>
      <c r="F112" t="inlineStr">
        <is>
          <t>KALMAR LÄN</t>
        </is>
      </c>
      <c r="G112" t="inlineStr">
        <is>
          <t>HÖGSBY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54941-2022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44886</v>
      </c>
      <c r="E113" s="1" t="n">
        <v>46217</v>
      </c>
      <c r="F113" t="inlineStr">
        <is>
          <t>KALMAR LÄN</t>
        </is>
      </c>
      <c r="G113" t="inlineStr">
        <is>
          <t>HÖGSBY</t>
        </is>
      </c>
      <c r="H113" t="inlineStr">
        <is>
          <t>Kyrkan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41706-2023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45176</v>
      </c>
      <c r="E114" s="1" t="n">
        <v>46217</v>
      </c>
      <c r="F114" t="inlineStr">
        <is>
          <t>KALMAR LÄN</t>
        </is>
      </c>
      <c r="G114" t="inlineStr">
        <is>
          <t>HÖGSBY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58679-2022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44902</v>
      </c>
      <c r="E115" s="1" t="n">
        <v>46217</v>
      </c>
      <c r="F115" t="inlineStr">
        <is>
          <t>KALMAR LÄN</t>
        </is>
      </c>
      <c r="G115" t="inlineStr">
        <is>
          <t>HÖGSBY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52117-2024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46217</v>
      </c>
      <c r="F116" t="inlineStr">
        <is>
          <t>KALMAR LÄN</t>
        </is>
      </c>
      <c r="G116" t="inlineStr">
        <is>
          <t>HÖGSBY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12210-2025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45729</v>
      </c>
      <c r="E117" s="1" t="n">
        <v>46217</v>
      </c>
      <c r="F117" t="inlineStr">
        <is>
          <t>KALMAR LÄN</t>
        </is>
      </c>
      <c r="G117" t="inlineStr">
        <is>
          <t>HÖGSBY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57006-2024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45626</v>
      </c>
      <c r="E118" s="1" t="n">
        <v>46217</v>
      </c>
      <c r="F118" t="inlineStr">
        <is>
          <t>KALMAR LÄN</t>
        </is>
      </c>
      <c r="G118" t="inlineStr">
        <is>
          <t>HÖGSBY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37954-2024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46217</v>
      </c>
      <c r="F119" t="inlineStr">
        <is>
          <t>KALMAR LÄN</t>
        </is>
      </c>
      <c r="G119" t="inlineStr">
        <is>
          <t>HÖGSBY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38596-2024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45546</v>
      </c>
      <c r="E120" s="1" t="n">
        <v>46217</v>
      </c>
      <c r="F120" t="inlineStr">
        <is>
          <t>KALMAR LÄN</t>
        </is>
      </c>
      <c r="G120" t="inlineStr">
        <is>
          <t>HÖGSBY</t>
        </is>
      </c>
      <c r="H120" t="inlineStr">
        <is>
          <t>Sveaskog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11478-2023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44991</v>
      </c>
      <c r="E121" s="1" t="n">
        <v>46217</v>
      </c>
      <c r="F121" t="inlineStr">
        <is>
          <t>KALMAR LÄN</t>
        </is>
      </c>
      <c r="G121" t="inlineStr">
        <is>
          <t>HÖGSBY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3548-2024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45320</v>
      </c>
      <c r="E122" s="1" t="n">
        <v>46217</v>
      </c>
      <c r="F122" t="inlineStr">
        <is>
          <t>KALMAR LÄN</t>
        </is>
      </c>
      <c r="G122" t="inlineStr">
        <is>
          <t>HÖGSBY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56332-2024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45624</v>
      </c>
      <c r="E123" s="1" t="n">
        <v>46217</v>
      </c>
      <c r="F123" t="inlineStr">
        <is>
          <t>KALMAR LÄN</t>
        </is>
      </c>
      <c r="G123" t="inlineStr">
        <is>
          <t>HÖGSBY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57173-2022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44895</v>
      </c>
      <c r="E124" s="1" t="n">
        <v>46217</v>
      </c>
      <c r="F124" t="inlineStr">
        <is>
          <t>KALMAR LÄN</t>
        </is>
      </c>
      <c r="G124" t="inlineStr">
        <is>
          <t>HÖGSBY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14326-2025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46217</v>
      </c>
      <c r="F125" t="inlineStr">
        <is>
          <t>KALMAR LÄN</t>
        </is>
      </c>
      <c r="G125" t="inlineStr">
        <is>
          <t>HÖGSBY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17864-2025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45758</v>
      </c>
      <c r="E126" s="1" t="n">
        <v>46217</v>
      </c>
      <c r="F126" t="inlineStr">
        <is>
          <t>KALMAR LÄN</t>
        </is>
      </c>
      <c r="G126" t="inlineStr">
        <is>
          <t>HÖGSBY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61955-2023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45266</v>
      </c>
      <c r="E127" s="1" t="n">
        <v>46217</v>
      </c>
      <c r="F127" t="inlineStr">
        <is>
          <t>KALMAR LÄN</t>
        </is>
      </c>
      <c r="G127" t="inlineStr">
        <is>
          <t>HÖGSBY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65130-2023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45288</v>
      </c>
      <c r="E128" s="1" t="n">
        <v>46217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38068-2025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45882</v>
      </c>
      <c r="E129" s="1" t="n">
        <v>46217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11694-2025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45727</v>
      </c>
      <c r="E130" s="1" t="n">
        <v>46217</v>
      </c>
      <c r="F130" t="inlineStr">
        <is>
          <t>KALMAR LÄN</t>
        </is>
      </c>
      <c r="G130" t="inlineStr">
        <is>
          <t>HÖGSBY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7678-2024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45348</v>
      </c>
      <c r="E131" s="1" t="n">
        <v>46217</v>
      </c>
      <c r="F131" t="inlineStr">
        <is>
          <t>KALMAR LÄN</t>
        </is>
      </c>
      <c r="G131" t="inlineStr">
        <is>
          <t>HÖGSBY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45688</v>
      </c>
      <c r="E132" s="1" t="n">
        <v>46217</v>
      </c>
      <c r="F132" t="inlineStr">
        <is>
          <t>KALMAR LÄN</t>
        </is>
      </c>
      <c r="G132" t="inlineStr">
        <is>
          <t>HÖGSBY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57000-2024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45626</v>
      </c>
      <c r="E133" s="1" t="n">
        <v>46217</v>
      </c>
      <c r="F133" t="inlineStr">
        <is>
          <t>KALMAR LÄN</t>
        </is>
      </c>
      <c r="G133" t="inlineStr">
        <is>
          <t>HÖGSBY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30890-2023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46217</v>
      </c>
      <c r="F134" t="inlineStr">
        <is>
          <t>KALMAR LÄN</t>
        </is>
      </c>
      <c r="G134" t="inlineStr">
        <is>
          <t>HÖGSBY</t>
        </is>
      </c>
      <c r="I134" t="n">
        <v>11.6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43544-2025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46217</v>
      </c>
      <c r="F135" t="inlineStr">
        <is>
          <t>KALMAR LÄN</t>
        </is>
      </c>
      <c r="G135" t="inlineStr">
        <is>
          <t>HÖGSBY</t>
        </is>
      </c>
      <c r="H135" t="inlineStr">
        <is>
          <t>Kommuner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22688-2025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45789</v>
      </c>
      <c r="E136" s="1" t="n">
        <v>46217</v>
      </c>
      <c r="F136" t="inlineStr">
        <is>
          <t>KALMAR LÄN</t>
        </is>
      </c>
      <c r="G136" t="inlineStr">
        <is>
          <t>HÖGSBY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32632-2025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45838</v>
      </c>
      <c r="E137" s="1" t="n">
        <v>46217</v>
      </c>
      <c r="F137" t="inlineStr">
        <is>
          <t>KALMAR LÄN</t>
        </is>
      </c>
      <c r="G137" t="inlineStr">
        <is>
          <t>HÖGSBY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16766-2025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45754</v>
      </c>
      <c r="E138" s="1" t="n">
        <v>46217</v>
      </c>
      <c r="F138" t="inlineStr">
        <is>
          <t>KALMAR LÄN</t>
        </is>
      </c>
      <c r="G138" t="inlineStr">
        <is>
          <t>HÖGSBY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39235-2021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44413</v>
      </c>
      <c r="E139" s="1" t="n">
        <v>46217</v>
      </c>
      <c r="F139" t="inlineStr">
        <is>
          <t>KALMAR LÄN</t>
        </is>
      </c>
      <c r="G139" t="inlineStr">
        <is>
          <t>HÖGSBY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60853-2021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44496</v>
      </c>
      <c r="E140" s="1" t="n">
        <v>46217</v>
      </c>
      <c r="F140" t="inlineStr">
        <is>
          <t>KALMAR LÄN</t>
        </is>
      </c>
      <c r="G140" t="inlineStr">
        <is>
          <t>HÖGSBY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8108-2025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45707</v>
      </c>
      <c r="E141" s="1" t="n">
        <v>46217</v>
      </c>
      <c r="F141" t="inlineStr">
        <is>
          <t>KALMAR LÄN</t>
        </is>
      </c>
      <c r="G141" t="inlineStr">
        <is>
          <t>HÖGSBY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43557-2025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45911</v>
      </c>
      <c r="E142" s="1" t="n">
        <v>46217</v>
      </c>
      <c r="F142" t="inlineStr">
        <is>
          <t>KALMAR LÄN</t>
        </is>
      </c>
      <c r="G142" t="inlineStr">
        <is>
          <t>HÖGSBY</t>
        </is>
      </c>
      <c r="H142" t="inlineStr">
        <is>
          <t>Kommuner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25223-2022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44729</v>
      </c>
      <c r="E143" s="1" t="n">
        <v>46217</v>
      </c>
      <c r="F143" t="inlineStr">
        <is>
          <t>KALMAR LÄN</t>
        </is>
      </c>
      <c r="G143" t="inlineStr">
        <is>
          <t>HÖGSBY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23887-2025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45793</v>
      </c>
      <c r="E144" s="1" t="n">
        <v>46217</v>
      </c>
      <c r="F144" t="inlineStr">
        <is>
          <t>KALMAR LÄN</t>
        </is>
      </c>
      <c r="G144" t="inlineStr">
        <is>
          <t>HÖGSBY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10871-2023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44991</v>
      </c>
      <c r="E145" s="1" t="n">
        <v>46217</v>
      </c>
      <c r="F145" t="inlineStr">
        <is>
          <t>KALMAR LÄN</t>
        </is>
      </c>
      <c r="G145" t="inlineStr">
        <is>
          <t>HÖGSBY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51724-2025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45951</v>
      </c>
      <c r="E146" s="1" t="n">
        <v>46217</v>
      </c>
      <c r="F146" t="inlineStr">
        <is>
          <t>KALMAR LÄN</t>
        </is>
      </c>
      <c r="G146" t="inlineStr">
        <is>
          <t>HÖGSBY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25948-2025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45804</v>
      </c>
      <c r="E147" s="1" t="n">
        <v>46217</v>
      </c>
      <c r="F147" t="inlineStr">
        <is>
          <t>KALMAR LÄN</t>
        </is>
      </c>
      <c r="G147" t="inlineStr">
        <is>
          <t>HÖGSBY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29646-2025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46217</v>
      </c>
      <c r="F148" t="inlineStr">
        <is>
          <t>KALMAR LÄN</t>
        </is>
      </c>
      <c r="G148" t="inlineStr">
        <is>
          <t>HÖGSBY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41619-2025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45901</v>
      </c>
      <c r="E149" s="1" t="n">
        <v>46217</v>
      </c>
      <c r="F149" t="inlineStr">
        <is>
          <t>KALMAR LÄN</t>
        </is>
      </c>
      <c r="G149" t="inlineStr">
        <is>
          <t>HÖGSBY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32049-2023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45119</v>
      </c>
      <c r="E150" s="1" t="n">
        <v>46217</v>
      </c>
      <c r="F150" t="inlineStr">
        <is>
          <t>KALMAR LÄN</t>
        </is>
      </c>
      <c r="G150" t="inlineStr">
        <is>
          <t>HÖGSBY</t>
        </is>
      </c>
      <c r="H150" t="inlineStr">
        <is>
          <t>Sveaskog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52116-2024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45608</v>
      </c>
      <c r="E151" s="1" t="n">
        <v>46217</v>
      </c>
      <c r="F151" t="inlineStr">
        <is>
          <t>KALMAR LÄN</t>
        </is>
      </c>
      <c r="G151" t="inlineStr">
        <is>
          <t>HÖGSBY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50428-2024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46217</v>
      </c>
      <c r="F152" t="inlineStr">
        <is>
          <t>KALMAR LÄN</t>
        </is>
      </c>
      <c r="G152" t="inlineStr">
        <is>
          <t>HÖGSBY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39237-2021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44413</v>
      </c>
      <c r="E153" s="1" t="n">
        <v>46217</v>
      </c>
      <c r="F153" t="inlineStr">
        <is>
          <t>KALMAR LÄN</t>
        </is>
      </c>
      <c r="G153" t="inlineStr">
        <is>
          <t>HÖGSBY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53413-2024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45614</v>
      </c>
      <c r="E154" s="1" t="n">
        <v>46217</v>
      </c>
      <c r="F154" t="inlineStr">
        <is>
          <t>KALMAR LÄN</t>
        </is>
      </c>
      <c r="G154" t="inlineStr">
        <is>
          <t>HÖGSBY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12396-2023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44999</v>
      </c>
      <c r="E155" s="1" t="n">
        <v>46217</v>
      </c>
      <c r="F155" t="inlineStr">
        <is>
          <t>KALMAR LÄN</t>
        </is>
      </c>
      <c r="G155" t="inlineStr">
        <is>
          <t>HÖGSBY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37497-2022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44809</v>
      </c>
      <c r="E156" s="1" t="n">
        <v>46217</v>
      </c>
      <c r="F156" t="inlineStr">
        <is>
          <t>KALMAR LÄN</t>
        </is>
      </c>
      <c r="G156" t="inlineStr">
        <is>
          <t>HÖGSBY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26151-2026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46217</v>
      </c>
      <c r="F157" t="inlineStr">
        <is>
          <t>KALMAR LÄN</t>
        </is>
      </c>
      <c r="G157" t="inlineStr">
        <is>
          <t>HÖGSBY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11707-2025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46217</v>
      </c>
      <c r="F158" t="inlineStr">
        <is>
          <t>KALMAR LÄN</t>
        </is>
      </c>
      <c r="G158" t="inlineStr">
        <is>
          <t>HÖGSBY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45835-2025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45923</v>
      </c>
      <c r="E159" s="1" t="n">
        <v>46217</v>
      </c>
      <c r="F159" t="inlineStr">
        <is>
          <t>KALMAR LÄN</t>
        </is>
      </c>
      <c r="G159" t="inlineStr">
        <is>
          <t>HÖGSBY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20398-2025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45775</v>
      </c>
      <c r="E160" s="1" t="n">
        <v>46217</v>
      </c>
      <c r="F160" t="inlineStr">
        <is>
          <t>KALMAR LÄN</t>
        </is>
      </c>
      <c r="G160" t="inlineStr">
        <is>
          <t>HÖGSBY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8116-2025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45707</v>
      </c>
      <c r="E161" s="1" t="n">
        <v>46217</v>
      </c>
      <c r="F161" t="inlineStr">
        <is>
          <t>KALMAR LÄN</t>
        </is>
      </c>
      <c r="G161" t="inlineStr">
        <is>
          <t>HÖGSBY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44437-2023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45189</v>
      </c>
      <c r="E162" s="1" t="n">
        <v>46217</v>
      </c>
      <c r="F162" t="inlineStr">
        <is>
          <t>KALMAR LÄN</t>
        </is>
      </c>
      <c r="G162" t="inlineStr">
        <is>
          <t>HÖGSBY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31707-2023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45105</v>
      </c>
      <c r="E163" s="1" t="n">
        <v>46217</v>
      </c>
      <c r="F163" t="inlineStr">
        <is>
          <t>KALMAR LÄN</t>
        </is>
      </c>
      <c r="G163" t="inlineStr">
        <is>
          <t>HÖGSBY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6823-2025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46217</v>
      </c>
      <c r="F164" t="inlineStr">
        <is>
          <t>KALMAR LÄN</t>
        </is>
      </c>
      <c r="G164" t="inlineStr">
        <is>
          <t>HÖGSBY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6824-2025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45700</v>
      </c>
      <c r="E165" s="1" t="n">
        <v>46217</v>
      </c>
      <c r="F165" t="inlineStr">
        <is>
          <t>KALMAR LÄN</t>
        </is>
      </c>
      <c r="G165" t="inlineStr">
        <is>
          <t>HÖGSBY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10409-2023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44987</v>
      </c>
      <c r="E166" s="1" t="n">
        <v>46217</v>
      </c>
      <c r="F166" t="inlineStr">
        <is>
          <t>KALMAR LÄN</t>
        </is>
      </c>
      <c r="G166" t="inlineStr">
        <is>
          <t>HÖGSBY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38802-2024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45547</v>
      </c>
      <c r="E167" s="1" t="n">
        <v>46217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39629-2024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45552</v>
      </c>
      <c r="E168" s="1" t="n">
        <v>46217</v>
      </c>
      <c r="F168" t="inlineStr">
        <is>
          <t>KALMAR LÄN</t>
        </is>
      </c>
      <c r="G168" t="inlineStr">
        <is>
          <t>HÖGSBY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53108-2023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45228</v>
      </c>
      <c r="E169" s="1" t="n">
        <v>46217</v>
      </c>
      <c r="F169" t="inlineStr">
        <is>
          <t>KALMAR LÄN</t>
        </is>
      </c>
      <c r="G169" t="inlineStr">
        <is>
          <t>HÖGSBY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49338-2022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44861</v>
      </c>
      <c r="E170" s="1" t="n">
        <v>46217</v>
      </c>
      <c r="F170" t="inlineStr">
        <is>
          <t>KALMAR LÄN</t>
        </is>
      </c>
      <c r="G170" t="inlineStr">
        <is>
          <t>HÖGSBY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50946-2025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45946</v>
      </c>
      <c r="E171" s="1" t="n">
        <v>46217</v>
      </c>
      <c r="F171" t="inlineStr">
        <is>
          <t>KALMAR LÄN</t>
        </is>
      </c>
      <c r="G171" t="inlineStr">
        <is>
          <t>HÖGSBY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22544-2023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45071</v>
      </c>
      <c r="E172" s="1" t="n">
        <v>46217</v>
      </c>
      <c r="F172" t="inlineStr">
        <is>
          <t>KALMAR LÄN</t>
        </is>
      </c>
      <c r="G172" t="inlineStr">
        <is>
          <t>HÖGSBY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50947-2025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45946</v>
      </c>
      <c r="E173" s="1" t="n">
        <v>46217</v>
      </c>
      <c r="F173" t="inlineStr">
        <is>
          <t>KALMAR LÄN</t>
        </is>
      </c>
      <c r="G173" t="inlineStr">
        <is>
          <t>HÖGSBY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4821-2026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46217</v>
      </c>
      <c r="F174" t="inlineStr">
        <is>
          <t>KALMAR LÄN</t>
        </is>
      </c>
      <c r="G174" t="inlineStr">
        <is>
          <t>HÖGSBY</t>
        </is>
      </c>
      <c r="I174" t="n">
        <v>7.7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53327-2022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46217</v>
      </c>
      <c r="F175" t="inlineStr">
        <is>
          <t>KALMAR LÄN</t>
        </is>
      </c>
      <c r="G175" t="inlineStr">
        <is>
          <t>HÖGSBY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58050-2023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45247</v>
      </c>
      <c r="E176" s="1" t="n">
        <v>46217</v>
      </c>
      <c r="F176" t="inlineStr">
        <is>
          <t>KALMAR LÄN</t>
        </is>
      </c>
      <c r="G176" t="inlineStr">
        <is>
          <t>HÖGSBY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50950-2025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45946</v>
      </c>
      <c r="E177" s="1" t="n">
        <v>46217</v>
      </c>
      <c r="F177" t="inlineStr">
        <is>
          <t>KALMAR LÄN</t>
        </is>
      </c>
      <c r="G177" t="inlineStr">
        <is>
          <t>HÖGSBY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51720-2025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45950</v>
      </c>
      <c r="E178" s="1" t="n">
        <v>46217</v>
      </c>
      <c r="F178" t="inlineStr">
        <is>
          <t>KALMAR LÄN</t>
        </is>
      </c>
      <c r="G178" t="inlineStr">
        <is>
          <t>HÖGSBY</t>
        </is>
      </c>
      <c r="I178" t="n">
        <v>12.8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54238-2021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44470</v>
      </c>
      <c r="E179" s="1" t="n">
        <v>46217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14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16014-2025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45749</v>
      </c>
      <c r="E180" s="1" t="n">
        <v>46217</v>
      </c>
      <c r="F180" t="inlineStr">
        <is>
          <t>KALMAR LÄN</t>
        </is>
      </c>
      <c r="G180" t="inlineStr">
        <is>
          <t>HÖGSBY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56706-2023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45244</v>
      </c>
      <c r="E181" s="1" t="n">
        <v>46217</v>
      </c>
      <c r="F181" t="inlineStr">
        <is>
          <t>KALMAR LÄN</t>
        </is>
      </c>
      <c r="G181" t="inlineStr">
        <is>
          <t>HÖGSBY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62562-2022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44924</v>
      </c>
      <c r="E182" s="1" t="n">
        <v>46217</v>
      </c>
      <c r="F182" t="inlineStr">
        <is>
          <t>KALMAR LÄN</t>
        </is>
      </c>
      <c r="G182" t="inlineStr">
        <is>
          <t>HÖGSBY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52575-2025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45953</v>
      </c>
      <c r="E183" s="1" t="n">
        <v>46217</v>
      </c>
      <c r="F183" t="inlineStr">
        <is>
          <t>KALMAR LÄN</t>
        </is>
      </c>
      <c r="G183" t="inlineStr">
        <is>
          <t>HÖGSBY</t>
        </is>
      </c>
      <c r="H183" t="inlineStr">
        <is>
          <t>Kyrkan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35723-2024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46217</v>
      </c>
      <c r="F184" t="inlineStr">
        <is>
          <t>KALMAR LÄN</t>
        </is>
      </c>
      <c r="G184" t="inlineStr">
        <is>
          <t>HÖGSBY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63508-2025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46013</v>
      </c>
      <c r="E185" s="1" t="n">
        <v>46217</v>
      </c>
      <c r="F185" t="inlineStr">
        <is>
          <t>KALMAR LÄN</t>
        </is>
      </c>
      <c r="G185" t="inlineStr">
        <is>
          <t>HÖGSBY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49485-2022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44861</v>
      </c>
      <c r="E186" s="1" t="n">
        <v>46217</v>
      </c>
      <c r="F186" t="inlineStr">
        <is>
          <t>KALMAR LÄN</t>
        </is>
      </c>
      <c r="G186" t="inlineStr">
        <is>
          <t>HÖGSBY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52533-2025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46217</v>
      </c>
      <c r="F187" t="inlineStr">
        <is>
          <t>KALMAR LÄN</t>
        </is>
      </c>
      <c r="G187" t="inlineStr">
        <is>
          <t>HÖGSBY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52545-2025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46217</v>
      </c>
      <c r="F188" t="inlineStr">
        <is>
          <t>KALMAR LÄN</t>
        </is>
      </c>
      <c r="G188" t="inlineStr">
        <is>
          <t>HÖGSBY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39892-2024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45553</v>
      </c>
      <c r="E189" s="1" t="n">
        <v>46217</v>
      </c>
      <c r="F189" t="inlineStr">
        <is>
          <t>KALMAR LÄN</t>
        </is>
      </c>
      <c r="G189" t="inlineStr">
        <is>
          <t>HÖGSBY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44586</v>
      </c>
      <c r="E190" s="1" t="n">
        <v>46217</v>
      </c>
      <c r="F190" t="inlineStr">
        <is>
          <t>KALMAR LÄN</t>
        </is>
      </c>
      <c r="G190" t="inlineStr">
        <is>
          <t>HÖGSBY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63508-2025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46013</v>
      </c>
      <c r="E191" s="1" t="n">
        <v>46217</v>
      </c>
      <c r="F191" t="inlineStr">
        <is>
          <t>KALMAR LÄN</t>
        </is>
      </c>
      <c r="G191" t="inlineStr">
        <is>
          <t>HÖGSBY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9424-2023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44981</v>
      </c>
      <c r="E192" s="1" t="n">
        <v>46217</v>
      </c>
      <c r="F192" t="inlineStr">
        <is>
          <t>KALMAR LÄN</t>
        </is>
      </c>
      <c r="G192" t="inlineStr">
        <is>
          <t>HÖGSBY</t>
        </is>
      </c>
      <c r="H192" t="inlineStr">
        <is>
          <t>Övriga Aktiebolag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54735-2025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46217</v>
      </c>
      <c r="F193" t="inlineStr">
        <is>
          <t>KALMAR LÄN</t>
        </is>
      </c>
      <c r="G193" t="inlineStr">
        <is>
          <t>HÖGSBY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50414-2024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46217</v>
      </c>
      <c r="F194" t="inlineStr">
        <is>
          <t>KALMAR LÄN</t>
        </is>
      </c>
      <c r="G194" t="inlineStr">
        <is>
          <t>HÖGSBY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26109-2026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46181</v>
      </c>
      <c r="E195" s="1" t="n">
        <v>46217</v>
      </c>
      <c r="F195" t="inlineStr">
        <is>
          <t>KALMAR LÄN</t>
        </is>
      </c>
      <c r="G195" t="inlineStr">
        <is>
          <t>HÖGSBY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18099-2023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45040</v>
      </c>
      <c r="E196" s="1" t="n">
        <v>46217</v>
      </c>
      <c r="F196" t="inlineStr">
        <is>
          <t>KALMAR LÄN</t>
        </is>
      </c>
      <c r="G196" t="inlineStr">
        <is>
          <t>HÖGSBY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26760-2026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46217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59281-2022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44904</v>
      </c>
      <c r="E198" s="1" t="n">
        <v>46217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26752-2026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46184</v>
      </c>
      <c r="E199" s="1" t="n">
        <v>46217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56353-2025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46217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44939</v>
      </c>
      <c r="E201" s="1" t="n">
        <v>46217</v>
      </c>
      <c r="F201" t="inlineStr">
        <is>
          <t>KALMAR LÄN</t>
        </is>
      </c>
      <c r="G201" t="inlineStr">
        <is>
          <t>HÖGSBY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50367-2022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44866</v>
      </c>
      <c r="E202" s="1" t="n">
        <v>46217</v>
      </c>
      <c r="F202" t="inlineStr">
        <is>
          <t>KALMAR LÄN</t>
        </is>
      </c>
      <c r="G202" t="inlineStr">
        <is>
          <t>HÖGSBY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37811-2024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45544</v>
      </c>
      <c r="E203" s="1" t="n">
        <v>46217</v>
      </c>
      <c r="F203" t="inlineStr">
        <is>
          <t>KALMAR LÄN</t>
        </is>
      </c>
      <c r="G203" t="inlineStr">
        <is>
          <t>HÖGSBY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28648-2023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45103</v>
      </c>
      <c r="E204" s="1" t="n">
        <v>46217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57168-2025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45979</v>
      </c>
      <c r="E205" s="1" t="n">
        <v>46217</v>
      </c>
      <c r="F205" t="inlineStr">
        <is>
          <t>KALMAR LÄN</t>
        </is>
      </c>
      <c r="G205" t="inlineStr">
        <is>
          <t>HÖGSBY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58017-2025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45982</v>
      </c>
      <c r="E206" s="1" t="n">
        <v>46217</v>
      </c>
      <c r="F206" t="inlineStr">
        <is>
          <t>KALMAR LÄN</t>
        </is>
      </c>
      <c r="G206" t="inlineStr">
        <is>
          <t>HÖGSBY</t>
        </is>
      </c>
      <c r="H206" t="inlineStr">
        <is>
          <t>Sveaskog</t>
        </is>
      </c>
      <c r="I206" t="n">
        <v>8.4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26764-2026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46184</v>
      </c>
      <c r="E207" s="1" t="n">
        <v>46217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30490-2023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45111</v>
      </c>
      <c r="E208" s="1" t="n">
        <v>46217</v>
      </c>
      <c r="F208" t="inlineStr">
        <is>
          <t>KALMAR LÄN</t>
        </is>
      </c>
      <c r="G208" t="inlineStr">
        <is>
          <t>HÖGSBY</t>
        </is>
      </c>
      <c r="I208" t="n">
        <v>12.1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6597-2024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45341</v>
      </c>
      <c r="E209" s="1" t="n">
        <v>46217</v>
      </c>
      <c r="F209" t="inlineStr">
        <is>
          <t>KALMAR LÄN</t>
        </is>
      </c>
      <c r="G209" t="inlineStr">
        <is>
          <t>HÖGSBY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26757-2026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46184</v>
      </c>
      <c r="E210" s="1" t="n">
        <v>46217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26967-2026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46185</v>
      </c>
      <c r="E211" s="1" t="n">
        <v>46217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27365-2026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46184</v>
      </c>
      <c r="E212" s="1" t="n">
        <v>46217</v>
      </c>
      <c r="F212" t="inlineStr">
        <is>
          <t>KALMAR LÄN</t>
        </is>
      </c>
      <c r="G212" t="inlineStr">
        <is>
          <t>HÖGSBY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27367-2026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46184</v>
      </c>
      <c r="E213" s="1" t="n">
        <v>46217</v>
      </c>
      <c r="F213" t="inlineStr">
        <is>
          <t>KALMAR LÄN</t>
        </is>
      </c>
      <c r="G213" t="inlineStr">
        <is>
          <t>HÖGSBY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26963-2026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46185</v>
      </c>
      <c r="E214" s="1" t="n">
        <v>46217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8.699999999999999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27689-2026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46188</v>
      </c>
      <c r="E215" s="1" t="n">
        <v>46217</v>
      </c>
      <c r="F215" t="inlineStr">
        <is>
          <t>KALMAR LÄN</t>
        </is>
      </c>
      <c r="G215" t="inlineStr">
        <is>
          <t>HÖGSBY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21801-2026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46150</v>
      </c>
      <c r="E216" s="1" t="n">
        <v>46217</v>
      </c>
      <c r="F216" t="inlineStr">
        <is>
          <t>KALMAR LÄN</t>
        </is>
      </c>
      <c r="G216" t="inlineStr">
        <is>
          <t>HÖGSBY</t>
        </is>
      </c>
      <c r="H216" t="inlineStr">
        <is>
          <t>Kommuner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27812-2026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46217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8.5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17216-2023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45034</v>
      </c>
      <c r="E218" s="1" t="n">
        <v>46217</v>
      </c>
      <c r="F218" t="inlineStr">
        <is>
          <t>KALMAR LÄN</t>
        </is>
      </c>
      <c r="G218" t="inlineStr">
        <is>
          <t>HÖGSBY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59109-2025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45988</v>
      </c>
      <c r="E219" s="1" t="n">
        <v>46217</v>
      </c>
      <c r="F219" t="inlineStr">
        <is>
          <t>KALMAR LÄN</t>
        </is>
      </c>
      <c r="G219" t="inlineStr">
        <is>
          <t>HÖGSBY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27830-2023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45093</v>
      </c>
      <c r="E220" s="1" t="n">
        <v>46217</v>
      </c>
      <c r="F220" t="inlineStr">
        <is>
          <t>KALMAR LÄN</t>
        </is>
      </c>
      <c r="G220" t="inlineStr">
        <is>
          <t>HÖGSBY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59409-2022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44907</v>
      </c>
      <c r="E221" s="1" t="n">
        <v>46217</v>
      </c>
      <c r="F221" t="inlineStr">
        <is>
          <t>KALMAR LÄN</t>
        </is>
      </c>
      <c r="G221" t="inlineStr">
        <is>
          <t>HÖGSBY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56339-2024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45624</v>
      </c>
      <c r="E222" s="1" t="n">
        <v>46217</v>
      </c>
      <c r="F222" t="inlineStr">
        <is>
          <t>KALMAR LÄN</t>
        </is>
      </c>
      <c r="G222" t="inlineStr">
        <is>
          <t>HÖGSBY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60266-2025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46217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1768-2024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45307</v>
      </c>
      <c r="E224" s="1" t="n">
        <v>46217</v>
      </c>
      <c r="F224" t="inlineStr">
        <is>
          <t>KALMAR LÄN</t>
        </is>
      </c>
      <c r="G224" t="inlineStr">
        <is>
          <t>HÖGSBY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31429-2023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45114</v>
      </c>
      <c r="E225" s="1" t="n">
        <v>46217</v>
      </c>
      <c r="F225" t="inlineStr">
        <is>
          <t>KALMAR LÄN</t>
        </is>
      </c>
      <c r="G225" t="inlineStr">
        <is>
          <t>HÖGSBY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60555-2021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44496</v>
      </c>
      <c r="E226" s="1" t="n">
        <v>46217</v>
      </c>
      <c r="F226" t="inlineStr">
        <is>
          <t>KALMAR LÄN</t>
        </is>
      </c>
      <c r="G226" t="inlineStr">
        <is>
          <t>HÖGSBY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61030-2025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46217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61031-2025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46217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18.4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13308-2024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46217</v>
      </c>
      <c r="F229" t="inlineStr">
        <is>
          <t>KALMAR LÄN</t>
        </is>
      </c>
      <c r="G229" t="inlineStr">
        <is>
          <t>HÖGSBY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61490-2025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46001</v>
      </c>
      <c r="E230" s="1" t="n">
        <v>46217</v>
      </c>
      <c r="F230" t="inlineStr">
        <is>
          <t>KALMAR LÄN</t>
        </is>
      </c>
      <c r="G230" t="inlineStr">
        <is>
          <t>HÖGSBY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61484-2025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46217</v>
      </c>
      <c r="F231" t="inlineStr">
        <is>
          <t>KALMAR LÄN</t>
        </is>
      </c>
      <c r="G231" t="inlineStr">
        <is>
          <t>HÖGSBY</t>
        </is>
      </c>
      <c r="I231" t="n">
        <v>9.4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46329-2024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45581</v>
      </c>
      <c r="E232" s="1" t="n">
        <v>46217</v>
      </c>
      <c r="F232" t="inlineStr">
        <is>
          <t>KALMAR LÄN</t>
        </is>
      </c>
      <c r="G232" t="inlineStr">
        <is>
          <t>HÖGSBY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28160-2026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46195</v>
      </c>
      <c r="E233" s="1" t="n">
        <v>46217</v>
      </c>
      <c r="F233" t="inlineStr">
        <is>
          <t>KALMAR LÄN</t>
        </is>
      </c>
      <c r="G233" t="inlineStr">
        <is>
          <t>HÖGSBY</t>
        </is>
      </c>
      <c r="H233" t="inlineStr">
        <is>
          <t>Kommuner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61021-2025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46217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61481-2025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46217</v>
      </c>
      <c r="F235" t="inlineStr">
        <is>
          <t>KALMAR LÄN</t>
        </is>
      </c>
      <c r="G235" t="inlineStr">
        <is>
          <t>HÖGSBY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20770-2023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45058</v>
      </c>
      <c r="E236" s="1" t="n">
        <v>46217</v>
      </c>
      <c r="F236" t="inlineStr">
        <is>
          <t>KALMAR LÄN</t>
        </is>
      </c>
      <c r="G236" t="inlineStr">
        <is>
          <t>HÖGSBY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73709-2021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44552</v>
      </c>
      <c r="E237" s="1" t="n">
        <v>46217</v>
      </c>
      <c r="F237" t="inlineStr">
        <is>
          <t>KALMAR LÄN</t>
        </is>
      </c>
      <c r="G237" t="inlineStr">
        <is>
          <t>HÖGSBY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61028-2025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46217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14273-2024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45393</v>
      </c>
      <c r="E239" s="1" t="n">
        <v>46217</v>
      </c>
      <c r="F239" t="inlineStr">
        <is>
          <t>KALMAR LÄN</t>
        </is>
      </c>
      <c r="G239" t="inlineStr">
        <is>
          <t>HÖGSBY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61029-2025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46217</v>
      </c>
      <c r="F240" t="inlineStr">
        <is>
          <t>KALMAR LÄN</t>
        </is>
      </c>
      <c r="G240" t="inlineStr">
        <is>
          <t>HÖGSBY</t>
        </is>
      </c>
      <c r="H240" t="inlineStr">
        <is>
          <t>Sveaskog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38600-2024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45546</v>
      </c>
      <c r="E241" s="1" t="n">
        <v>46217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7599-2024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45348</v>
      </c>
      <c r="E242" s="1" t="n">
        <v>46217</v>
      </c>
      <c r="F242" t="inlineStr">
        <is>
          <t>KALMAR LÄN</t>
        </is>
      </c>
      <c r="G242" t="inlineStr">
        <is>
          <t>HÖGSBY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62720-2025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46008</v>
      </c>
      <c r="E243" s="1" t="n">
        <v>46217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62722-2025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46008</v>
      </c>
      <c r="E244" s="1" t="n">
        <v>46217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8463-2023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44972</v>
      </c>
      <c r="E245" s="1" t="n">
        <v>46217</v>
      </c>
      <c r="F245" t="inlineStr">
        <is>
          <t>KALMAR LÄN</t>
        </is>
      </c>
      <c r="G245" t="inlineStr">
        <is>
          <t>HÖGSBY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28265-2026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46196</v>
      </c>
      <c r="E246" s="1" t="n">
        <v>46217</v>
      </c>
      <c r="F246" t="inlineStr">
        <is>
          <t>KALMAR LÄN</t>
        </is>
      </c>
      <c r="G246" t="inlineStr">
        <is>
          <t>HÖGSBY</t>
        </is>
      </c>
      <c r="H246" t="inlineStr">
        <is>
          <t>Kommuner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62563-2025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46217</v>
      </c>
      <c r="F247" t="inlineStr">
        <is>
          <t>KALMAR LÄN</t>
        </is>
      </c>
      <c r="G247" t="inlineStr">
        <is>
          <t>HÖGSBY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9592-2024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45360</v>
      </c>
      <c r="E248" s="1" t="n">
        <v>46217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62918-2025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46009</v>
      </c>
      <c r="E249" s="1" t="n">
        <v>46217</v>
      </c>
      <c r="F249" t="inlineStr">
        <is>
          <t>KALMAR LÄN</t>
        </is>
      </c>
      <c r="G249" t="inlineStr">
        <is>
          <t>HÖGSBY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28808-2026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46198</v>
      </c>
      <c r="E250" s="1" t="n">
        <v>46217</v>
      </c>
      <c r="F250" t="inlineStr">
        <is>
          <t>KALMAR LÄN</t>
        </is>
      </c>
      <c r="G250" t="inlineStr">
        <is>
          <t>HÖGSBY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28815-2026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46198</v>
      </c>
      <c r="E251" s="1" t="n">
        <v>46217</v>
      </c>
      <c r="F251" t="inlineStr">
        <is>
          <t>KALMAR LÄN</t>
        </is>
      </c>
      <c r="G251" t="inlineStr">
        <is>
          <t>HÖGSBY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28830-2026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46198</v>
      </c>
      <c r="E252" s="1" t="n">
        <v>46217</v>
      </c>
      <c r="F252" t="inlineStr">
        <is>
          <t>KALMAR LÄN</t>
        </is>
      </c>
      <c r="G252" t="inlineStr">
        <is>
          <t>HÖGSBY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9700-2023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46217</v>
      </c>
      <c r="F253" t="inlineStr">
        <is>
          <t>KALMAR LÄN</t>
        </is>
      </c>
      <c r="G253" t="inlineStr">
        <is>
          <t>HÖGSBY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28573-2026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46197</v>
      </c>
      <c r="E254" s="1" t="n">
        <v>46217</v>
      </c>
      <c r="F254" t="inlineStr">
        <is>
          <t>KALMAR LÄN</t>
        </is>
      </c>
      <c r="G254" t="inlineStr">
        <is>
          <t>HÖGSBY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28574-2026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46197</v>
      </c>
      <c r="E255" s="1" t="n">
        <v>46217</v>
      </c>
      <c r="F255" t="inlineStr">
        <is>
          <t>KALMAR LÄN</t>
        </is>
      </c>
      <c r="G255" t="inlineStr">
        <is>
          <t>HÖGSBY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28691-2026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46198</v>
      </c>
      <c r="E256" s="1" t="n">
        <v>46217</v>
      </c>
      <c r="F256" t="inlineStr">
        <is>
          <t>KALMAR LÄN</t>
        </is>
      </c>
      <c r="G256" t="inlineStr">
        <is>
          <t>HÖGSBY</t>
        </is>
      </c>
      <c r="H256" t="inlineStr">
        <is>
          <t>Sveaskog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63483-2025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46013</v>
      </c>
      <c r="E257" s="1" t="n">
        <v>46217</v>
      </c>
      <c r="F257" t="inlineStr">
        <is>
          <t>KALMAR LÄN</t>
        </is>
      </c>
      <c r="G257" t="inlineStr">
        <is>
          <t>HÖGSBY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28634-2026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46198</v>
      </c>
      <c r="E258" s="1" t="n">
        <v>46217</v>
      </c>
      <c r="F258" t="inlineStr">
        <is>
          <t>KALMAR LÄN</t>
        </is>
      </c>
      <c r="G258" t="inlineStr">
        <is>
          <t>HÖGSBY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41479-2023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45175</v>
      </c>
      <c r="E259" s="1" t="n">
        <v>46217</v>
      </c>
      <c r="F259" t="inlineStr">
        <is>
          <t>KALMAR LÄN</t>
        </is>
      </c>
      <c r="G259" t="inlineStr">
        <is>
          <t>HÖGSBY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53501-2024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45614</v>
      </c>
      <c r="E260" s="1" t="n">
        <v>46217</v>
      </c>
      <c r="F260" t="inlineStr">
        <is>
          <t>KALMAR LÄN</t>
        </is>
      </c>
      <c r="G260" t="inlineStr">
        <is>
          <t>HÖGSBY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35087-2023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45145</v>
      </c>
      <c r="E261" s="1" t="n">
        <v>46217</v>
      </c>
      <c r="F261" t="inlineStr">
        <is>
          <t>KALMAR LÄN</t>
        </is>
      </c>
      <c r="G261" t="inlineStr">
        <is>
          <t>HÖGSBY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10413-2023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44987</v>
      </c>
      <c r="E262" s="1" t="n">
        <v>46217</v>
      </c>
      <c r="F262" t="inlineStr">
        <is>
          <t>KALMAR LÄN</t>
        </is>
      </c>
      <c r="G262" t="inlineStr">
        <is>
          <t>HÖGSBY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11343-2023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44993</v>
      </c>
      <c r="E263" s="1" t="n">
        <v>46217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28692-2026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46198</v>
      </c>
      <c r="E264" s="1" t="n">
        <v>46217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28697-2026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46198</v>
      </c>
      <c r="E265" s="1" t="n">
        <v>46217</v>
      </c>
      <c r="F265" t="inlineStr">
        <is>
          <t>KALMAR LÄN</t>
        </is>
      </c>
      <c r="G265" t="inlineStr">
        <is>
          <t>HÖGSBY</t>
        </is>
      </c>
      <c r="H265" t="inlineStr">
        <is>
          <t>Sveaskog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47443-2025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45930</v>
      </c>
      <c r="E266" s="1" t="n">
        <v>46217</v>
      </c>
      <c r="F266" t="inlineStr">
        <is>
          <t>KALMAR LÄN</t>
        </is>
      </c>
      <c r="G266" t="inlineStr">
        <is>
          <t>HÖGSBY</t>
        </is>
      </c>
      <c r="H266" t="inlineStr">
        <is>
          <t>Kyrkan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38520-2023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45162</v>
      </c>
      <c r="E267" s="1" t="n">
        <v>46217</v>
      </c>
      <c r="F267" t="inlineStr">
        <is>
          <t>KALMAR LÄN</t>
        </is>
      </c>
      <c r="G267" t="inlineStr">
        <is>
          <t>HÖGSBY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7680-2024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45348</v>
      </c>
      <c r="E268" s="1" t="n">
        <v>46217</v>
      </c>
      <c r="F268" t="inlineStr">
        <is>
          <t>KALMAR LÄN</t>
        </is>
      </c>
      <c r="G268" t="inlineStr">
        <is>
          <t>HÖGSBY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28702-2026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46198</v>
      </c>
      <c r="E269" s="1" t="n">
        <v>46217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55703-2023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45239</v>
      </c>
      <c r="E270" s="1" t="n">
        <v>46217</v>
      </c>
      <c r="F270" t="inlineStr">
        <is>
          <t>KALMAR LÄN</t>
        </is>
      </c>
      <c r="G270" t="inlineStr">
        <is>
          <t>HÖGSBY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47859-2023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45204</v>
      </c>
      <c r="E271" s="1" t="n">
        <v>46217</v>
      </c>
      <c r="F271" t="inlineStr">
        <is>
          <t>KALMAR LÄN</t>
        </is>
      </c>
      <c r="G271" t="inlineStr">
        <is>
          <t>HÖGSBY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2527-2026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46037</v>
      </c>
      <c r="E272" s="1" t="n">
        <v>46217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28713-2026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46198</v>
      </c>
      <c r="E273" s="1" t="n">
        <v>46217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22562-2026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46155</v>
      </c>
      <c r="E274" s="1" t="n">
        <v>46217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22564-2026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46155</v>
      </c>
      <c r="E275" s="1" t="n">
        <v>46217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29038-2026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46199</v>
      </c>
      <c r="E276" s="1" t="n">
        <v>46217</v>
      </c>
      <c r="F276" t="inlineStr">
        <is>
          <t>KALMAR LÄN</t>
        </is>
      </c>
      <c r="G276" t="inlineStr">
        <is>
          <t>HÖGSBY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46038</v>
      </c>
      <c r="E277" s="1" t="n">
        <v>46217</v>
      </c>
      <c r="F277" t="inlineStr">
        <is>
          <t>KALMAR LÄN</t>
        </is>
      </c>
      <c r="G277" t="inlineStr">
        <is>
          <t>HÖGSBY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22757-2026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46157</v>
      </c>
      <c r="E278" s="1" t="n">
        <v>46217</v>
      </c>
      <c r="F278" t="inlineStr">
        <is>
          <t>KALMAR LÄN</t>
        </is>
      </c>
      <c r="G278" t="inlineStr">
        <is>
          <t>HÖGSBY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7325-2025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45702</v>
      </c>
      <c r="E279" s="1" t="n">
        <v>46217</v>
      </c>
      <c r="F279" t="inlineStr">
        <is>
          <t>KALMAR LÄN</t>
        </is>
      </c>
      <c r="G279" t="inlineStr">
        <is>
          <t>HÖGSBY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10704-2022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44625</v>
      </c>
      <c r="E280" s="1" t="n">
        <v>46217</v>
      </c>
      <c r="F280" t="inlineStr">
        <is>
          <t>KALMAR LÄN</t>
        </is>
      </c>
      <c r="G280" t="inlineStr">
        <is>
          <t>HÖGSBY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10706-2022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44625</v>
      </c>
      <c r="E281" s="1" t="n">
        <v>46217</v>
      </c>
      <c r="F281" t="inlineStr">
        <is>
          <t>KALMAR LÄN</t>
        </is>
      </c>
      <c r="G281" t="inlineStr">
        <is>
          <t>HÖGSBY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28899-2026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46199</v>
      </c>
      <c r="E282" s="1" t="n">
        <v>46217</v>
      </c>
      <c r="F282" t="inlineStr">
        <is>
          <t>KALMAR LÄN</t>
        </is>
      </c>
      <c r="G282" t="inlineStr">
        <is>
          <t>HÖGSBY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22755-2026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46157</v>
      </c>
      <c r="E283" s="1" t="n">
        <v>46217</v>
      </c>
      <c r="F283" t="inlineStr">
        <is>
          <t>KALMAR LÄN</t>
        </is>
      </c>
      <c r="G283" t="inlineStr">
        <is>
          <t>HÖGSBY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29206-2026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46202</v>
      </c>
      <c r="E284" s="1" t="n">
        <v>46217</v>
      </c>
      <c r="F284" t="inlineStr">
        <is>
          <t>KALMAR LÄN</t>
        </is>
      </c>
      <c r="G284" t="inlineStr">
        <is>
          <t>HÖGSBY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47503-2023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45203</v>
      </c>
      <c r="E285" s="1" t="n">
        <v>46217</v>
      </c>
      <c r="F285" t="inlineStr">
        <is>
          <t>KALMAR LÄN</t>
        </is>
      </c>
      <c r="G285" t="inlineStr">
        <is>
          <t>HÖGSBY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40990-2023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45173</v>
      </c>
      <c r="E286" s="1" t="n">
        <v>46217</v>
      </c>
      <c r="F286" t="inlineStr">
        <is>
          <t>KALMAR LÄN</t>
        </is>
      </c>
      <c r="G286" t="inlineStr">
        <is>
          <t>HÖGSBY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28901-2026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46199</v>
      </c>
      <c r="E287" s="1" t="n">
        <v>46217</v>
      </c>
      <c r="F287" t="inlineStr">
        <is>
          <t>KALMAR LÄN</t>
        </is>
      </c>
      <c r="G287" t="inlineStr">
        <is>
          <t>HÖGSBY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45650-2023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45194</v>
      </c>
      <c r="E288" s="1" t="n">
        <v>46217</v>
      </c>
      <c r="F288" t="inlineStr">
        <is>
          <t>KALMAR LÄN</t>
        </is>
      </c>
      <c r="G288" t="inlineStr">
        <is>
          <t>HÖGSBY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40155-2023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46217</v>
      </c>
      <c r="F289" t="inlineStr">
        <is>
          <t>KALMAR LÄN</t>
        </is>
      </c>
      <c r="G289" t="inlineStr">
        <is>
          <t>HÖGSBY</t>
        </is>
      </c>
      <c r="H289" t="inlineStr">
        <is>
          <t>Kommuner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23209-2026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46162</v>
      </c>
      <c r="E290" s="1" t="n">
        <v>46217</v>
      </c>
      <c r="F290" t="inlineStr">
        <is>
          <t>KALMAR LÄN</t>
        </is>
      </c>
      <c r="G290" t="inlineStr">
        <is>
          <t>HÖGSBY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7166-2026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46217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7443-2026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46059</v>
      </c>
      <c r="E292" s="1" t="n">
        <v>46217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7.7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38797-2024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45547</v>
      </c>
      <c r="E293" s="1" t="n">
        <v>46217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59581-2024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46217</v>
      </c>
      <c r="F294" t="inlineStr">
        <is>
          <t>KALMAR LÄN</t>
        </is>
      </c>
      <c r="G294" t="inlineStr">
        <is>
          <t>HÖGSBY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25861-2023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45090</v>
      </c>
      <c r="E295" s="1" t="n">
        <v>46217</v>
      </c>
      <c r="F295" t="inlineStr">
        <is>
          <t>KALMAR LÄN</t>
        </is>
      </c>
      <c r="G295" t="inlineStr">
        <is>
          <t>HÖGSBY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25876-2023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45090</v>
      </c>
      <c r="E296" s="1" t="n">
        <v>46217</v>
      </c>
      <c r="F296" t="inlineStr">
        <is>
          <t>KALMAR LÄN</t>
        </is>
      </c>
      <c r="G296" t="inlineStr">
        <is>
          <t>HÖGSBY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38285-2023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45160</v>
      </c>
      <c r="E297" s="1" t="n">
        <v>46217</v>
      </c>
      <c r="F297" t="inlineStr">
        <is>
          <t>KALMAR LÄN</t>
        </is>
      </c>
      <c r="G297" t="inlineStr">
        <is>
          <t>HÖGSBY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17185-2022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44677</v>
      </c>
      <c r="E298" s="1" t="n">
        <v>46217</v>
      </c>
      <c r="F298" t="inlineStr">
        <is>
          <t>KALMAR LÄN</t>
        </is>
      </c>
      <c r="G298" t="inlineStr">
        <is>
          <t>HÖGSBY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44865-2023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45190</v>
      </c>
      <c r="E299" s="1" t="n">
        <v>46217</v>
      </c>
      <c r="F299" t="inlineStr">
        <is>
          <t>KALMAR LÄN</t>
        </is>
      </c>
      <c r="G299" t="inlineStr">
        <is>
          <t>HÖGSBY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6819-2025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45700</v>
      </c>
      <c r="E300" s="1" t="n">
        <v>46217</v>
      </c>
      <c r="F300" t="inlineStr">
        <is>
          <t>KALMAR LÄN</t>
        </is>
      </c>
      <c r="G300" t="inlineStr">
        <is>
          <t>HÖGSBY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6828-2025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45700</v>
      </c>
      <c r="E301" s="1" t="n">
        <v>46217</v>
      </c>
      <c r="F301" t="inlineStr">
        <is>
          <t>KALMAR LÄN</t>
        </is>
      </c>
      <c r="G301" t="inlineStr">
        <is>
          <t>HÖGSBY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27916-2023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45093</v>
      </c>
      <c r="E302" s="1" t="n">
        <v>46217</v>
      </c>
      <c r="F302" t="inlineStr">
        <is>
          <t>KALMAR LÄN</t>
        </is>
      </c>
      <c r="G302" t="inlineStr">
        <is>
          <t>HÖGSBY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54483-2022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44882</v>
      </c>
      <c r="E303" s="1" t="n">
        <v>46217</v>
      </c>
      <c r="F303" t="inlineStr">
        <is>
          <t>KALMAR LÄN</t>
        </is>
      </c>
      <c r="G303" t="inlineStr">
        <is>
          <t>HÖGSBY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23116-2026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46161</v>
      </c>
      <c r="E304" s="1" t="n">
        <v>46217</v>
      </c>
      <c r="F304" t="inlineStr">
        <is>
          <t>KALMAR LÄN</t>
        </is>
      </c>
      <c r="G304" t="inlineStr">
        <is>
          <t>HÖGSBY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58045-2023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45247</v>
      </c>
      <c r="E305" s="1" t="n">
        <v>46217</v>
      </c>
      <c r="F305" t="inlineStr">
        <is>
          <t>KALMAR LÄN</t>
        </is>
      </c>
      <c r="G305" t="inlineStr">
        <is>
          <t>HÖGSBY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11029-2026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46079</v>
      </c>
      <c r="E306" s="1" t="n">
        <v>46217</v>
      </c>
      <c r="F306" t="inlineStr">
        <is>
          <t>KALMAR LÄN</t>
        </is>
      </c>
      <c r="G306" t="inlineStr">
        <is>
          <t>HÖGSBY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35047-2023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45145</v>
      </c>
      <c r="E307" s="1" t="n">
        <v>46217</v>
      </c>
      <c r="F307" t="inlineStr">
        <is>
          <t>KALMAR LÄN</t>
        </is>
      </c>
      <c r="G307" t="inlineStr">
        <is>
          <t>HÖGSBY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63379-2023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45274</v>
      </c>
      <c r="E308" s="1" t="n">
        <v>46217</v>
      </c>
      <c r="F308" t="inlineStr">
        <is>
          <t>KALMAR LÄN</t>
        </is>
      </c>
      <c r="G308" t="inlineStr">
        <is>
          <t>HÖGSBY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36909-2023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45154</v>
      </c>
      <c r="E309" s="1" t="n">
        <v>46217</v>
      </c>
      <c r="F309" t="inlineStr">
        <is>
          <t>KALMAR LÄN</t>
        </is>
      </c>
      <c r="G309" t="inlineStr">
        <is>
          <t>HÖGSBY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30166-2026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46206</v>
      </c>
      <c r="E310" s="1" t="n">
        <v>46217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12.7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30180-2026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46206</v>
      </c>
      <c r="E311" s="1" t="n">
        <v>46217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10.7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30156-2026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46206</v>
      </c>
      <c r="E312" s="1" t="n">
        <v>46217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30162-2026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46206</v>
      </c>
      <c r="E313" s="1" t="n">
        <v>46217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30294-2022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44760</v>
      </c>
      <c r="E314" s="1" t="n">
        <v>46217</v>
      </c>
      <c r="F314" t="inlineStr">
        <is>
          <t>KALMAR LÄN</t>
        </is>
      </c>
      <c r="G314" t="inlineStr">
        <is>
          <t>HÖGSBY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30157-2026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46206</v>
      </c>
      <c r="E315" s="1" t="n">
        <v>46217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60446-2023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45259</v>
      </c>
      <c r="E316" s="1" t="n">
        <v>46217</v>
      </c>
      <c r="F316" t="inlineStr">
        <is>
          <t>KALMAR LÄN</t>
        </is>
      </c>
      <c r="G316" t="inlineStr">
        <is>
          <t>HÖGSBY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13098-2026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46093</v>
      </c>
      <c r="E317" s="1" t="n">
        <v>46217</v>
      </c>
      <c r="F317" t="inlineStr">
        <is>
          <t>KALMAR LÄN</t>
        </is>
      </c>
      <c r="G317" t="inlineStr">
        <is>
          <t>HÖGSBY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10405-2025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45720</v>
      </c>
      <c r="E318" s="1" t="n">
        <v>46217</v>
      </c>
      <c r="F318" t="inlineStr">
        <is>
          <t>KALMAR LÄN</t>
        </is>
      </c>
      <c r="G318" t="inlineStr">
        <is>
          <t>HÖGSBY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30291-2026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46206</v>
      </c>
      <c r="E319" s="1" t="n">
        <v>46217</v>
      </c>
      <c r="F319" t="inlineStr">
        <is>
          <t>KALMAR LÄN</t>
        </is>
      </c>
      <c r="G319" t="inlineStr">
        <is>
          <t>HÖGSBY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23937-2026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46167</v>
      </c>
      <c r="E320" s="1" t="n">
        <v>46217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14894-2025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45743</v>
      </c>
      <c r="E321" s="1" t="n">
        <v>46217</v>
      </c>
      <c r="F321" t="inlineStr">
        <is>
          <t>KALMAR LÄN</t>
        </is>
      </c>
      <c r="G321" t="inlineStr">
        <is>
          <t>HÖGSBY</t>
        </is>
      </c>
      <c r="H321" t="inlineStr">
        <is>
          <t>Kommuner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45306</v>
      </c>
      <c r="E322" s="1" t="n">
        <v>46217</v>
      </c>
      <c r="F322" t="inlineStr">
        <is>
          <t>KALMAR LÄN</t>
        </is>
      </c>
      <c r="G322" t="inlineStr">
        <is>
          <t>HÖGSBY</t>
        </is>
      </c>
      <c r="H322" t="inlineStr">
        <is>
          <t>Övriga Aktiebolag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15864-2026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46107</v>
      </c>
      <c r="E323" s="1" t="n">
        <v>46217</v>
      </c>
      <c r="F323" t="inlineStr">
        <is>
          <t>KALMAR LÄN</t>
        </is>
      </c>
      <c r="G323" t="inlineStr">
        <is>
          <t>HÖGSBY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16342-2026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46111</v>
      </c>
      <c r="E324" s="1" t="n">
        <v>46217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16207-2026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46111</v>
      </c>
      <c r="E325" s="1" t="n">
        <v>46217</v>
      </c>
      <c r="F325" t="inlineStr">
        <is>
          <t>KALMAR LÄN</t>
        </is>
      </c>
      <c r="G325" t="inlineStr">
        <is>
          <t>HÖGSBY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74478-2021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44559</v>
      </c>
      <c r="E326" s="1" t="n">
        <v>46217</v>
      </c>
      <c r="F326" t="inlineStr">
        <is>
          <t>KALMAR LÄN</t>
        </is>
      </c>
      <c r="G326" t="inlineStr">
        <is>
          <t>HÖGSBY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17090-2026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46114</v>
      </c>
      <c r="E327" s="1" t="n">
        <v>46217</v>
      </c>
      <c r="F327" t="inlineStr">
        <is>
          <t>KALMAR LÄN</t>
        </is>
      </c>
      <c r="G327" t="inlineStr">
        <is>
          <t>HÖGSBY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24417-2026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46169</v>
      </c>
      <c r="E328" s="1" t="n">
        <v>46217</v>
      </c>
      <c r="F328" t="inlineStr">
        <is>
          <t>KALMAR LÄN</t>
        </is>
      </c>
      <c r="G328" t="inlineStr">
        <is>
          <t>HÖGSBY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17934-2026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46122</v>
      </c>
      <c r="E329" s="1" t="n">
        <v>46217</v>
      </c>
      <c r="F329" t="inlineStr">
        <is>
          <t>KALMAR LÄN</t>
        </is>
      </c>
      <c r="G329" t="inlineStr">
        <is>
          <t>HÖGSBY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17953-2026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46122</v>
      </c>
      <c r="E330" s="1" t="n">
        <v>46217</v>
      </c>
      <c r="F330" t="inlineStr">
        <is>
          <t>KALMAR LÄN</t>
        </is>
      </c>
      <c r="G330" t="inlineStr">
        <is>
          <t>HÖGSBY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56705-2023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45244</v>
      </c>
      <c r="E331" s="1" t="n">
        <v>46217</v>
      </c>
      <c r="F331" t="inlineStr">
        <is>
          <t>KALMAR LÄN</t>
        </is>
      </c>
      <c r="G331" t="inlineStr">
        <is>
          <t>HÖGSBY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38824-2024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45547</v>
      </c>
      <c r="E332" s="1" t="n">
        <v>46217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4931-2024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45329</v>
      </c>
      <c r="E333" s="1" t="n">
        <v>46217</v>
      </c>
      <c r="F333" t="inlineStr">
        <is>
          <t>KALMAR LÄN</t>
        </is>
      </c>
      <c r="G333" t="inlineStr">
        <is>
          <t>HÖGSBY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25355-2026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46176</v>
      </c>
      <c r="E334" s="1" t="n">
        <v>46217</v>
      </c>
      <c r="F334" t="inlineStr">
        <is>
          <t>KALMAR LÄN</t>
        </is>
      </c>
      <c r="G334" t="inlineStr">
        <is>
          <t>HÖGSBY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24893-2026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46174</v>
      </c>
      <c r="E335" s="1" t="n">
        <v>46217</v>
      </c>
      <c r="F335" t="inlineStr">
        <is>
          <t>KALMAR LÄN</t>
        </is>
      </c>
      <c r="G335" t="inlineStr">
        <is>
          <t>HÖGSBY</t>
        </is>
      </c>
      <c r="H335" t="inlineStr">
        <is>
          <t>Kommuner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49486-2022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44861</v>
      </c>
      <c r="E336" s="1" t="n">
        <v>46217</v>
      </c>
      <c r="F336" t="inlineStr">
        <is>
          <t>KALMAR LÄN</t>
        </is>
      </c>
      <c r="G336" t="inlineStr">
        <is>
          <t>HÖGSBY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25352-2026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46176</v>
      </c>
      <c r="E337" s="1" t="n">
        <v>46217</v>
      </c>
      <c r="F337" t="inlineStr">
        <is>
          <t>KALMAR LÄN</t>
        </is>
      </c>
      <c r="G337" t="inlineStr">
        <is>
          <t>HÖGSBY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24601-2024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45460</v>
      </c>
      <c r="E338" s="1" t="n">
        <v>46217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19484-2026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46134</v>
      </c>
      <c r="E339" s="1" t="n">
        <v>46217</v>
      </c>
      <c r="F339" t="inlineStr">
        <is>
          <t>KALMAR LÄN</t>
        </is>
      </c>
      <c r="G339" t="inlineStr">
        <is>
          <t>HÖGSBY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26927-2023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45093</v>
      </c>
      <c r="E340" s="1" t="n">
        <v>46217</v>
      </c>
      <c r="F340" t="inlineStr">
        <is>
          <t>KALMAR LÄN</t>
        </is>
      </c>
      <c r="G340" t="inlineStr">
        <is>
          <t>HÖGSBY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71635-2021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44543</v>
      </c>
      <c r="E341" s="1" t="n">
        <v>46217</v>
      </c>
      <c r="F341" t="inlineStr">
        <is>
          <t>KALMAR LÄN</t>
        </is>
      </c>
      <c r="G341" t="inlineStr">
        <is>
          <t>HÖGSBY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8613-2022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44613</v>
      </c>
      <c r="E342" s="1" t="n">
        <v>46217</v>
      </c>
      <c r="F342" t="inlineStr">
        <is>
          <t>KALMAR LÄN</t>
        </is>
      </c>
      <c r="G342" t="inlineStr">
        <is>
          <t>HÖGSBY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44953</v>
      </c>
      <c r="E343" s="1" t="n">
        <v>46217</v>
      </c>
      <c r="F343" t="inlineStr">
        <is>
          <t>KALMAR LÄN</t>
        </is>
      </c>
      <c r="G343" t="inlineStr">
        <is>
          <t>HÖGSBY</t>
        </is>
      </c>
      <c r="H343" t="inlineStr">
        <is>
          <t>Övriga Aktiebolag</t>
        </is>
      </c>
      <c r="I343" t="n">
        <v>15.2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6478-2022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44601</v>
      </c>
      <c r="E344" s="1" t="n">
        <v>46217</v>
      </c>
      <c r="F344" t="inlineStr">
        <is>
          <t>KALMAR LÄN</t>
        </is>
      </c>
      <c r="G344" t="inlineStr">
        <is>
          <t>HÖGSBY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38597-2024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45546</v>
      </c>
      <c r="E345" s="1" t="n">
        <v>46217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22524-2024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45447</v>
      </c>
      <c r="E346" s="1" t="n">
        <v>46217</v>
      </c>
      <c r="F346" t="inlineStr">
        <is>
          <t>KALMAR LÄN</t>
        </is>
      </c>
      <c r="G346" t="inlineStr">
        <is>
          <t>HÖGSBY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51621-2023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45222</v>
      </c>
      <c r="E347" s="1" t="n">
        <v>46217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15034-2023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45015</v>
      </c>
      <c r="E348" s="1" t="n">
        <v>46217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58753-2022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44903</v>
      </c>
      <c r="E349" s="1" t="n">
        <v>46217</v>
      </c>
      <c r="F349" t="inlineStr">
        <is>
          <t>KALMAR LÄN</t>
        </is>
      </c>
      <c r="G349" t="inlineStr">
        <is>
          <t>HÖGSBY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51619-2023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45222</v>
      </c>
      <c r="E350" s="1" t="n">
        <v>46217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50727-2023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45217</v>
      </c>
      <c r="E351" s="1" t="n">
        <v>46217</v>
      </c>
      <c r="F351" t="inlineStr">
        <is>
          <t>KALMAR LÄN</t>
        </is>
      </c>
      <c r="G351" t="inlineStr">
        <is>
          <t>HÖGSBY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51624-2023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45222</v>
      </c>
      <c r="E352" s="1" t="n">
        <v>46217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24292-2022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44725</v>
      </c>
      <c r="E353" s="1" t="n">
        <v>46217</v>
      </c>
      <c r="F353" t="inlineStr">
        <is>
          <t>KALMAR LÄN</t>
        </is>
      </c>
      <c r="G353" t="inlineStr">
        <is>
          <t>HÖGSBY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9427-2023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44981</v>
      </c>
      <c r="E354" s="1" t="n">
        <v>46217</v>
      </c>
      <c r="F354" t="inlineStr">
        <is>
          <t>KALMAR LÄN</t>
        </is>
      </c>
      <c r="G354" t="inlineStr">
        <is>
          <t>HÖGSBY</t>
        </is>
      </c>
      <c r="H354" t="inlineStr">
        <is>
          <t>Övriga Aktiebolag</t>
        </is>
      </c>
      <c r="I354" t="n">
        <v>8.300000000000001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43213-2023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45183</v>
      </c>
      <c r="E355" s="1" t="n">
        <v>46217</v>
      </c>
      <c r="F355" t="inlineStr">
        <is>
          <t>KALMAR LÄN</t>
        </is>
      </c>
      <c r="G355" t="inlineStr">
        <is>
          <t>HÖGSBY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44950</v>
      </c>
      <c r="E356" s="1" t="n">
        <v>46217</v>
      </c>
      <c r="F356" t="inlineStr">
        <is>
          <t>KALMAR LÄN</t>
        </is>
      </c>
      <c r="G356" t="inlineStr">
        <is>
          <t>HÖGSBY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44436-2023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45189</v>
      </c>
      <c r="E357" s="1" t="n">
        <v>46217</v>
      </c>
      <c r="F357" t="inlineStr">
        <is>
          <t>KALMAR LÄN</t>
        </is>
      </c>
      <c r="G357" t="inlineStr">
        <is>
          <t>HÖGSBY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14394-2023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45012</v>
      </c>
      <c r="E358" s="1" t="n">
        <v>46217</v>
      </c>
      <c r="F358" t="inlineStr">
        <is>
          <t>KALMAR LÄN</t>
        </is>
      </c>
      <c r="G358" t="inlineStr">
        <is>
          <t>HÖGSBY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33112-2023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45126</v>
      </c>
      <c r="E359" s="1" t="n">
        <v>46217</v>
      </c>
      <c r="F359" t="inlineStr">
        <is>
          <t>KALMAR LÄN</t>
        </is>
      </c>
      <c r="G359" t="inlineStr">
        <is>
          <t>HÖGSBY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9454-2023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44981</v>
      </c>
      <c r="E360" s="1" t="n">
        <v>46217</v>
      </c>
      <c r="F360" t="inlineStr">
        <is>
          <t>KALMAR LÄN</t>
        </is>
      </c>
      <c r="G360" t="inlineStr">
        <is>
          <t>HÖGSBY</t>
        </is>
      </c>
      <c r="H360" t="inlineStr">
        <is>
          <t>Övriga Aktiebolag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47797-2024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46217</v>
      </c>
      <c r="F361" t="inlineStr">
        <is>
          <t>KALMAR LÄN</t>
        </is>
      </c>
      <c r="G361" t="inlineStr">
        <is>
          <t>HÖGSBY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5430-2025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45692</v>
      </c>
      <c r="E362" s="1" t="n">
        <v>46217</v>
      </c>
      <c r="F362" t="inlineStr">
        <is>
          <t>KALMAR LÄN</t>
        </is>
      </c>
      <c r="G362" t="inlineStr">
        <is>
          <t>HÖGSBY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55697-2023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45239</v>
      </c>
      <c r="E363" s="1" t="n">
        <v>46217</v>
      </c>
      <c r="F363" t="inlineStr">
        <is>
          <t>KALMAR LÄN</t>
        </is>
      </c>
      <c r="G363" t="inlineStr">
        <is>
          <t>HÖGSBY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6216-2024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45337</v>
      </c>
      <c r="E364" s="1" t="n">
        <v>46217</v>
      </c>
      <c r="F364" t="inlineStr">
        <is>
          <t>KALMAR LÄN</t>
        </is>
      </c>
      <c r="G364" t="inlineStr">
        <is>
          <t>HÖGSBY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12757-2023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45001</v>
      </c>
      <c r="E365" s="1" t="n">
        <v>46217</v>
      </c>
      <c r="F365" t="inlineStr">
        <is>
          <t>KALMAR LÄN</t>
        </is>
      </c>
      <c r="G365" t="inlineStr">
        <is>
          <t>HÖGSBY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64130-2023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45279</v>
      </c>
      <c r="E366" s="1" t="n">
        <v>46217</v>
      </c>
      <c r="F366" t="inlineStr">
        <is>
          <t>KALMAR LÄN</t>
        </is>
      </c>
      <c r="G366" t="inlineStr">
        <is>
          <t>HÖGSBY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36573-2023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45153</v>
      </c>
      <c r="E367" s="1" t="n">
        <v>46217</v>
      </c>
      <c r="F367" t="inlineStr">
        <is>
          <t>KALMAR LÄN</t>
        </is>
      </c>
      <c r="G367" t="inlineStr">
        <is>
          <t>HÖGSBY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10412-2022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44623</v>
      </c>
      <c r="E368" s="1" t="n">
        <v>46217</v>
      </c>
      <c r="F368" t="inlineStr">
        <is>
          <t>KALMAR LÄN</t>
        </is>
      </c>
      <c r="G368" t="inlineStr">
        <is>
          <t>HÖGSBY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53328-2022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44879</v>
      </c>
      <c r="E369" s="1" t="n">
        <v>46217</v>
      </c>
      <c r="F369" t="inlineStr">
        <is>
          <t>KALMAR LÄN</t>
        </is>
      </c>
      <c r="G369" t="inlineStr">
        <is>
          <t>HÖGSBY</t>
        </is>
      </c>
      <c r="I369" t="n">
        <v>8.699999999999999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28650-2023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46217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59408-2022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44907</v>
      </c>
      <c r="E371" s="1" t="n">
        <v>46217</v>
      </c>
      <c r="F371" t="inlineStr">
        <is>
          <t>KALMAR LÄN</t>
        </is>
      </c>
      <c r="G371" t="inlineStr">
        <is>
          <t>HÖGSBY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47502-2023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45203</v>
      </c>
      <c r="E372" s="1" t="n">
        <v>46217</v>
      </c>
      <c r="F372" t="inlineStr">
        <is>
          <t>KALMAR LÄN</t>
        </is>
      </c>
      <c r="G372" t="inlineStr">
        <is>
          <t>HÖGSBY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47571-2023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45203</v>
      </c>
      <c r="E373" s="1" t="n">
        <v>46217</v>
      </c>
      <c r="F373" t="inlineStr">
        <is>
          <t>KALMAR LÄN</t>
        </is>
      </c>
      <c r="G373" t="inlineStr">
        <is>
          <t>HÖGSBY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7438-2023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44966</v>
      </c>
      <c r="E374" s="1" t="n">
        <v>46217</v>
      </c>
      <c r="F374" t="inlineStr">
        <is>
          <t>KALMAR LÄN</t>
        </is>
      </c>
      <c r="G374" t="inlineStr">
        <is>
          <t>HÖGSBY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55902-2024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45622</v>
      </c>
      <c r="E375" s="1" t="n">
        <v>46217</v>
      </c>
      <c r="F375" t="inlineStr">
        <is>
          <t>KALMAR LÄN</t>
        </is>
      </c>
      <c r="G375" t="inlineStr">
        <is>
          <t>HÖGSBY</t>
        </is>
      </c>
      <c r="I375" t="n">
        <v>8.9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17250-2024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45414</v>
      </c>
      <c r="E376" s="1" t="n">
        <v>46217</v>
      </c>
      <c r="F376" t="inlineStr">
        <is>
          <t>KALMAR LÄN</t>
        </is>
      </c>
      <c r="G376" t="inlineStr">
        <is>
          <t>HÖGSBY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34078-2024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45523</v>
      </c>
      <c r="E377" s="1" t="n">
        <v>46217</v>
      </c>
      <c r="F377" t="inlineStr">
        <is>
          <t>KALMAR LÄN</t>
        </is>
      </c>
      <c r="G377" t="inlineStr">
        <is>
          <t>HÖGSBY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21569-2025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45782</v>
      </c>
      <c r="E378" s="1" t="n">
        <v>46217</v>
      </c>
      <c r="F378" t="inlineStr">
        <is>
          <t>KALMAR LÄN</t>
        </is>
      </c>
      <c r="G378" t="inlineStr">
        <is>
          <t>HÖGSBY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40464-2023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45170</v>
      </c>
      <c r="E379" s="1" t="n">
        <v>46217</v>
      </c>
      <c r="F379" t="inlineStr">
        <is>
          <t>KALMAR LÄN</t>
        </is>
      </c>
      <c r="G379" t="inlineStr">
        <is>
          <t>HÖGSBY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40137-2024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45554</v>
      </c>
      <c r="E380" s="1" t="n">
        <v>46217</v>
      </c>
      <c r="F380" t="inlineStr">
        <is>
          <t>KALMAR LÄN</t>
        </is>
      </c>
      <c r="G380" t="inlineStr">
        <is>
          <t>HÖGSBY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  <c r="X380">
        <f>HYPERLINK("https://klasma.github.io/Logging_0821/knärot/A 40137-2024 karta knärot.png", "A 40137-2024")</f>
        <v/>
      </c>
      <c r="Y380">
        <f>HYPERLINK("https://klasma.github.io/Logging_0821/klagomål/A 40137-2024 FSC-klagomål.docx", "A 40137-2024")</f>
        <v/>
      </c>
      <c r="Z380">
        <f>HYPERLINK("https://klasma.github.io/Logging_0821/klagomålsmail/A 40137-2024 FSC-klagomål mail.docx", "A 40137-2024")</f>
        <v/>
      </c>
      <c r="AA380">
        <f>HYPERLINK("https://klasma.github.io/Logging_0821/tillsyn/A 40137-2024 tillsynsbegäran.docx", "A 40137-2024")</f>
        <v/>
      </c>
      <c r="AB380">
        <f>HYPERLINK("https://klasma.github.io/Logging_0821/tillsynsmail/A 40137-2024 tillsynsbegäran mail.docx", "A 40137-2024")</f>
        <v/>
      </c>
    </row>
    <row r="381" ht="15" customHeight="1">
      <c r="A381" t="inlineStr">
        <is>
          <t>A 24013-2025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45796</v>
      </c>
      <c r="E381" s="1" t="n">
        <v>46217</v>
      </c>
      <c r="F381" t="inlineStr">
        <is>
          <t>KALMAR LÄN</t>
        </is>
      </c>
      <c r="G381" t="inlineStr">
        <is>
          <t>HÖGSBY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24378-2025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45797</v>
      </c>
      <c r="E382" s="1" t="n">
        <v>46217</v>
      </c>
      <c r="F382" t="inlineStr">
        <is>
          <t>KALMAR LÄN</t>
        </is>
      </c>
      <c r="G382" t="inlineStr">
        <is>
          <t>HÖGSBY</t>
        </is>
      </c>
      <c r="H382" t="inlineStr">
        <is>
          <t>Sveaskog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34577-2025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45847</v>
      </c>
      <c r="E383" s="1" t="n">
        <v>46217</v>
      </c>
      <c r="F383" t="inlineStr">
        <is>
          <t>KALMAR LÄN</t>
        </is>
      </c>
      <c r="G383" t="inlineStr">
        <is>
          <t>HÖGSBY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34579-2025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45847</v>
      </c>
      <c r="E384" s="1" t="n">
        <v>46217</v>
      </c>
      <c r="F384" t="inlineStr">
        <is>
          <t>KALMAR LÄN</t>
        </is>
      </c>
      <c r="G384" t="inlineStr">
        <is>
          <t>HÖGSBY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40135-2024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45554</v>
      </c>
      <c r="E385" s="1" t="n">
        <v>46217</v>
      </c>
      <c r="F385" t="inlineStr">
        <is>
          <t>KALMAR LÄN</t>
        </is>
      </c>
      <c r="G385" t="inlineStr">
        <is>
          <t>HÖGSBY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46217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46217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46217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46217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46217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46217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46217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46217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46217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46217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46217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46217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46217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46217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46217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46217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46217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46217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46217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46217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46217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46217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46217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2026-07-14T08:59:41Z</dcterms:created>
  <dcterms:modified xmlns:dcterms="http://purl.org/dc/terms/" xmlns:xsi="http://www.w3.org/2001/XMLSchema-instance" xsi:type="dcterms:W3CDTF">2026-07-14T08:59:42Z</dcterms:modified>
</cp:coreProperties>
</file>