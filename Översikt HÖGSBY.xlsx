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46315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46315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46315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46315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46315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46315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46315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46315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46315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46315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46315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46315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46315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46315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46315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46315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46315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46315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46315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46315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46315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46315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46315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46315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46315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46315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46315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46315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46315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46315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46315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46315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46315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46315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46315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46315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46315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46315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46315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38802-2024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45547</v>
      </c>
      <c r="E43" s="1" t="n">
        <v>46315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HYPERLINK("https://klasma.github.io/Logging_0821/artfynd/A 38802-2024 artfynd.xlsx", "A 38802-2024")</f>
        <v/>
      </c>
      <c r="X43">
        <f>HYPERLINK("https://klasma.github.io/Logging_0821/kartor/A 38802-2024 karta.png", "A 38802-2024")</f>
        <v/>
      </c>
      <c r="Y43">
        <f>HYPERLINK("https://klasma.github.io/Logging_0821/kartor_geotiff/A 38802-2024 georefererad karta.tif", "A 38802-2024")</f>
        <v/>
      </c>
      <c r="AA43">
        <f>HYPERLINK("https://klasma.github.io/Logging_0821/klagomål/A 38802-2024 FSC-klagomål.docx", "A 38802-2024")</f>
        <v/>
      </c>
      <c r="AB43">
        <f>HYPERLINK("https://klasma.github.io/Logging_0821/klagomålsmail/A 38802-2024 FSC-klagomål mail.docx", "A 38802-2024")</f>
        <v/>
      </c>
      <c r="AC43">
        <f>HYPERLINK("https://klasma.github.io/Logging_0821/tillsyn/A 38802-2024 tillsynsbegäran.docx", "A 38802-2024")</f>
        <v/>
      </c>
      <c r="AD43">
        <f>HYPERLINK("https://klasma.github.io/Logging_0821/tillsynsmail/A 38802-2024 tillsynsbegäran mail.docx", "A 38802-2024")</f>
        <v/>
      </c>
    </row>
    <row r="44" ht="15" customHeight="1">
      <c r="A44" t="inlineStr">
        <is>
          <t>A 52177-2022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46315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Nordfladdermus</t>
        </is>
      </c>
      <c r="W44">
        <f>HYPERLINK("https://klasma.github.io/Logging_0821/artfynd/A 52177-2022 artfynd.xlsx", "A 52177-2022")</f>
        <v/>
      </c>
      <c r="X44">
        <f>HYPERLINK("https://klasma.github.io/Logging_0821/kartor/A 52177-2022 karta.png", "A 52177-2022")</f>
        <v/>
      </c>
      <c r="Y44">
        <f>HYPERLINK("https://klasma.github.io/Logging_0821/kartor_geotiff/A 52177-2022 georefererad karta.tif", "A 52177-2022")</f>
        <v/>
      </c>
      <c r="AA44">
        <f>HYPERLINK("https://klasma.github.io/Logging_0821/klagomål/A 52177-2022 FSC-klagomål.docx", "A 52177-2022")</f>
        <v/>
      </c>
      <c r="AB44">
        <f>HYPERLINK("https://klasma.github.io/Logging_0821/klagomålsmail/A 52177-2022 FSC-klagomål mail.docx", "A 52177-2022")</f>
        <v/>
      </c>
      <c r="AC44">
        <f>HYPERLINK("https://klasma.github.io/Logging_0821/tillsyn/A 52177-2022 tillsynsbegäran.docx", "A 52177-2022")</f>
        <v/>
      </c>
      <c r="AD44">
        <f>HYPERLINK("https://klasma.github.io/Logging_0821/tillsynsmail/A 52177-2022 tillsynsbegäran mail.docx", "A 52177-2022")</f>
        <v/>
      </c>
    </row>
    <row r="45" ht="15" customHeight="1">
      <c r="A45" t="inlineStr">
        <is>
          <t>A 58792-2022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46315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HYPERLINK("https://klasma.github.io/Logging_0821/artfynd/A 58792-2022 artfynd.xlsx", "A 58792-2022")</f>
        <v/>
      </c>
      <c r="X45">
        <f>HYPERLINK("https://klasma.github.io/Logging_0821/kartor/A 58792-2022 karta.png", "A 58792-2022")</f>
        <v/>
      </c>
      <c r="Y45">
        <f>HYPERLINK("https://klasma.github.io/Logging_0821/kartor_geotiff/A 58792-2022 georefererad karta.tif", "A 58792-2022")</f>
        <v/>
      </c>
      <c r="AA45">
        <f>HYPERLINK("https://klasma.github.io/Logging_0821/klagomål/A 58792-2022 FSC-klagomål.docx", "A 58792-2022")</f>
        <v/>
      </c>
      <c r="AB45">
        <f>HYPERLINK("https://klasma.github.io/Logging_0821/klagomålsmail/A 58792-2022 FSC-klagomål mail.docx", "A 58792-2022")</f>
        <v/>
      </c>
      <c r="AC45">
        <f>HYPERLINK("https://klasma.github.io/Logging_0821/tillsyn/A 58792-2022 tillsynsbegäran.docx", "A 58792-2022")</f>
        <v/>
      </c>
      <c r="AD45">
        <f>HYPERLINK("https://klasma.github.io/Logging_0821/tillsynsmail/A 58792-2022 tillsynsbegäran mail.docx", "A 58792-2022")</f>
        <v/>
      </c>
    </row>
    <row r="46" ht="15" customHeight="1">
      <c r="A46" t="inlineStr">
        <is>
          <t>A 22757-2026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46315</v>
      </c>
      <c r="F46" t="inlineStr">
        <is>
          <t>KALMAR LÄN</t>
        </is>
      </c>
      <c r="G46" t="inlineStr">
        <is>
          <t>HÖGSBY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Blåsippa</t>
        </is>
      </c>
      <c r="W46">
        <f>HYPERLINK("https://klasma.github.io/Logging_0821/artfynd/A 22757-2026 artfynd.xlsx", "A 22757-2026")</f>
        <v/>
      </c>
      <c r="X46">
        <f>HYPERLINK("https://klasma.github.io/Logging_0821/kartor/A 22757-2026 karta.png", "A 22757-2026")</f>
        <v/>
      </c>
      <c r="Y46">
        <f>HYPERLINK("https://klasma.github.io/Logging_0821/kartor_geotiff/A 22757-2026 georefererad karta.tif", "A 22757-2026")</f>
        <v/>
      </c>
      <c r="AA46">
        <f>HYPERLINK("https://klasma.github.io/Logging_0821/klagomål/A 22757-2026 FSC-klagomål.docx", "A 22757-2026")</f>
        <v/>
      </c>
      <c r="AB46">
        <f>HYPERLINK("https://klasma.github.io/Logging_0821/klagomålsmail/A 22757-2026 FSC-klagomål mail.docx", "A 22757-2026")</f>
        <v/>
      </c>
      <c r="AC46">
        <f>HYPERLINK("https://klasma.github.io/Logging_0821/tillsyn/A 22757-2026 tillsynsbegäran.docx", "A 22757-2026")</f>
        <v/>
      </c>
      <c r="AD46">
        <f>HYPERLINK("https://klasma.github.io/Logging_0821/tillsynsmail/A 22757-2026 tillsynsbegäran mail.docx", "A 22757-2026")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46315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46315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35075-2023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46315</v>
      </c>
      <c r="F49" t="inlineStr">
        <is>
          <t>KALMAR LÄN</t>
        </is>
      </c>
      <c r="G49" t="inlineStr">
        <is>
          <t>HÖGSBY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35075-2023 artfynd.xlsx", "A 35075-2023")</f>
        <v/>
      </c>
      <c r="X49">
        <f>HYPERLINK("https://klasma.github.io/Logging_0821/kartor/A 35075-2023 karta.png", "A 35075-2023")</f>
        <v/>
      </c>
      <c r="Y49">
        <f>HYPERLINK("https://klasma.github.io/Logging_0821/kartor_geotiff/A 35075-2023 georefererad karta.tif", "A 35075-2023")</f>
        <v/>
      </c>
      <c r="AA49">
        <f>HYPERLINK("https://klasma.github.io/Logging_0821/klagomål/A 35075-2023 FSC-klagomål.docx", "A 35075-2023")</f>
        <v/>
      </c>
      <c r="AB49">
        <f>HYPERLINK("https://klasma.github.io/Logging_0821/klagomålsmail/A 35075-2023 FSC-klagomål mail.docx", "A 35075-2023")</f>
        <v/>
      </c>
      <c r="AC49">
        <f>HYPERLINK("https://klasma.github.io/Logging_0821/tillsyn/A 35075-2023 tillsynsbegäran.docx", "A 35075-2023")</f>
        <v/>
      </c>
      <c r="AD49">
        <f>HYPERLINK("https://klasma.github.io/Logging_0821/tillsynsmail/A 35075-2023 tillsynsbegäran mail.docx", "A 35075-2023")</f>
        <v/>
      </c>
    </row>
    <row r="50" ht="15" customHeight="1">
      <c r="A50" t="inlineStr">
        <is>
          <t>A 1519-2022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46315</v>
      </c>
      <c r="F50" t="inlineStr">
        <is>
          <t>KALMAR LÄN</t>
        </is>
      </c>
      <c r="G50" t="inlineStr">
        <is>
          <t>HÖGSBY</t>
        </is>
      </c>
      <c r="I50" t="n">
        <v>2.6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HYPERLINK("https://klasma.github.io/Logging_0821/artfynd/A 1519-2022 artfynd.xlsx", "A 1519-2022")</f>
        <v/>
      </c>
      <c r="X50">
        <f>HYPERLINK("https://klasma.github.io/Logging_0821/kartor/A 1519-2022 karta.png", "A 1519-2022")</f>
        <v/>
      </c>
      <c r="Y50">
        <f>HYPERLINK("https://klasma.github.io/Logging_0821/kartor_geotiff/A 1519-2022 georefererad karta.tif", "A 1519-2022")</f>
        <v/>
      </c>
      <c r="AA50">
        <f>HYPERLINK("https://klasma.github.io/Logging_0821/klagomål/A 1519-2022 FSC-klagomål.docx", "A 1519-2022")</f>
        <v/>
      </c>
      <c r="AB50">
        <f>HYPERLINK("https://klasma.github.io/Logging_0821/klagomålsmail/A 1519-2022 FSC-klagomål mail.docx", "A 1519-2022")</f>
        <v/>
      </c>
      <c r="AC50">
        <f>HYPERLINK("https://klasma.github.io/Logging_0821/tillsyn/A 1519-2022 tillsynsbegäran.docx", "A 1519-2022")</f>
        <v/>
      </c>
      <c r="AD50">
        <f>HYPERLINK("https://klasma.github.io/Logging_0821/tillsynsmail/A 1519-2022 tillsynsbegäran mail.docx", "A 1519-2022")</f>
        <v/>
      </c>
    </row>
    <row r="51" ht="15" customHeight="1">
      <c r="A51" t="inlineStr">
        <is>
          <t>A 26145-2026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46315</v>
      </c>
      <c r="F51" t="inlineStr">
        <is>
          <t>KALMAR LÄN</t>
        </is>
      </c>
      <c r="G51" t="inlineStr">
        <is>
          <t>HÖGSBY</t>
        </is>
      </c>
      <c r="I51" t="n">
        <v>1.6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Gullviva</t>
        </is>
      </c>
      <c r="W51">
        <f>HYPERLINK("https://klasma.github.io/Logging_0821/artfynd/A 26145-2026 artfynd.xlsx", "A 26145-2026")</f>
        <v/>
      </c>
      <c r="X51">
        <f>HYPERLINK("https://klasma.github.io/Logging_0821/kartor/A 26145-2026 karta.png", "A 26145-2026")</f>
        <v/>
      </c>
      <c r="Y51">
        <f>HYPERLINK("https://klasma.github.io/Logging_0821/kartor_geotiff/A 26145-2026 georefererad karta.tif", "A 26145-2026")</f>
        <v/>
      </c>
      <c r="AA51">
        <f>HYPERLINK("https://klasma.github.io/Logging_0821/klagomål/A 26145-2026 FSC-klagomål.docx", "A 26145-2026")</f>
        <v/>
      </c>
      <c r="AB51">
        <f>HYPERLINK("https://klasma.github.io/Logging_0821/klagomålsmail/A 26145-2026 FSC-klagomål mail.docx", "A 26145-2026")</f>
        <v/>
      </c>
      <c r="AC51">
        <f>HYPERLINK("https://klasma.github.io/Logging_0821/tillsyn/A 26145-2026 tillsynsbegäran.docx", "A 26145-2026")</f>
        <v/>
      </c>
      <c r="AD51">
        <f>HYPERLINK("https://klasma.github.io/Logging_0821/tillsynsmail/A 26145-2026 tillsynsbegäran mail.docx", "A 26145-2026")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46315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27366-2026 artfynd.xlsx", "A 27366-2026")</f>
        <v/>
      </c>
      <c r="X52">
        <f>HYPERLINK("https://klasma.github.io/Logging_0821/kartor/A 27366-2026 karta.png", "A 27366-2026")</f>
        <v/>
      </c>
      <c r="Y52">
        <f>HYPERLINK("https://klasma.github.io/Logging_0821/kartor_geotiff/A 27366-2026 georefererad karta.tif", "A 27366-2026")</f>
        <v/>
      </c>
      <c r="AA52">
        <f>HYPERLINK("https://klasma.github.io/Logging_0821/klagomål/A 27366-2026 FSC-klagomål.docx", "A 27366-2026")</f>
        <v/>
      </c>
      <c r="AB52">
        <f>HYPERLINK("https://klasma.github.io/Logging_0821/klagomålsmail/A 27366-2026 FSC-klagomål mail.docx", "A 27366-2026")</f>
        <v/>
      </c>
      <c r="AC52">
        <f>HYPERLINK("https://klasma.github.io/Logging_0821/tillsyn/A 27366-2026 tillsynsbegäran.docx", "A 27366-2026")</f>
        <v/>
      </c>
      <c r="AD52">
        <f>HYPERLINK("https://klasma.github.io/Logging_0821/tillsynsmail/A 27366-2026 tillsynsbegäran mail.docx", "A 27366-2026")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46315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19519-2025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45770</v>
      </c>
      <c r="E54" s="1" t="n">
        <v>46315</v>
      </c>
      <c r="F54" t="inlineStr">
        <is>
          <t>KALMAR LÄN</t>
        </is>
      </c>
      <c r="G54" t="inlineStr">
        <is>
          <t>HÖGSBY</t>
        </is>
      </c>
      <c r="I54" t="n">
        <v>3.5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HYPERLINK("https://klasma.github.io/Logging_0821/artfynd/A 19519-2025 artfynd.xlsx", "A 19519-2025")</f>
        <v/>
      </c>
      <c r="X54">
        <f>HYPERLINK("https://klasma.github.io/Logging_0821/kartor/A 19519-2025 karta.png", "A 19519-2025")</f>
        <v/>
      </c>
      <c r="Y54">
        <f>HYPERLINK("https://klasma.github.io/Logging_0821/kartor_geotiff/A 19519-2025 georefererad karta.tif", "A 19519-2025")</f>
        <v/>
      </c>
      <c r="AA54">
        <f>HYPERLINK("https://klasma.github.io/Logging_0821/klagomål/A 19519-2025 FSC-klagomål.docx", "A 19519-2025")</f>
        <v/>
      </c>
      <c r="AB54">
        <f>HYPERLINK("https://klasma.github.io/Logging_0821/klagomålsmail/A 19519-2025 FSC-klagomål mail.docx", "A 19519-2025")</f>
        <v/>
      </c>
      <c r="AC54">
        <f>HYPERLINK("https://klasma.github.io/Logging_0821/tillsyn/A 19519-2025 tillsynsbegäran.docx", "A 19519-2025")</f>
        <v/>
      </c>
      <c r="AD54">
        <f>HYPERLINK("https://klasma.github.io/Logging_0821/tillsynsmail/A 19519-2025 tillsynsbegäran mail.docx", "A 19519-2025")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46315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46315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HYPERLINK("https://klasma.github.io/Logging_0821/artfynd/A 19463-2026 artfynd.xlsx", "A 19463-2026")</f>
        <v/>
      </c>
      <c r="X56">
        <f>HYPERLINK("https://klasma.github.io/Logging_0821/kartor/A 19463-2026 karta.png", "A 19463-2026")</f>
        <v/>
      </c>
      <c r="Y56">
        <f>HYPERLINK("https://klasma.github.io/Logging_0821/kartor_geotiff/A 19463-2026 georefererad karta.tif", "A 19463-2026")</f>
        <v/>
      </c>
      <c r="AA56">
        <f>HYPERLINK("https://klasma.github.io/Logging_0821/klagomål/A 19463-2026 FSC-klagomål.docx", "A 19463-2026")</f>
        <v/>
      </c>
      <c r="AB56">
        <f>HYPERLINK("https://klasma.github.io/Logging_0821/klagomålsmail/A 19463-2026 FSC-klagomål mail.docx", "A 19463-2026")</f>
        <v/>
      </c>
      <c r="AC56">
        <f>HYPERLINK("https://klasma.github.io/Logging_0821/tillsyn/A 19463-2026 tillsynsbegäran.docx", "A 19463-2026")</f>
        <v/>
      </c>
      <c r="AD56">
        <f>HYPERLINK("https://klasma.github.io/Logging_0821/tillsynsmail/A 19463-2026 tillsynsbegäran mail.docx", "A 19463-2026")</f>
        <v/>
      </c>
    </row>
    <row r="57" ht="15" customHeight="1">
      <c r="A57" t="inlineStr">
        <is>
          <t>A 19536-2026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46315</v>
      </c>
      <c r="F57" t="inlineStr">
        <is>
          <t>KALMAR LÄN</t>
        </is>
      </c>
      <c r="G57" t="inlineStr">
        <is>
          <t>HÖGSBY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HYPERLINK("https://klasma.github.io/Logging_0821/artfynd/A 19536-2026 artfynd.xlsx", "A 19536-2026")</f>
        <v/>
      </c>
      <c r="X57">
        <f>HYPERLINK("https://klasma.github.io/Logging_0821/kartor/A 19536-2026 karta.png", "A 19536-2026")</f>
        <v/>
      </c>
      <c r="Y57">
        <f>HYPERLINK("https://klasma.github.io/Logging_0821/kartor_geotiff/A 19536-2026 georefererad karta.tif", "A 19536-2026")</f>
        <v/>
      </c>
      <c r="AA57">
        <f>HYPERLINK("https://klasma.github.io/Logging_0821/klagomål/A 19536-2026 FSC-klagomål.docx", "A 19536-2026")</f>
        <v/>
      </c>
      <c r="AB57">
        <f>HYPERLINK("https://klasma.github.io/Logging_0821/klagomålsmail/A 19536-2026 FSC-klagomål mail.docx", "A 19536-2026")</f>
        <v/>
      </c>
      <c r="AC57">
        <f>HYPERLINK("https://klasma.github.io/Logging_0821/tillsyn/A 19536-2026 tillsynsbegäran.docx", "A 19536-2026")</f>
        <v/>
      </c>
      <c r="AD57">
        <f>HYPERLINK("https://klasma.github.io/Logging_0821/tillsynsmail/A 19536-2026 tillsynsbegäran mail.docx", "A 19536-2026")</f>
        <v/>
      </c>
      <c r="AE57">
        <f>HYPERLINK("https://klasma.github.io/Logging_0821/fåglar/A 19536-2026 prioriterade fågelarter.docx", "A 19536-2026")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46315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46315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59700-2023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45256</v>
      </c>
      <c r="E60" s="1" t="n">
        <v>46315</v>
      </c>
      <c r="F60" t="inlineStr">
        <is>
          <t>KALMAR LÄN</t>
        </is>
      </c>
      <c r="G60" t="inlineStr">
        <is>
          <t>HÖGSBY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HYPERLINK("https://klasma.github.io/Logging_0821/artfynd/A 59700-2023 artfynd.xlsx", "A 59700-2023")</f>
        <v/>
      </c>
      <c r="X60">
        <f>HYPERLINK("https://klasma.github.io/Logging_0821/kartor/A 59700-2023 karta.png", "A 59700-2023")</f>
        <v/>
      </c>
      <c r="Y60">
        <f>HYPERLINK("https://klasma.github.io/Logging_0821/kartor_geotiff/A 59700-2023 georefererad karta.tif", "A 59700-2023")</f>
        <v/>
      </c>
      <c r="AA60">
        <f>HYPERLINK("https://klasma.github.io/Logging_0821/klagomål/A 59700-2023 FSC-klagomål.docx", "A 59700-2023")</f>
        <v/>
      </c>
      <c r="AB60">
        <f>HYPERLINK("https://klasma.github.io/Logging_0821/klagomålsmail/A 59700-2023 FSC-klagomål mail.docx", "A 59700-2023")</f>
        <v/>
      </c>
      <c r="AC60">
        <f>HYPERLINK("https://klasma.github.io/Logging_0821/tillsyn/A 59700-2023 tillsynsbegäran.docx", "A 59700-2023")</f>
        <v/>
      </c>
      <c r="AD60">
        <f>HYPERLINK("https://klasma.github.io/Logging_0821/tillsynsmail/A 59700-2023 tillsynsbegäran mail.docx", "A 59700-2023")</f>
        <v/>
      </c>
      <c r="AE60">
        <f>HYPERLINK("https://klasma.github.io/Logging_0821/fåglar/A 59700-2023 prioriterade fågelarter.docx", "A 59700-2023")</f>
        <v/>
      </c>
    </row>
    <row r="61" ht="15" customHeight="1">
      <c r="A61" t="inlineStr">
        <is>
          <t>A 30800-2026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46212</v>
      </c>
      <c r="E61" s="1" t="n">
        <v>46315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HYPERLINK("https://klasma.github.io/Logging_0821/artfynd/A 30800-2026 artfynd.xlsx", "A 30800-2026")</f>
        <v/>
      </c>
      <c r="X61">
        <f>HYPERLINK("https://klasma.github.io/Logging_0821/kartor/A 30800-2026 karta.png", "A 30800-2026")</f>
        <v/>
      </c>
      <c r="Y61">
        <f>HYPERLINK("https://klasma.github.io/Logging_0821/kartor_geotiff/A 30800-2026 georefererad karta.tif", "A 30800-2026")</f>
        <v/>
      </c>
      <c r="AA61">
        <f>HYPERLINK("https://klasma.github.io/Logging_0821/klagomål/A 30800-2026 FSC-klagomål.docx", "A 30800-2026")</f>
        <v/>
      </c>
      <c r="AB61">
        <f>HYPERLINK("https://klasma.github.io/Logging_0821/klagomålsmail/A 30800-2026 FSC-klagomål mail.docx", "A 30800-2026")</f>
        <v/>
      </c>
      <c r="AC61">
        <f>HYPERLINK("https://klasma.github.io/Logging_0821/tillsyn/A 30800-2026 tillsynsbegäran.docx", "A 30800-2026")</f>
        <v/>
      </c>
      <c r="AD61">
        <f>HYPERLINK("https://klasma.github.io/Logging_0821/tillsynsmail/A 30800-2026 tillsynsbegäran mail.docx", "A 30800-2026")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46315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46315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46315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46315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46315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46315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46315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46315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46315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46315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46315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46315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46315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46315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46315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46315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46315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46315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46315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46315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46315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46315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46315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46315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46315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46315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46315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46315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46315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46315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46315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46315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46315</v>
      </c>
      <c r="F95" t="inlineStr">
        <is>
          <t>KALMAR LÄN</t>
        </is>
      </c>
      <c r="G95" t="inlineStr">
        <is>
          <t>HÖGSBY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46315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46315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46315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46315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46315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46315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46315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46315</v>
      </c>
      <c r="F103" t="inlineStr">
        <is>
          <t>KALMAR LÄN</t>
        </is>
      </c>
      <c r="G103" t="inlineStr">
        <is>
          <t>HÖGSBY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46315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46315</v>
      </c>
      <c r="F105" t="inlineStr">
        <is>
          <t>KALMAR LÄN</t>
        </is>
      </c>
      <c r="G105" t="inlineStr">
        <is>
          <t>HÖGSBY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46315</v>
      </c>
      <c r="F106" t="inlineStr">
        <is>
          <t>KALMAR LÄN</t>
        </is>
      </c>
      <c r="G106" t="inlineStr">
        <is>
          <t>HÖGSBY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46315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46315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46315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46315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46315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46315</v>
      </c>
      <c r="F112" t="inlineStr">
        <is>
          <t>KALMAR LÄN</t>
        </is>
      </c>
      <c r="G112" t="inlineStr">
        <is>
          <t>HÖGSBY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46315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57006-2024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45626</v>
      </c>
      <c r="E114" s="1" t="n">
        <v>46315</v>
      </c>
      <c r="F114" t="inlineStr">
        <is>
          <t>KALMAR LÄN</t>
        </is>
      </c>
      <c r="G114" t="inlineStr">
        <is>
          <t>HÖGSBY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46315</v>
      </c>
      <c r="F115" t="inlineStr">
        <is>
          <t>KALMAR LÄN</t>
        </is>
      </c>
      <c r="G115" t="inlineStr">
        <is>
          <t>HÖGSBY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46315</v>
      </c>
      <c r="F116" t="inlineStr">
        <is>
          <t>KALMAR LÄN</t>
        </is>
      </c>
      <c r="G116" t="inlineStr">
        <is>
          <t>HÖGSBY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46315</v>
      </c>
      <c r="F117" t="inlineStr">
        <is>
          <t>KALMAR LÄN</t>
        </is>
      </c>
      <c r="G117" t="inlineStr">
        <is>
          <t>HÖGSBY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46315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44895</v>
      </c>
      <c r="E119" s="1" t="n">
        <v>46315</v>
      </c>
      <c r="F119" t="inlineStr">
        <is>
          <t>KALMAR LÄN</t>
        </is>
      </c>
      <c r="G119" t="inlineStr">
        <is>
          <t>HÖGSBY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46315</v>
      </c>
      <c r="F120" t="inlineStr">
        <is>
          <t>KALMAR LÄN</t>
        </is>
      </c>
      <c r="G120" t="inlineStr">
        <is>
          <t>HÖGSBY</t>
        </is>
      </c>
      <c r="I120" t="n">
        <v>11.6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45348</v>
      </c>
      <c r="E121" s="1" t="n">
        <v>46315</v>
      </c>
      <c r="F121" t="inlineStr">
        <is>
          <t>KALMAR LÄN</t>
        </is>
      </c>
      <c r="G121" t="inlineStr">
        <is>
          <t>HÖGSBY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46315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46315</v>
      </c>
      <c r="F123" t="inlineStr">
        <is>
          <t>KALMAR LÄN</t>
        </is>
      </c>
      <c r="G123" t="inlineStr">
        <is>
          <t>HÖGSBY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46315</v>
      </c>
      <c r="F124" t="inlineStr">
        <is>
          <t>KALMAR LÄN</t>
        </is>
      </c>
      <c r="G124" t="inlineStr">
        <is>
          <t>HÖGSBY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46315</v>
      </c>
      <c r="F125" t="inlineStr">
        <is>
          <t>KALMAR LÄN</t>
        </is>
      </c>
      <c r="G125" t="inlineStr">
        <is>
          <t>HÖGSBY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65130-2023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45288</v>
      </c>
      <c r="E126" s="1" t="n">
        <v>46315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46315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32049-2023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45119</v>
      </c>
      <c r="E128" s="1" t="n">
        <v>46315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46315</v>
      </c>
      <c r="F129" t="inlineStr">
        <is>
          <t>KALMAR LÄN</t>
        </is>
      </c>
      <c r="G129" t="inlineStr">
        <is>
          <t>HÖGSBY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46315</v>
      </c>
      <c r="F130" t="inlineStr">
        <is>
          <t>KALMAR LÄN</t>
        </is>
      </c>
      <c r="G130" t="inlineStr">
        <is>
          <t>HÖGSBY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44729</v>
      </c>
      <c r="E131" s="1" t="n">
        <v>46315</v>
      </c>
      <c r="F131" t="inlineStr">
        <is>
          <t>KALMAR LÄN</t>
        </is>
      </c>
      <c r="G131" t="inlineStr">
        <is>
          <t>HÖGSBY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46315</v>
      </c>
      <c r="F132" t="inlineStr">
        <is>
          <t>KALMAR LÄN</t>
        </is>
      </c>
      <c r="G132" t="inlineStr">
        <is>
          <t>HÖGSBY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46315</v>
      </c>
      <c r="F133" t="inlineStr">
        <is>
          <t>KALMAR LÄN</t>
        </is>
      </c>
      <c r="G133" t="inlineStr">
        <is>
          <t>HÖGSBY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46315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46315</v>
      </c>
      <c r="F135" t="inlineStr">
        <is>
          <t>KALMAR LÄN</t>
        </is>
      </c>
      <c r="G135" t="inlineStr">
        <is>
          <t>HÖGSBY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46315</v>
      </c>
      <c r="F136" t="inlineStr">
        <is>
          <t>KALMAR LÄN</t>
        </is>
      </c>
      <c r="G136" t="inlineStr">
        <is>
          <t>HÖGSBY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45105</v>
      </c>
      <c r="E137" s="1" t="n">
        <v>46315</v>
      </c>
      <c r="F137" t="inlineStr">
        <is>
          <t>KALMAR LÄN</t>
        </is>
      </c>
      <c r="G137" t="inlineStr">
        <is>
          <t>HÖGSBY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46315</v>
      </c>
      <c r="F138" t="inlineStr">
        <is>
          <t>KALMAR LÄN</t>
        </is>
      </c>
      <c r="G138" t="inlineStr">
        <is>
          <t>HÖGSBY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46315</v>
      </c>
      <c r="F139" t="inlineStr">
        <is>
          <t>KALMAR LÄN</t>
        </is>
      </c>
      <c r="G139" t="inlineStr">
        <is>
          <t>HÖGSBY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46315</v>
      </c>
      <c r="F140" t="inlineStr">
        <is>
          <t>KALMAR LÄN</t>
        </is>
      </c>
      <c r="G140" t="inlineStr">
        <is>
          <t>HÖGSBY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46315</v>
      </c>
      <c r="F141" t="inlineStr">
        <is>
          <t>KALMAR LÄN</t>
        </is>
      </c>
      <c r="G141" t="inlineStr">
        <is>
          <t>HÖGSBY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46315</v>
      </c>
      <c r="F142" t="inlineStr">
        <is>
          <t>KALMAR LÄN</t>
        </is>
      </c>
      <c r="G142" t="inlineStr">
        <is>
          <t>HÖGSBY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46315</v>
      </c>
      <c r="F143" t="inlineStr">
        <is>
          <t>KALMAR LÄN</t>
        </is>
      </c>
      <c r="G143" t="inlineStr">
        <is>
          <t>HÖGSBY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45552</v>
      </c>
      <c r="E144" s="1" t="n">
        <v>46315</v>
      </c>
      <c r="F144" t="inlineStr">
        <is>
          <t>KALMAR LÄN</t>
        </is>
      </c>
      <c r="G144" t="inlineStr">
        <is>
          <t>HÖGSBY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46315</v>
      </c>
      <c r="F145" t="inlineStr">
        <is>
          <t>KALMAR LÄN</t>
        </is>
      </c>
      <c r="G145" t="inlineStr">
        <is>
          <t>HÖGSBY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45228</v>
      </c>
      <c r="E146" s="1" t="n">
        <v>46315</v>
      </c>
      <c r="F146" t="inlineStr">
        <is>
          <t>KALMAR LÄN</t>
        </is>
      </c>
      <c r="G146" t="inlineStr">
        <is>
          <t>HÖGSBY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44861</v>
      </c>
      <c r="E147" s="1" t="n">
        <v>46315</v>
      </c>
      <c r="F147" t="inlineStr">
        <is>
          <t>KALMAR LÄN</t>
        </is>
      </c>
      <c r="G147" t="inlineStr">
        <is>
          <t>HÖGSBY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46315</v>
      </c>
      <c r="F148" t="inlineStr">
        <is>
          <t>KALMAR LÄN</t>
        </is>
      </c>
      <c r="G148" t="inlineStr">
        <is>
          <t>HÖGSBY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46315</v>
      </c>
      <c r="F149" t="inlineStr">
        <is>
          <t>KALMAR LÄN</t>
        </is>
      </c>
      <c r="G149" t="inlineStr">
        <is>
          <t>HÖGSBY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44879</v>
      </c>
      <c r="E150" s="1" t="n">
        <v>46315</v>
      </c>
      <c r="F150" t="inlineStr">
        <is>
          <t>KALMAR LÄN</t>
        </is>
      </c>
      <c r="G150" t="inlineStr">
        <is>
          <t>HÖGSBY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46315</v>
      </c>
      <c r="F151" t="inlineStr">
        <is>
          <t>KALMAR LÄN</t>
        </is>
      </c>
      <c r="G151" t="inlineStr">
        <is>
          <t>HÖGSBY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46315</v>
      </c>
      <c r="F152" t="inlineStr">
        <is>
          <t>KALMAR LÄN</t>
        </is>
      </c>
      <c r="G152" t="inlineStr">
        <is>
          <t>HÖGSBY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46315</v>
      </c>
      <c r="F153" t="inlineStr">
        <is>
          <t>KALMAR LÄN</t>
        </is>
      </c>
      <c r="G153" t="inlineStr">
        <is>
          <t>HÖGSBY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46315</v>
      </c>
      <c r="F154" t="inlineStr">
        <is>
          <t>KALMAR LÄN</t>
        </is>
      </c>
      <c r="G154" t="inlineStr">
        <is>
          <t>HÖGSBY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46315</v>
      </c>
      <c r="F155" t="inlineStr">
        <is>
          <t>KALMAR LÄN</t>
        </is>
      </c>
      <c r="G155" t="inlineStr">
        <is>
          <t>HÖGSBY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44861</v>
      </c>
      <c r="E156" s="1" t="n">
        <v>46315</v>
      </c>
      <c r="F156" t="inlineStr">
        <is>
          <t>KALMAR LÄN</t>
        </is>
      </c>
      <c r="G156" t="inlineStr">
        <is>
          <t>HÖGSBY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44586</v>
      </c>
      <c r="E157" s="1" t="n">
        <v>46315</v>
      </c>
      <c r="F157" t="inlineStr">
        <is>
          <t>KALMAR LÄN</t>
        </is>
      </c>
      <c r="G157" t="inlineStr">
        <is>
          <t>HÖGSBY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46315</v>
      </c>
      <c r="F158" t="inlineStr">
        <is>
          <t>KALMAR LÄN</t>
        </is>
      </c>
      <c r="G158" t="inlineStr">
        <is>
          <t>HÖGSBY</t>
        </is>
      </c>
      <c r="H158" t="inlineStr">
        <is>
          <t>Övriga Aktiebolag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45040</v>
      </c>
      <c r="E159" s="1" t="n">
        <v>46315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46315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46315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59281-2022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44904</v>
      </c>
      <c r="E162" s="1" t="n">
        <v>46315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46315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45950</v>
      </c>
      <c r="E164" s="1" t="n">
        <v>46315</v>
      </c>
      <c r="F164" t="inlineStr">
        <is>
          <t>KALMAR LÄN</t>
        </is>
      </c>
      <c r="G164" t="inlineStr">
        <is>
          <t>HÖGSBY</t>
        </is>
      </c>
      <c r="I164" t="n">
        <v>12.8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46315</v>
      </c>
      <c r="F165" t="inlineStr">
        <is>
          <t>KALMAR LÄN</t>
        </is>
      </c>
      <c r="G165" t="inlineStr">
        <is>
          <t>HÖGSBY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44866</v>
      </c>
      <c r="E166" s="1" t="n">
        <v>46315</v>
      </c>
      <c r="F166" t="inlineStr">
        <is>
          <t>KALMAR LÄN</t>
        </is>
      </c>
      <c r="G166" t="inlineStr">
        <is>
          <t>HÖGSBY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37811-2024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45544</v>
      </c>
      <c r="E167" s="1" t="n">
        <v>46315</v>
      </c>
      <c r="F167" t="inlineStr">
        <is>
          <t>KALMAR LÄN</t>
        </is>
      </c>
      <c r="G167" t="inlineStr">
        <is>
          <t>HÖGSBY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46315</v>
      </c>
      <c r="F168" t="inlineStr">
        <is>
          <t>KALMAR LÄN</t>
        </is>
      </c>
      <c r="G168" t="inlineStr">
        <is>
          <t>HÖGSBY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28648-2023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45103</v>
      </c>
      <c r="E169" s="1" t="n">
        <v>46315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46315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46315</v>
      </c>
      <c r="F171" t="inlineStr">
        <is>
          <t>KALMAR LÄN</t>
        </is>
      </c>
      <c r="G171" t="inlineStr">
        <is>
          <t>HÖGSBY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46315</v>
      </c>
      <c r="F172" t="inlineStr">
        <is>
          <t>KALMAR LÄN</t>
        </is>
      </c>
      <c r="G172" t="inlineStr">
        <is>
          <t>HÖGSBY</t>
        </is>
      </c>
      <c r="I172" t="n">
        <v>12.1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45341</v>
      </c>
      <c r="E173" s="1" t="n">
        <v>46315</v>
      </c>
      <c r="F173" t="inlineStr">
        <is>
          <t>KALMAR LÄN</t>
        </is>
      </c>
      <c r="G173" t="inlineStr">
        <is>
          <t>HÖGSBY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46315</v>
      </c>
      <c r="F174" t="inlineStr">
        <is>
          <t>KALMAR LÄN</t>
        </is>
      </c>
      <c r="G174" t="inlineStr">
        <is>
          <t>HÖGSBY</t>
        </is>
      </c>
      <c r="H174" t="inlineStr">
        <is>
          <t>Kyrkan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46315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46315</v>
      </c>
      <c r="F176" t="inlineStr">
        <is>
          <t>KALMAR LÄN</t>
        </is>
      </c>
      <c r="G176" t="inlineStr">
        <is>
          <t>HÖGSBY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22562-2026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46155</v>
      </c>
      <c r="E177" s="1" t="n">
        <v>46315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22564-2026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46155</v>
      </c>
      <c r="E178" s="1" t="n">
        <v>46315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44907</v>
      </c>
      <c r="E179" s="1" t="n">
        <v>46315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46315</v>
      </c>
      <c r="F180" t="inlineStr">
        <is>
          <t>KALMAR LÄN</t>
        </is>
      </c>
      <c r="G180" t="inlineStr">
        <is>
          <t>HÖGSBY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45307</v>
      </c>
      <c r="E181" s="1" t="n">
        <v>46315</v>
      </c>
      <c r="F181" t="inlineStr">
        <is>
          <t>KALMAR LÄN</t>
        </is>
      </c>
      <c r="G181" t="inlineStr">
        <is>
          <t>HÖGSBY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45114</v>
      </c>
      <c r="E182" s="1" t="n">
        <v>46315</v>
      </c>
      <c r="F182" t="inlineStr">
        <is>
          <t>KALMAR LÄN</t>
        </is>
      </c>
      <c r="G182" t="inlineStr">
        <is>
          <t>HÖGSBY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46315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44496</v>
      </c>
      <c r="E184" s="1" t="n">
        <v>46315</v>
      </c>
      <c r="F184" t="inlineStr">
        <is>
          <t>KALMAR LÄN</t>
        </is>
      </c>
      <c r="G184" t="inlineStr">
        <is>
          <t>HÖGSBY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46315</v>
      </c>
      <c r="F185" t="inlineStr">
        <is>
          <t>KALMAR LÄN</t>
        </is>
      </c>
      <c r="G185" t="inlineStr">
        <is>
          <t>HÖGSBY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46162</v>
      </c>
      <c r="E186" s="1" t="n">
        <v>46315</v>
      </c>
      <c r="F186" t="inlineStr">
        <is>
          <t>KALMAR LÄN</t>
        </is>
      </c>
      <c r="G186" t="inlineStr">
        <is>
          <t>HÖGSBY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46315</v>
      </c>
      <c r="F187" t="inlineStr">
        <is>
          <t>KALMAR LÄN</t>
        </is>
      </c>
      <c r="G187" t="inlineStr">
        <is>
          <t>HÖGSBY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46315</v>
      </c>
      <c r="F188" t="inlineStr">
        <is>
          <t>KALMAR LÄN</t>
        </is>
      </c>
      <c r="G188" t="inlineStr">
        <is>
          <t>HÖGSBY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46315</v>
      </c>
      <c r="F189" t="inlineStr">
        <is>
          <t>KALMAR LÄN</t>
        </is>
      </c>
      <c r="G189" t="inlineStr">
        <is>
          <t>HÖGSBY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45058</v>
      </c>
      <c r="E190" s="1" t="n">
        <v>46315</v>
      </c>
      <c r="F190" t="inlineStr">
        <is>
          <t>KALMAR LÄN</t>
        </is>
      </c>
      <c r="G190" t="inlineStr">
        <is>
          <t>HÖGSBY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73709-2021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44552</v>
      </c>
      <c r="E191" s="1" t="n">
        <v>46315</v>
      </c>
      <c r="F191" t="inlineStr">
        <is>
          <t>KALMAR LÄN</t>
        </is>
      </c>
      <c r="G191" t="inlineStr">
        <is>
          <t>HÖGSBY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46315</v>
      </c>
      <c r="F192" t="inlineStr">
        <is>
          <t>KALMAR LÄN</t>
        </is>
      </c>
      <c r="G192" t="inlineStr">
        <is>
          <t>HÖGSBY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46315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45348</v>
      </c>
      <c r="E194" s="1" t="n">
        <v>46315</v>
      </c>
      <c r="F194" t="inlineStr">
        <is>
          <t>KALMAR LÄN</t>
        </is>
      </c>
      <c r="G194" t="inlineStr">
        <is>
          <t>HÖGSBY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46315</v>
      </c>
      <c r="F195" t="inlineStr">
        <is>
          <t>KALMAR LÄN</t>
        </is>
      </c>
      <c r="G195" t="inlineStr">
        <is>
          <t>HÖGSBY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46315</v>
      </c>
      <c r="F196" t="inlineStr">
        <is>
          <t>KALMAR LÄN</t>
        </is>
      </c>
      <c r="G196" t="inlineStr">
        <is>
          <t>HÖGSBY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45994</v>
      </c>
      <c r="E197" s="1" t="n">
        <v>46315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45360</v>
      </c>
      <c r="E198" s="1" t="n">
        <v>46315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46315</v>
      </c>
      <c r="F199" t="inlineStr">
        <is>
          <t>KALMAR LÄN</t>
        </is>
      </c>
      <c r="G199" t="inlineStr">
        <is>
          <t>HÖGSBY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46315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46315</v>
      </c>
      <c r="F201" t="inlineStr">
        <is>
          <t>KALMAR LÄN</t>
        </is>
      </c>
      <c r="G201" t="inlineStr">
        <is>
          <t>HÖGSBY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23937-2026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46167</v>
      </c>
      <c r="E202" s="1" t="n">
        <v>46315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46315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18.4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46315</v>
      </c>
      <c r="F204" t="inlineStr">
        <is>
          <t>KALMAR LÄN</t>
        </is>
      </c>
      <c r="G204" t="inlineStr">
        <is>
          <t>HÖGSBY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45999</v>
      </c>
      <c r="E205" s="1" t="n">
        <v>46315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46315</v>
      </c>
      <c r="F206" t="inlineStr">
        <is>
          <t>KALMAR LÄN</t>
        </is>
      </c>
      <c r="G206" t="inlineStr">
        <is>
          <t>HÖGSBY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46315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46315</v>
      </c>
      <c r="F208" t="inlineStr">
        <is>
          <t>KALMAR LÄN</t>
        </is>
      </c>
      <c r="G208" t="inlineStr">
        <is>
          <t>HÖGSBY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46315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46315</v>
      </c>
      <c r="F210" t="inlineStr">
        <is>
          <t>KALMAR LÄN</t>
        </is>
      </c>
      <c r="G210" t="inlineStr">
        <is>
          <t>HÖGSBY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44993</v>
      </c>
      <c r="E211" s="1" t="n">
        <v>46315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62720-2025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46008</v>
      </c>
      <c r="E212" s="1" t="n">
        <v>46315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62722-2025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46008</v>
      </c>
      <c r="E213" s="1" t="n">
        <v>46315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46315</v>
      </c>
      <c r="F214" t="inlineStr">
        <is>
          <t>KALMAR LÄN</t>
        </is>
      </c>
      <c r="G214" t="inlineStr">
        <is>
          <t>HÖGSBY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46009</v>
      </c>
      <c r="E215" s="1" t="n">
        <v>46315</v>
      </c>
      <c r="F215" t="inlineStr">
        <is>
          <t>KALMAR LÄN</t>
        </is>
      </c>
      <c r="G215" t="inlineStr">
        <is>
          <t>HÖGSBY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46315</v>
      </c>
      <c r="F216" t="inlineStr">
        <is>
          <t>KALMAR LÄN</t>
        </is>
      </c>
      <c r="G216" t="inlineStr">
        <is>
          <t>HÖGSBY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45348</v>
      </c>
      <c r="E217" s="1" t="n">
        <v>46315</v>
      </c>
      <c r="F217" t="inlineStr">
        <is>
          <t>KALMAR LÄN</t>
        </is>
      </c>
      <c r="G217" t="inlineStr">
        <is>
          <t>HÖGSBY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45239</v>
      </c>
      <c r="E218" s="1" t="n">
        <v>46315</v>
      </c>
      <c r="F218" t="inlineStr">
        <is>
          <t>KALMAR LÄN</t>
        </is>
      </c>
      <c r="G218" t="inlineStr">
        <is>
          <t>HÖGSBY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24601-2024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45460</v>
      </c>
      <c r="E219" s="1" t="n">
        <v>46315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46315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7325-2025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45702</v>
      </c>
      <c r="E221" s="1" t="n">
        <v>46315</v>
      </c>
      <c r="F221" t="inlineStr">
        <is>
          <t>KALMAR LÄN</t>
        </is>
      </c>
      <c r="G221" t="inlineStr">
        <is>
          <t>HÖGSBY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44625</v>
      </c>
      <c r="E222" s="1" t="n">
        <v>46315</v>
      </c>
      <c r="F222" t="inlineStr">
        <is>
          <t>KALMAR LÄN</t>
        </is>
      </c>
      <c r="G222" t="inlineStr">
        <is>
          <t>HÖGSBY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44625</v>
      </c>
      <c r="E223" s="1" t="n">
        <v>46315</v>
      </c>
      <c r="F223" t="inlineStr">
        <is>
          <t>KALMAR LÄN</t>
        </is>
      </c>
      <c r="G223" t="inlineStr">
        <is>
          <t>HÖGSBY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46315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46315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46315</v>
      </c>
      <c r="F226" t="inlineStr">
        <is>
          <t>KALMAR LÄN</t>
        </is>
      </c>
      <c r="G226" t="inlineStr">
        <is>
          <t>HÖGSBY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46315</v>
      </c>
      <c r="F227" t="inlineStr">
        <is>
          <t>KALMAR LÄN</t>
        </is>
      </c>
      <c r="G227" t="inlineStr">
        <is>
          <t>HÖGSBY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46315</v>
      </c>
      <c r="F228" t="inlineStr">
        <is>
          <t>KALMAR LÄN</t>
        </is>
      </c>
      <c r="G228" t="inlineStr">
        <is>
          <t>HÖGSBY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40155-2023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46315</v>
      </c>
      <c r="F229" t="inlineStr">
        <is>
          <t>KALMAR LÄN</t>
        </is>
      </c>
      <c r="G229" t="inlineStr">
        <is>
          <t>HÖGSBY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46315</v>
      </c>
      <c r="F230" t="inlineStr">
        <is>
          <t>KALMAR LÄN</t>
        </is>
      </c>
      <c r="G230" t="inlineStr">
        <is>
          <t>HÖGSBY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38797-2024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45547</v>
      </c>
      <c r="E231" s="1" t="n">
        <v>46315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46315</v>
      </c>
      <c r="F232" t="inlineStr">
        <is>
          <t>KALMAR LÄN</t>
        </is>
      </c>
      <c r="G232" t="inlineStr">
        <is>
          <t>HÖGSBY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46315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46315</v>
      </c>
      <c r="F234" t="inlineStr">
        <is>
          <t>KALMAR LÄN</t>
        </is>
      </c>
      <c r="G234" t="inlineStr">
        <is>
          <t>HÖGSBY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7443-2026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46059</v>
      </c>
      <c r="E235" s="1" t="n">
        <v>46315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46315</v>
      </c>
      <c r="F236" t="inlineStr">
        <is>
          <t>KALMAR LÄN</t>
        </is>
      </c>
      <c r="G236" t="inlineStr">
        <is>
          <t>HÖGSBY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46315</v>
      </c>
      <c r="F237" t="inlineStr">
        <is>
          <t>KALMAR LÄN</t>
        </is>
      </c>
      <c r="G237" t="inlineStr">
        <is>
          <t>HÖGSBY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45160</v>
      </c>
      <c r="E238" s="1" t="n">
        <v>46315</v>
      </c>
      <c r="F238" t="inlineStr">
        <is>
          <t>KALMAR LÄN</t>
        </is>
      </c>
      <c r="G238" t="inlineStr">
        <is>
          <t>HÖGSBY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44677</v>
      </c>
      <c r="E239" s="1" t="n">
        <v>46315</v>
      </c>
      <c r="F239" t="inlineStr">
        <is>
          <t>KALMAR LÄN</t>
        </is>
      </c>
      <c r="G239" t="inlineStr">
        <is>
          <t>HÖGSBY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46315</v>
      </c>
      <c r="F240" t="inlineStr">
        <is>
          <t>KALMAR LÄN</t>
        </is>
      </c>
      <c r="G240" t="inlineStr">
        <is>
          <t>HÖGSBY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46315</v>
      </c>
      <c r="F241" t="inlineStr">
        <is>
          <t>KALMAR LÄN</t>
        </is>
      </c>
      <c r="G241" t="inlineStr">
        <is>
          <t>HÖGSBY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45700</v>
      </c>
      <c r="E242" s="1" t="n">
        <v>46315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46315</v>
      </c>
      <c r="F243" t="inlineStr">
        <is>
          <t>KALMAR LÄN</t>
        </is>
      </c>
      <c r="G243" t="inlineStr">
        <is>
          <t>HÖGSBY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46315</v>
      </c>
      <c r="F244" t="inlineStr">
        <is>
          <t>KALMAR LÄN</t>
        </is>
      </c>
      <c r="G244" t="inlineStr">
        <is>
          <t>HÖGSBY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27916-2023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46315</v>
      </c>
      <c r="F245" t="inlineStr">
        <is>
          <t>KALMAR LÄN</t>
        </is>
      </c>
      <c r="G245" t="inlineStr">
        <is>
          <t>HÖGSBY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44882</v>
      </c>
      <c r="E246" s="1" t="n">
        <v>46315</v>
      </c>
      <c r="F246" t="inlineStr">
        <is>
          <t>KALMAR LÄN</t>
        </is>
      </c>
      <c r="G246" t="inlineStr">
        <is>
          <t>HÖGSBY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46315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46315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45247</v>
      </c>
      <c r="E249" s="1" t="n">
        <v>46315</v>
      </c>
      <c r="F249" t="inlineStr">
        <is>
          <t>KALMAR LÄN</t>
        </is>
      </c>
      <c r="G249" t="inlineStr">
        <is>
          <t>HÖGSBY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46315</v>
      </c>
      <c r="F250" t="inlineStr">
        <is>
          <t>KALMAR LÄN</t>
        </is>
      </c>
      <c r="G250" t="inlineStr">
        <is>
          <t>HÖGSBY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46315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46315</v>
      </c>
      <c r="F252" t="inlineStr">
        <is>
          <t>KALMAR LÄN</t>
        </is>
      </c>
      <c r="G252" t="inlineStr">
        <is>
          <t>HÖGSBY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46315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46315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46079</v>
      </c>
      <c r="E255" s="1" t="n">
        <v>46315</v>
      </c>
      <c r="F255" t="inlineStr">
        <is>
          <t>KALMAR LÄN</t>
        </is>
      </c>
      <c r="G255" t="inlineStr">
        <is>
          <t>HÖGSBY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46315</v>
      </c>
      <c r="F256" t="inlineStr">
        <is>
          <t>KALMAR LÄN</t>
        </is>
      </c>
      <c r="G256" t="inlineStr">
        <is>
          <t>HÖGSBY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44760</v>
      </c>
      <c r="E257" s="1" t="n">
        <v>46315</v>
      </c>
      <c r="F257" t="inlineStr">
        <is>
          <t>KALMAR LÄN</t>
        </is>
      </c>
      <c r="G257" t="inlineStr">
        <is>
          <t>HÖGSBY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46315</v>
      </c>
      <c r="F258" t="inlineStr">
        <is>
          <t>KALMAR LÄN</t>
        </is>
      </c>
      <c r="G258" t="inlineStr">
        <is>
          <t>HÖGSBY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46315</v>
      </c>
      <c r="F259" t="inlineStr">
        <is>
          <t>KALMAR LÄN</t>
        </is>
      </c>
      <c r="G259" t="inlineStr">
        <is>
          <t>HÖGSBY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46315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46315</v>
      </c>
      <c r="F261" t="inlineStr">
        <is>
          <t>KALMAR LÄN</t>
        </is>
      </c>
      <c r="G261" t="inlineStr">
        <is>
          <t>HÖGSBY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45306</v>
      </c>
      <c r="E262" s="1" t="n">
        <v>46315</v>
      </c>
      <c r="F262" t="inlineStr">
        <is>
          <t>KALMAR LÄN</t>
        </is>
      </c>
      <c r="G262" t="inlineStr">
        <is>
          <t>HÖGSBY</t>
        </is>
      </c>
      <c r="H262" t="inlineStr">
        <is>
          <t>Övriga Aktiebolag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14894-2025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45743</v>
      </c>
      <c r="E263" s="1" t="n">
        <v>46315</v>
      </c>
      <c r="F263" t="inlineStr">
        <is>
          <t>KALMAR LÄN</t>
        </is>
      </c>
      <c r="G263" t="inlineStr">
        <is>
          <t>HÖGSBY</t>
        </is>
      </c>
      <c r="H263" t="inlineStr">
        <is>
          <t>Kommuner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46315</v>
      </c>
      <c r="F264" t="inlineStr">
        <is>
          <t>KALMAR LÄN</t>
        </is>
      </c>
      <c r="G264" t="inlineStr">
        <is>
          <t>HÖGSBY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28574-2026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46315</v>
      </c>
      <c r="F265" t="inlineStr">
        <is>
          <t>KALMAR LÄN</t>
        </is>
      </c>
      <c r="G265" t="inlineStr">
        <is>
          <t>HÖGSBY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46315</v>
      </c>
      <c r="F266" t="inlineStr">
        <is>
          <t>KALMAR LÄN</t>
        </is>
      </c>
      <c r="G266" t="inlineStr">
        <is>
          <t>HÖGSBY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46315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46315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46315</v>
      </c>
      <c r="F269" t="inlineStr">
        <is>
          <t>KALMAR LÄN</t>
        </is>
      </c>
      <c r="G269" t="inlineStr">
        <is>
          <t>HÖGSBY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74478-2021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44559</v>
      </c>
      <c r="E270" s="1" t="n">
        <v>46315</v>
      </c>
      <c r="F270" t="inlineStr">
        <is>
          <t>KALMAR LÄN</t>
        </is>
      </c>
      <c r="G270" t="inlineStr">
        <is>
          <t>HÖGSBY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46315</v>
      </c>
      <c r="F271" t="inlineStr">
        <is>
          <t>KALMAR LÄN</t>
        </is>
      </c>
      <c r="G271" t="inlineStr">
        <is>
          <t>HÖGSBY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28702-2026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46198</v>
      </c>
      <c r="E272" s="1" t="n">
        <v>46315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28692-2026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46315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28713-2026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46315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46315</v>
      </c>
      <c r="F275" t="inlineStr">
        <is>
          <t>KALMAR LÄN</t>
        </is>
      </c>
      <c r="G275" t="inlineStr">
        <is>
          <t>HÖGSBY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46315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46315</v>
      </c>
      <c r="F277" t="inlineStr">
        <is>
          <t>KALMAR LÄN</t>
        </is>
      </c>
      <c r="G277" t="inlineStr">
        <is>
          <t>HÖGSBY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46315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46315</v>
      </c>
      <c r="F279" t="inlineStr">
        <is>
          <t>KALMAR LÄN</t>
        </is>
      </c>
      <c r="G279" t="inlineStr">
        <is>
          <t>HÖGSBY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46315</v>
      </c>
      <c r="F280" t="inlineStr">
        <is>
          <t>KALMAR LÄN</t>
        </is>
      </c>
      <c r="G280" t="inlineStr">
        <is>
          <t>HÖGSBY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46315</v>
      </c>
      <c r="F281" t="inlineStr">
        <is>
          <t>KALMAR LÄN</t>
        </is>
      </c>
      <c r="G281" t="inlineStr">
        <is>
          <t>HÖGSBY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28691-2026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46315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28697-2026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46315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46202</v>
      </c>
      <c r="E284" s="1" t="n">
        <v>46315</v>
      </c>
      <c r="F284" t="inlineStr">
        <is>
          <t>KALMAR LÄN</t>
        </is>
      </c>
      <c r="G284" t="inlineStr">
        <is>
          <t>HÖGSBY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19484-2026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46315</v>
      </c>
      <c r="F285" t="inlineStr">
        <is>
          <t>KALMAR LÄN</t>
        </is>
      </c>
      <c r="G285" t="inlineStr">
        <is>
          <t>HÖGSBY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46315</v>
      </c>
      <c r="F286" t="inlineStr">
        <is>
          <t>KALMAR LÄN</t>
        </is>
      </c>
      <c r="G286" t="inlineStr">
        <is>
          <t>HÖGSBY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38824-2024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45547</v>
      </c>
      <c r="E287" s="1" t="n">
        <v>46315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46315</v>
      </c>
      <c r="F288" t="inlineStr">
        <is>
          <t>KALMAR LÄN</t>
        </is>
      </c>
      <c r="G288" t="inlineStr">
        <is>
          <t>HÖGSBY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46315</v>
      </c>
      <c r="F289" t="inlineStr">
        <is>
          <t>KALMAR LÄN</t>
        </is>
      </c>
      <c r="G289" t="inlineStr">
        <is>
          <t>HÖGSBY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45754</v>
      </c>
      <c r="E290" s="1" t="n">
        <v>46315</v>
      </c>
      <c r="F290" t="inlineStr">
        <is>
          <t>KALMAR LÄN</t>
        </is>
      </c>
      <c r="G290" t="inlineStr">
        <is>
          <t>HÖGSBY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45329</v>
      </c>
      <c r="E291" s="1" t="n">
        <v>46315</v>
      </c>
      <c r="F291" t="inlineStr">
        <is>
          <t>KALMAR LÄN</t>
        </is>
      </c>
      <c r="G291" t="inlineStr">
        <is>
          <t>HÖGSBY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45911</v>
      </c>
      <c r="E292" s="1" t="n">
        <v>46315</v>
      </c>
      <c r="F292" t="inlineStr">
        <is>
          <t>KALMAR LÄN</t>
        </is>
      </c>
      <c r="G292" t="inlineStr">
        <is>
          <t>HÖGSBY</t>
        </is>
      </c>
      <c r="H292" t="inlineStr">
        <is>
          <t>Kommuner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46315</v>
      </c>
      <c r="F293" t="inlineStr">
        <is>
          <t>KALMAR LÄN</t>
        </is>
      </c>
      <c r="G293" t="inlineStr">
        <is>
          <t>HÖGSBY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46315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25948-2025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46315</v>
      </c>
      <c r="F295" t="inlineStr">
        <is>
          <t>KALMAR LÄN</t>
        </is>
      </c>
      <c r="G295" t="inlineStr">
        <is>
          <t>HÖGSBY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46315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45901</v>
      </c>
      <c r="E297" s="1" t="n">
        <v>46315</v>
      </c>
      <c r="F297" t="inlineStr">
        <is>
          <t>KALMAR LÄN</t>
        </is>
      </c>
      <c r="G297" t="inlineStr">
        <is>
          <t>HÖGSBY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44861</v>
      </c>
      <c r="E298" s="1" t="n">
        <v>46315</v>
      </c>
      <c r="F298" t="inlineStr">
        <is>
          <t>KALMAR LÄN</t>
        </is>
      </c>
      <c r="G298" t="inlineStr">
        <is>
          <t>HÖGSBY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44809</v>
      </c>
      <c r="E299" s="1" t="n">
        <v>46315</v>
      </c>
      <c r="F299" t="inlineStr">
        <is>
          <t>KALMAR LÄN</t>
        </is>
      </c>
      <c r="G299" t="inlineStr">
        <is>
          <t>HÖGSBY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45727</v>
      </c>
      <c r="E300" s="1" t="n">
        <v>46315</v>
      </c>
      <c r="F300" t="inlineStr">
        <is>
          <t>KALMAR LÄN</t>
        </is>
      </c>
      <c r="G300" t="inlineStr">
        <is>
          <t>HÖGSBY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46315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45093</v>
      </c>
      <c r="E302" s="1" t="n">
        <v>46315</v>
      </c>
      <c r="F302" t="inlineStr">
        <is>
          <t>KALMAR LÄN</t>
        </is>
      </c>
      <c r="G302" t="inlineStr">
        <is>
          <t>HÖGSBY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46315</v>
      </c>
      <c r="F303" t="inlineStr">
        <is>
          <t>KALMAR LÄN</t>
        </is>
      </c>
      <c r="G303" t="inlineStr">
        <is>
          <t>HÖGSBY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46315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71635-2021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44543</v>
      </c>
      <c r="E305" s="1" t="n">
        <v>46315</v>
      </c>
      <c r="F305" t="inlineStr">
        <is>
          <t>KALMAR LÄN</t>
        </is>
      </c>
      <c r="G305" t="inlineStr">
        <is>
          <t>HÖGSBY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8613-2022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44613</v>
      </c>
      <c r="E306" s="1" t="n">
        <v>46315</v>
      </c>
      <c r="F306" t="inlineStr">
        <is>
          <t>KALMAR LÄN</t>
        </is>
      </c>
      <c r="G306" t="inlineStr">
        <is>
          <t>HÖGSBY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46315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46315</v>
      </c>
      <c r="F308" t="inlineStr">
        <is>
          <t>KALMAR LÄN</t>
        </is>
      </c>
      <c r="G308" t="inlineStr">
        <is>
          <t>HÖGSBY</t>
        </is>
      </c>
      <c r="H308" t="inlineStr">
        <is>
          <t>Övriga Aktiebolag</t>
        </is>
      </c>
      <c r="I308" t="n">
        <v>15.2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44601</v>
      </c>
      <c r="E309" s="1" t="n">
        <v>46315</v>
      </c>
      <c r="F309" t="inlineStr">
        <is>
          <t>KALMAR LÄN</t>
        </is>
      </c>
      <c r="G309" t="inlineStr">
        <is>
          <t>HÖGSBY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46315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46315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22524-2024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45447</v>
      </c>
      <c r="E312" s="1" t="n">
        <v>46315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46315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46315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58753-2022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46315</v>
      </c>
      <c r="F315" t="inlineStr">
        <is>
          <t>KALMAR LÄN</t>
        </is>
      </c>
      <c r="G315" t="inlineStr">
        <is>
          <t>HÖGSBY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46315</v>
      </c>
      <c r="F316" t="inlineStr">
        <is>
          <t>KALMAR LÄN</t>
        </is>
      </c>
      <c r="G316" t="inlineStr">
        <is>
          <t>HÖGSBY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46315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46315</v>
      </c>
      <c r="F318" t="inlineStr">
        <is>
          <t>KALMAR LÄN</t>
        </is>
      </c>
      <c r="G318" t="inlineStr">
        <is>
          <t>HÖGSBY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51624-2023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46315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24292-2022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44725</v>
      </c>
      <c r="E320" s="1" t="n">
        <v>46315</v>
      </c>
      <c r="F320" t="inlineStr">
        <is>
          <t>KALMAR LÄN</t>
        </is>
      </c>
      <c r="G320" t="inlineStr">
        <is>
          <t>HÖGSBY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46315</v>
      </c>
      <c r="F321" t="inlineStr">
        <is>
          <t>KALMAR LÄN</t>
        </is>
      </c>
      <c r="G321" t="inlineStr">
        <is>
          <t>HÖGSBY</t>
        </is>
      </c>
      <c r="H321" t="inlineStr">
        <is>
          <t>Övriga Aktiebolag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46315</v>
      </c>
      <c r="F322" t="inlineStr">
        <is>
          <t>KALMAR LÄN</t>
        </is>
      </c>
      <c r="G322" t="inlineStr">
        <is>
          <t>HÖGSBY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46315</v>
      </c>
      <c r="F323" t="inlineStr">
        <is>
          <t>KALMAR LÄN</t>
        </is>
      </c>
      <c r="G323" t="inlineStr">
        <is>
          <t>HÖGSBY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46275</v>
      </c>
      <c r="E324" s="1" t="n">
        <v>46315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46315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46315</v>
      </c>
      <c r="F326" t="inlineStr">
        <is>
          <t>KALMAR LÄN</t>
        </is>
      </c>
      <c r="G326" t="inlineStr">
        <is>
          <t>HÖGSBY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44436-2023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46315</v>
      </c>
      <c r="F327" t="inlineStr">
        <is>
          <t>KALMAR LÄN</t>
        </is>
      </c>
      <c r="G327" t="inlineStr">
        <is>
          <t>HÖGSBY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46315</v>
      </c>
      <c r="F328" t="inlineStr">
        <is>
          <t>KALMAR LÄN</t>
        </is>
      </c>
      <c r="G328" t="inlineStr">
        <is>
          <t>HÖGSBY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46281</v>
      </c>
      <c r="E329" s="1" t="n">
        <v>46315</v>
      </c>
      <c r="F329" t="inlineStr">
        <is>
          <t>KALMAR LÄN</t>
        </is>
      </c>
      <c r="G329" t="inlineStr">
        <is>
          <t>HÖGSBY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46315</v>
      </c>
      <c r="F330" t="inlineStr">
        <is>
          <t>KALMAR LÄN</t>
        </is>
      </c>
      <c r="G330" t="inlineStr">
        <is>
          <t>HÖGSBY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46315</v>
      </c>
      <c r="F331" t="inlineStr">
        <is>
          <t>KALMAR LÄN</t>
        </is>
      </c>
      <c r="G331" t="inlineStr">
        <is>
          <t>HÖGSBY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45126</v>
      </c>
      <c r="E332" s="1" t="n">
        <v>46315</v>
      </c>
      <c r="F332" t="inlineStr">
        <is>
          <t>KALMAR LÄN</t>
        </is>
      </c>
      <c r="G332" t="inlineStr">
        <is>
          <t>HÖGSBY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46315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46315</v>
      </c>
      <c r="F334" t="inlineStr">
        <is>
          <t>KALMAR LÄN</t>
        </is>
      </c>
      <c r="G334" t="inlineStr">
        <is>
          <t>HÖGSBY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46287</v>
      </c>
      <c r="E335" s="1" t="n">
        <v>46315</v>
      </c>
      <c r="F335" t="inlineStr">
        <is>
          <t>KALMAR LÄN</t>
        </is>
      </c>
      <c r="G335" t="inlineStr">
        <is>
          <t>HÖGSBY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45692</v>
      </c>
      <c r="E336" s="1" t="n">
        <v>46315</v>
      </c>
      <c r="F336" t="inlineStr">
        <is>
          <t>KALMAR LÄN</t>
        </is>
      </c>
      <c r="G336" t="inlineStr">
        <is>
          <t>HÖGSBY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45239</v>
      </c>
      <c r="E337" s="1" t="n">
        <v>46315</v>
      </c>
      <c r="F337" t="inlineStr">
        <is>
          <t>KALMAR LÄN</t>
        </is>
      </c>
      <c r="G337" t="inlineStr">
        <is>
          <t>HÖGSBY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45337</v>
      </c>
      <c r="E338" s="1" t="n">
        <v>46315</v>
      </c>
      <c r="F338" t="inlineStr">
        <is>
          <t>KALMAR LÄN</t>
        </is>
      </c>
      <c r="G338" t="inlineStr">
        <is>
          <t>HÖGSBY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46315</v>
      </c>
      <c r="F339" t="inlineStr">
        <is>
          <t>KALMAR LÄN</t>
        </is>
      </c>
      <c r="G339" t="inlineStr">
        <is>
          <t>HÖGSBY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46315</v>
      </c>
      <c r="F340" t="inlineStr">
        <is>
          <t>KALMAR LÄN</t>
        </is>
      </c>
      <c r="G340" t="inlineStr">
        <is>
          <t>HÖGSBY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46315</v>
      </c>
      <c r="F341" t="inlineStr">
        <is>
          <t>KALMAR LÄN</t>
        </is>
      </c>
      <c r="G341" t="inlineStr">
        <is>
          <t>HÖGSBY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10412-2022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44623</v>
      </c>
      <c r="E342" s="1" t="n">
        <v>46315</v>
      </c>
      <c r="F342" t="inlineStr">
        <is>
          <t>KALMAR LÄN</t>
        </is>
      </c>
      <c r="G342" t="inlineStr">
        <is>
          <t>HÖGSBY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46315</v>
      </c>
      <c r="F343" t="inlineStr">
        <is>
          <t>KALMAR LÄN</t>
        </is>
      </c>
      <c r="G343" t="inlineStr">
        <is>
          <t>HÖGSBY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46315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59408-2022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44907</v>
      </c>
      <c r="E345" s="1" t="n">
        <v>46315</v>
      </c>
      <c r="F345" t="inlineStr">
        <is>
          <t>KALMAR LÄN</t>
        </is>
      </c>
      <c r="G345" t="inlineStr">
        <is>
          <t>HÖGSBY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46315</v>
      </c>
      <c r="F346" t="inlineStr">
        <is>
          <t>KALMAR LÄN</t>
        </is>
      </c>
      <c r="G346" t="inlineStr">
        <is>
          <t>HÖGSBY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46315</v>
      </c>
      <c r="F347" t="inlineStr">
        <is>
          <t>KALMAR LÄN</t>
        </is>
      </c>
      <c r="G347" t="inlineStr">
        <is>
          <t>HÖGSBY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46315</v>
      </c>
      <c r="F348" t="inlineStr">
        <is>
          <t>KALMAR LÄN</t>
        </is>
      </c>
      <c r="G348" t="inlineStr">
        <is>
          <t>HÖGSBY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33788-2026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46251</v>
      </c>
      <c r="E349" s="1" t="n">
        <v>46315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45622</v>
      </c>
      <c r="E350" s="1" t="n">
        <v>46315</v>
      </c>
      <c r="F350" t="inlineStr">
        <is>
          <t>KALMAR LÄN</t>
        </is>
      </c>
      <c r="G350" t="inlineStr">
        <is>
          <t>HÖGSBY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46315</v>
      </c>
      <c r="F351" t="inlineStr">
        <is>
          <t>KALMAR LÄN</t>
        </is>
      </c>
      <c r="G351" t="inlineStr">
        <is>
          <t>HÖGSBY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46315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46297</v>
      </c>
      <c r="E353" s="1" t="n">
        <v>46315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34078-2024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45523</v>
      </c>
      <c r="E354" s="1" t="n">
        <v>46315</v>
      </c>
      <c r="F354" t="inlineStr">
        <is>
          <t>KALMAR LÄN</t>
        </is>
      </c>
      <c r="G354" t="inlineStr">
        <is>
          <t>HÖGSBY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45782</v>
      </c>
      <c r="E355" s="1" t="n">
        <v>46315</v>
      </c>
      <c r="F355" t="inlineStr">
        <is>
          <t>KALMAR LÄN</t>
        </is>
      </c>
      <c r="G355" t="inlineStr">
        <is>
          <t>HÖGSBY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41021-2026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46297</v>
      </c>
      <c r="E356" s="1" t="n">
        <v>46315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46297</v>
      </c>
      <c r="E357" s="1" t="n">
        <v>46315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46293</v>
      </c>
      <c r="E358" s="1" t="n">
        <v>46315</v>
      </c>
      <c r="F358" t="inlineStr">
        <is>
          <t>KALMAR LÄN</t>
        </is>
      </c>
      <c r="G358" t="inlineStr">
        <is>
          <t>HÖGSBY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45170</v>
      </c>
      <c r="E359" s="1" t="n">
        <v>46315</v>
      </c>
      <c r="F359" t="inlineStr">
        <is>
          <t>KALMAR LÄN</t>
        </is>
      </c>
      <c r="G359" t="inlineStr">
        <is>
          <t>HÖGSBY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45554</v>
      </c>
      <c r="E360" s="1" t="n">
        <v>46315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Z360">
        <f>HYPERLINK("https://klasma.github.io/Logging_0821/knärot/A 40137-2024 karta knärot.png", "A 40137-2024")</f>
        <v/>
      </c>
      <c r="AA360">
        <f>HYPERLINK("https://klasma.github.io/Logging_0821/klagomål/A 40137-2024 FSC-klagomål.docx", "A 40137-2024")</f>
        <v/>
      </c>
      <c r="AB360">
        <f>HYPERLINK("https://klasma.github.io/Logging_0821/klagomålsmail/A 40137-2024 FSC-klagomål mail.docx", "A 40137-2024")</f>
        <v/>
      </c>
      <c r="AC360">
        <f>HYPERLINK("https://klasma.github.io/Logging_0821/tillsyn/A 40137-2024 tillsynsbegäran.docx", "A 40137-2024")</f>
        <v/>
      </c>
      <c r="AD360">
        <f>HYPERLINK("https://klasma.github.io/Logging_0821/tillsynsmail/A 40137-2024 tillsynsbegäran mail.docx", "A 40137-2024")</f>
        <v/>
      </c>
    </row>
    <row r="361" ht="15" customHeight="1">
      <c r="A361" t="inlineStr">
        <is>
          <t>A 50428-2024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46315</v>
      </c>
      <c r="F361" t="inlineStr">
        <is>
          <t>KALMAR LÄN</t>
        </is>
      </c>
      <c r="G361" t="inlineStr">
        <is>
          <t>HÖGSBY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46315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46315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46315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45797</v>
      </c>
      <c r="E365" s="1" t="n">
        <v>46315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46315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46315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46315</v>
      </c>
      <c r="F368" t="inlineStr">
        <is>
          <t>KALMAR LÄN</t>
        </is>
      </c>
      <c r="G368" t="inlineStr">
        <is>
          <t>HÖGSBY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46315</v>
      </c>
      <c r="F369" t="inlineStr">
        <is>
          <t>KALMAR LÄN</t>
        </is>
      </c>
      <c r="G369" t="inlineStr">
        <is>
          <t>HÖGSBY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46300</v>
      </c>
      <c r="E370" s="1" t="n">
        <v>46315</v>
      </c>
      <c r="F370" t="inlineStr">
        <is>
          <t>KALMAR LÄN</t>
        </is>
      </c>
      <c r="G370" t="inlineStr">
        <is>
          <t>HÖGSBY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46309</v>
      </c>
      <c r="E371" s="1" t="n">
        <v>46315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36404-2026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46268</v>
      </c>
      <c r="E372" s="1" t="n">
        <v>46315</v>
      </c>
      <c r="F372" t="inlineStr">
        <is>
          <t>KALMAR LÄN</t>
        </is>
      </c>
      <c r="G372" t="inlineStr">
        <is>
          <t>HÖGSBY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46309</v>
      </c>
      <c r="E373" s="1" t="n">
        <v>46315</v>
      </c>
      <c r="F373" t="inlineStr">
        <is>
          <t>KALMAR LÄN</t>
        </is>
      </c>
      <c r="G373" t="inlineStr">
        <is>
          <t>HÖGSBY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46315</v>
      </c>
      <c r="F374" t="inlineStr">
        <is>
          <t>KALMAR LÄN</t>
        </is>
      </c>
      <c r="G374" t="inlineStr">
        <is>
          <t>HÖGSBY</t>
        </is>
      </c>
      <c r="I374" t="n">
        <v>9.6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46309</v>
      </c>
      <c r="E375" s="1" t="n">
        <v>46315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46309</v>
      </c>
      <c r="E376" s="1" t="n">
        <v>46315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46309</v>
      </c>
      <c r="E377" s="1" t="n">
        <v>46315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46315</v>
      </c>
      <c r="F378" t="inlineStr">
        <is>
          <t>KALMAR LÄN</t>
        </is>
      </c>
      <c r="G378" t="inlineStr">
        <is>
          <t>HÖGSBY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46267</v>
      </c>
      <c r="E379" s="1" t="n">
        <v>46315</v>
      </c>
      <c r="F379" t="inlineStr">
        <is>
          <t>KALMAR LÄN</t>
        </is>
      </c>
      <c r="G379" t="inlineStr">
        <is>
          <t>HÖGSBY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46315</v>
      </c>
      <c r="F380" t="inlineStr">
        <is>
          <t>KALMAR LÄN</t>
        </is>
      </c>
      <c r="G380" t="inlineStr">
        <is>
          <t>HÖGSBY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46315</v>
      </c>
      <c r="F381" t="inlineStr">
        <is>
          <t>KALMAR LÄN</t>
        </is>
      </c>
      <c r="G381" t="inlineStr">
        <is>
          <t>HÖGSBY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46310</v>
      </c>
      <c r="E382" s="1" t="n">
        <v>46315</v>
      </c>
      <c r="F382" t="inlineStr">
        <is>
          <t>KALMAR LÄN</t>
        </is>
      </c>
      <c r="G382" t="inlineStr">
        <is>
          <t>HÖGSBY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46310</v>
      </c>
      <c r="E383" s="1" t="n">
        <v>46315</v>
      </c>
      <c r="F383" t="inlineStr">
        <is>
          <t>KALMAR LÄN</t>
        </is>
      </c>
      <c r="G383" t="inlineStr">
        <is>
          <t>HÖGSBY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46315</v>
      </c>
      <c r="F384" t="inlineStr">
        <is>
          <t>KALMAR LÄN</t>
        </is>
      </c>
      <c r="G384" t="inlineStr">
        <is>
          <t>HÖGSBY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43057-2026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46311</v>
      </c>
      <c r="E385" s="1" t="n">
        <v>46315</v>
      </c>
      <c r="F385" t="inlineStr">
        <is>
          <t>KALMAR LÄN</t>
        </is>
      </c>
      <c r="G385" t="inlineStr">
        <is>
          <t>HÖGSBY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46311</v>
      </c>
      <c r="E386" s="1" t="n">
        <v>46315</v>
      </c>
      <c r="F386" t="inlineStr">
        <is>
          <t>KALMAR LÄN</t>
        </is>
      </c>
      <c r="G386" t="inlineStr">
        <is>
          <t>HÖGSBY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45847</v>
      </c>
      <c r="E387" s="1" t="n">
        <v>46315</v>
      </c>
      <c r="F387" t="inlineStr">
        <is>
          <t>KALMAR LÄN</t>
        </is>
      </c>
      <c r="G387" t="inlineStr">
        <is>
          <t>HÖGSBY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46315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46315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46315</v>
      </c>
      <c r="F390" t="inlineStr">
        <is>
          <t>KALMAR LÄN</t>
        </is>
      </c>
      <c r="G390" t="inlineStr">
        <is>
          <t>HÖGSBY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46311</v>
      </c>
      <c r="E391" s="1" t="n">
        <v>46315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46315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24.4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43036-2026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46311</v>
      </c>
      <c r="E393" s="1" t="n">
        <v>46315</v>
      </c>
      <c r="F393" t="inlineStr">
        <is>
          <t>KALMAR LÄN</t>
        </is>
      </c>
      <c r="G393" t="inlineStr">
        <is>
          <t>HÖGSBY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38068-2025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45882</v>
      </c>
      <c r="E394" s="1" t="n">
        <v>46315</v>
      </c>
      <c r="F394" t="inlineStr">
        <is>
          <t>KALMAR LÄN</t>
        </is>
      </c>
      <c r="G394" t="inlineStr">
        <is>
          <t>HÖGSBY</t>
        </is>
      </c>
      <c r="H394" t="inlineStr">
        <is>
          <t>Sveaskog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45688</v>
      </c>
      <c r="E395" s="1" t="n">
        <v>46315</v>
      </c>
      <c r="F395" t="inlineStr">
        <is>
          <t>KALMAR LÄN</t>
        </is>
      </c>
      <c r="G395" t="inlineStr">
        <is>
          <t>HÖGSBY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566-2022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46315</v>
      </c>
      <c r="F396" t="inlineStr">
        <is>
          <t>KALMAR LÄN</t>
        </is>
      </c>
      <c r="G396" t="inlineStr">
        <is>
          <t>HÖGSBY</t>
        </is>
      </c>
      <c r="I396" t="n">
        <v>15.1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561-2022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46315</v>
      </c>
      <c r="F397" t="inlineStr">
        <is>
          <t>KALMAR LÄN</t>
        </is>
      </c>
      <c r="G397" t="inlineStr">
        <is>
          <t>HÖGSBY</t>
        </is>
      </c>
      <c r="I397" t="n">
        <v>30.3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513-2023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46315</v>
      </c>
      <c r="F398" t="inlineStr">
        <is>
          <t>KALMAR LÄN</t>
        </is>
      </c>
      <c r="G398" t="inlineStr">
        <is>
          <t>HÖGSBY</t>
        </is>
      </c>
      <c r="I398" t="n">
        <v>12.4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4463-2022</t>
        </is>
      </c>
      <c r="B399" t="inlineStr">
        <is>
          <t>samrådsanmälan</t>
        </is>
      </c>
      <c r="C399" t="inlineStr">
        <is>
          <t>Åtgärd i nyckelbiotop</t>
        </is>
      </c>
      <c r="D399" s="1" t="n">
        <v>44788</v>
      </c>
      <c r="E399" s="1" t="n">
        <v>46315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3208-2024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45524</v>
      </c>
      <c r="E400" s="1" t="n">
        <v>46315</v>
      </c>
      <c r="F400" t="inlineStr">
        <is>
          <t>KALMAR LÄN</t>
        </is>
      </c>
      <c r="G400" t="inlineStr">
        <is>
          <t>HÖGSBY</t>
        </is>
      </c>
      <c r="I400" t="n">
        <v>23.3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7006-2022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44903</v>
      </c>
      <c r="E401" s="1" t="n">
        <v>46315</v>
      </c>
      <c r="F401" t="inlineStr">
        <is>
          <t>KALMAR LÄN</t>
        </is>
      </c>
      <c r="G401" t="inlineStr">
        <is>
          <t>HÖGSBY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514-2023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44966</v>
      </c>
      <c r="E402" s="1" t="n">
        <v>46315</v>
      </c>
      <c r="F402" t="inlineStr">
        <is>
          <t>KALMAR LÄN</t>
        </is>
      </c>
      <c r="G402" t="inlineStr">
        <is>
          <t>HÖGSBY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512-2023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44966</v>
      </c>
      <c r="E403" s="1" t="n">
        <v>46315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2564-2023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45140</v>
      </c>
      <c r="E404" s="1" t="n">
        <v>46315</v>
      </c>
      <c r="F404" t="inlineStr">
        <is>
          <t>KALMAR LÄN</t>
        </is>
      </c>
      <c r="G404" t="inlineStr">
        <is>
          <t>HÖGSBY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2563-2023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45140</v>
      </c>
      <c r="E405" s="1" t="n">
        <v>46315</v>
      </c>
      <c r="F405" t="inlineStr">
        <is>
          <t>KALMAR LÄN</t>
        </is>
      </c>
      <c r="G405" t="inlineStr">
        <is>
          <t>HÖGSBY</t>
        </is>
      </c>
      <c r="I405" t="n">
        <v>28.7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5035-2024</t>
        </is>
      </c>
      <c r="B406" t="inlineStr">
        <is>
          <t>samrådsanmälan</t>
        </is>
      </c>
      <c r="C406" t="inlineStr">
        <is>
          <t>Stubbskörd</t>
        </is>
      </c>
      <c r="D406" s="1" t="n">
        <v>45636</v>
      </c>
      <c r="E406" s="1" t="n">
        <v>46315</v>
      </c>
      <c r="F406" t="inlineStr">
        <is>
          <t>KALMAR LÄN</t>
        </is>
      </c>
      <c r="G406" t="inlineStr">
        <is>
          <t>HÖGSBY</t>
        </is>
      </c>
      <c r="I406" t="n">
        <v>14.2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46315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46315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46315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46315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46315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46315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46315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46315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46199</v>
      </c>
      <c r="E415" s="1" t="n">
        <v>46315</v>
      </c>
      <c r="F415" t="inlineStr">
        <is>
          <t>KALMAR LÄN</t>
        </is>
      </c>
      <c r="G415" t="inlineStr">
        <is>
          <t>HÖGSBY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46315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1847-2026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46315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46315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46315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46315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2026-10-20T01:51:01Z</dcterms:created>
  <dcterms:modified xmlns:dcterms="http://purl.org/dc/terms/" xmlns:xsi="http://www.w3.org/2001/XMLSchema-instance" xsi:type="dcterms:W3CDTF">2026-10-20T01:51:01Z</dcterms:modified>
</cp:coreProperties>
</file>