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46237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46237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46237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46237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46237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46237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46237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46237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46237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46237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46237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46237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46237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46237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22559-2026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46237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1.5</v>
      </c>
      <c r="J18" t="n">
        <v>2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Svartoxe
Talltita
Bergsslok
Blåsippa</t>
        </is>
      </c>
      <c r="W18">
        <f>HYPERLINK("https://klasma.github.io/Logging_0821/artfynd/A 22559-2026 artfynd.xlsx", "A 22559-2026")</f>
        <v/>
      </c>
      <c r="X18">
        <f>HYPERLINK("https://klasma.github.io/Logging_0821/kartor/A 22559-2026 karta.png", "A 22559-2026")</f>
        <v/>
      </c>
      <c r="Y18">
        <f>HYPERLINK("https://klasma.github.io/Logging_0821/kartor_geotiff/A 22559-2026 georefererad karta.tif", "A 22559-2026")</f>
        <v/>
      </c>
      <c r="AA18">
        <f>HYPERLINK("https://klasma.github.io/Logging_0821/klagomål/A 22559-2026 FSC-klagomål.docx", "A 22559-2026")</f>
        <v/>
      </c>
      <c r="AB18">
        <f>HYPERLINK("https://klasma.github.io/Logging_0821/klagomålsmail/A 22559-2026 FSC-klagomål mail.docx", "A 22559-2026")</f>
        <v/>
      </c>
      <c r="AC18">
        <f>HYPERLINK("https://klasma.github.io/Logging_0821/tillsyn/A 22559-2026 tillsynsbegäran.docx", "A 22559-2026")</f>
        <v/>
      </c>
      <c r="AD18">
        <f>HYPERLINK("https://klasma.github.io/Logging_0821/tillsynsmail/A 22559-2026 tillsynsbegäran mail.docx", "A 22559-2026")</f>
        <v/>
      </c>
      <c r="AE18">
        <f>HYPERLINK("https://klasma.github.io/Logging_0821/fåglar/A 22559-2026 prioriterade fågelarter.docx", "A 22559-2026")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46237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46237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46237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46237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46237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46237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46237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47236-2023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46237</v>
      </c>
      <c r="F26" t="inlineStr">
        <is>
          <t>KALMAR LÄN</t>
        </is>
      </c>
      <c r="G26" t="inlineStr">
        <is>
          <t>HÖGSBY</t>
        </is>
      </c>
      <c r="I26" t="n">
        <v>13.2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Backklöver
Nötkråka
Revlummer</t>
        </is>
      </c>
      <c r="W26">
        <f>HYPERLINK("https://klasma.github.io/Logging_0821/artfynd/A 47236-2023 artfynd.xlsx", "A 47236-2023")</f>
        <v/>
      </c>
      <c r="X26">
        <f>HYPERLINK("https://klasma.github.io/Logging_0821/kartor/A 47236-2023 karta.png", "A 47236-2023")</f>
        <v/>
      </c>
      <c r="Y26">
        <f>HYPERLINK("https://klasma.github.io/Logging_0821/kartor_geotiff/A 47236-2023 georefererad karta.tif", "A 47236-2023")</f>
        <v/>
      </c>
      <c r="AA26">
        <f>HYPERLINK("https://klasma.github.io/Logging_0821/klagomål/A 47236-2023 FSC-klagomål.docx", "A 47236-2023")</f>
        <v/>
      </c>
      <c r="AB26">
        <f>HYPERLINK("https://klasma.github.io/Logging_0821/klagomålsmail/A 47236-2023 FSC-klagomål mail.docx", "A 47236-2023")</f>
        <v/>
      </c>
      <c r="AC26">
        <f>HYPERLINK("https://klasma.github.io/Logging_0821/tillsyn/A 47236-2023 tillsynsbegäran.docx", "A 47236-2023")</f>
        <v/>
      </c>
      <c r="AD26">
        <f>HYPERLINK("https://klasma.github.io/Logging_0821/tillsynsmail/A 47236-2023 tillsynsbegäran mail.docx", "A 47236-2023")</f>
        <v/>
      </c>
      <c r="AE26">
        <f>HYPERLINK("https://klasma.github.io/Logging_0821/fåglar/A 47236-2023 prioriterade fågelarter.docx", "A 47236-2023")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46237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46237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46237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46237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46237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46237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46237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46237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46237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46237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46237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46237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59700-2023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45256</v>
      </c>
      <c r="E40" s="1" t="n">
        <v>46237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HYPERLINK("https://klasma.github.io/Logging_0821/artfynd/A 59700-2023 artfynd.xlsx", "A 59700-2023")</f>
        <v/>
      </c>
      <c r="X40">
        <f>HYPERLINK("https://klasma.github.io/Logging_0821/kartor/A 59700-2023 karta.png", "A 59700-2023")</f>
        <v/>
      </c>
      <c r="Y40">
        <f>HYPERLINK("https://klasma.github.io/Logging_0821/kartor_geotiff/A 59700-2023 georefererad karta.tif", "A 59700-2023")</f>
        <v/>
      </c>
      <c r="AA40">
        <f>HYPERLINK("https://klasma.github.io/Logging_0821/klagomål/A 59700-2023 FSC-klagomål.docx", "A 59700-2023")</f>
        <v/>
      </c>
      <c r="AB40">
        <f>HYPERLINK("https://klasma.github.io/Logging_0821/klagomålsmail/A 59700-2023 FSC-klagomål mail.docx", "A 59700-2023")</f>
        <v/>
      </c>
      <c r="AC40">
        <f>HYPERLINK("https://klasma.github.io/Logging_0821/tillsyn/A 59700-2023 tillsynsbegäran.docx", "A 59700-2023")</f>
        <v/>
      </c>
      <c r="AD40">
        <f>HYPERLINK("https://klasma.github.io/Logging_0821/tillsynsmail/A 59700-2023 tillsynsbegäran mail.docx", "A 59700-2023")</f>
        <v/>
      </c>
      <c r="AE40">
        <f>HYPERLINK("https://klasma.github.io/Logging_0821/fåglar/A 59700-2023 prioriterade fågelarter.docx", "A 59700-2023")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46237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28894-2026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46237</v>
      </c>
      <c r="F42" t="inlineStr">
        <is>
          <t>KALMAR LÄN</t>
        </is>
      </c>
      <c r="G42" t="inlineStr">
        <is>
          <t>HÖGSBY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HYPERLINK("https://klasma.github.io/Logging_0821/artfynd/A 28894-2026 artfynd.xlsx", "A 28894-2026")</f>
        <v/>
      </c>
      <c r="X42">
        <f>HYPERLINK("https://klasma.github.io/Logging_0821/kartor/A 28894-2026 karta.png", "A 28894-2026")</f>
        <v/>
      </c>
      <c r="Y42">
        <f>HYPERLINK("https://klasma.github.io/Logging_0821/kartor_geotiff/A 28894-2026 georefererad karta.tif", "A 28894-2026")</f>
        <v/>
      </c>
      <c r="AA42">
        <f>HYPERLINK("https://klasma.github.io/Logging_0821/klagomål/A 28894-2026 FSC-klagomål.docx", "A 28894-2026")</f>
        <v/>
      </c>
      <c r="AB42">
        <f>HYPERLINK("https://klasma.github.io/Logging_0821/klagomålsmail/A 28894-2026 FSC-klagomål mail.docx", "A 28894-2026")</f>
        <v/>
      </c>
      <c r="AC42">
        <f>HYPERLINK("https://klasma.github.io/Logging_0821/tillsyn/A 28894-2026 tillsynsbegäran.docx", "A 28894-2026")</f>
        <v/>
      </c>
      <c r="AD42">
        <f>HYPERLINK("https://klasma.github.io/Logging_0821/tillsynsmail/A 28894-2026 tillsynsbegäran mail.docx", "A 28894-2026")</f>
        <v/>
      </c>
      <c r="AE42">
        <f>HYPERLINK("https://klasma.github.io/Logging_0821/fåglar/A 28894-2026 prioriterade fågelarter.docx", "A 28894-2026")</f>
        <v/>
      </c>
    </row>
    <row r="43" ht="15" customHeight="1">
      <c r="A43" t="inlineStr">
        <is>
          <t>A 30186-2026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46206</v>
      </c>
      <c r="E43" s="1" t="n">
        <v>46237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HYPERLINK("https://klasma.github.io/Logging_0821/artfynd/A 30186-2026 artfynd.xlsx", "A 30186-2026")</f>
        <v/>
      </c>
      <c r="X43">
        <f>HYPERLINK("https://klasma.github.io/Logging_0821/kartor/A 30186-2026 karta.png", "A 30186-2026")</f>
        <v/>
      </c>
      <c r="Y43">
        <f>HYPERLINK("https://klasma.github.io/Logging_0821/kartor_geotiff/A 30186-2026 georefererad karta.tif", "A 30186-2026")</f>
        <v/>
      </c>
      <c r="AA43">
        <f>HYPERLINK("https://klasma.github.io/Logging_0821/klagomål/A 30186-2026 FSC-klagomål.docx", "A 30186-2026")</f>
        <v/>
      </c>
      <c r="AB43">
        <f>HYPERLINK("https://klasma.github.io/Logging_0821/klagomålsmail/A 30186-2026 FSC-klagomål mail.docx", "A 30186-2026")</f>
        <v/>
      </c>
      <c r="AC43">
        <f>HYPERLINK("https://klasma.github.io/Logging_0821/tillsyn/A 30186-2026 tillsynsbegäran.docx", "A 30186-2026")</f>
        <v/>
      </c>
      <c r="AD43">
        <f>HYPERLINK("https://klasma.github.io/Logging_0821/tillsynsmail/A 30186-2026 tillsynsbegäran mail.docx", "A 30186-2026")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46237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Rödlånke</t>
        </is>
      </c>
      <c r="W44">
        <f>HYPERLINK("https://klasma.github.io/Logging_0821/artfynd/A 23859-2026 artfynd.xlsx", "A 23859-2026")</f>
        <v/>
      </c>
      <c r="X44">
        <f>HYPERLINK("https://klasma.github.io/Logging_0821/kartor/A 23859-2026 karta.png", "A 23859-2026")</f>
        <v/>
      </c>
      <c r="Y44">
        <f>HYPERLINK("https://klasma.github.io/Logging_0821/kartor_geotiff/A 23859-2026 georefererad karta.tif", "A 23859-2026")</f>
        <v/>
      </c>
      <c r="AA44">
        <f>HYPERLINK("https://klasma.github.io/Logging_0821/klagomål/A 23859-2026 FSC-klagomål.docx", "A 23859-2026")</f>
        <v/>
      </c>
      <c r="AB44">
        <f>HYPERLINK("https://klasma.github.io/Logging_0821/klagomålsmail/A 23859-2026 FSC-klagomål mail.docx", "A 23859-2026")</f>
        <v/>
      </c>
      <c r="AC44">
        <f>HYPERLINK("https://klasma.github.io/Logging_0821/tillsyn/A 23859-2026 tillsynsbegäran.docx", "A 23859-2026")</f>
        <v/>
      </c>
      <c r="AD44">
        <f>HYPERLINK("https://klasma.github.io/Logging_0821/tillsynsmail/A 23859-2026 tillsynsbegäran mail.docx", "A 23859-2026")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46237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46237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46237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59407-2022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46237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Blåsippa</t>
        </is>
      </c>
      <c r="W48">
        <f>HYPERLINK("https://klasma.github.io/Logging_0821/artfynd/A 59407-2022 artfynd.xlsx", "A 59407-2022")</f>
        <v/>
      </c>
      <c r="X48">
        <f>HYPERLINK("https://klasma.github.io/Logging_0821/kartor/A 59407-2022 karta.png", "A 59407-2022")</f>
        <v/>
      </c>
      <c r="Y48">
        <f>HYPERLINK("https://klasma.github.io/Logging_0821/kartor_geotiff/A 59407-2022 georefererad karta.tif", "A 59407-2022")</f>
        <v/>
      </c>
      <c r="AA48">
        <f>HYPERLINK("https://klasma.github.io/Logging_0821/klagomål/A 59407-2022 FSC-klagomål.docx", "A 59407-2022")</f>
        <v/>
      </c>
      <c r="AB48">
        <f>HYPERLINK("https://klasma.github.io/Logging_0821/klagomålsmail/A 59407-2022 FSC-klagomål mail.docx", "A 59407-2022")</f>
        <v/>
      </c>
      <c r="AC48">
        <f>HYPERLINK("https://klasma.github.io/Logging_0821/tillsyn/A 59407-2022 tillsynsbegäran.docx", "A 59407-2022")</f>
        <v/>
      </c>
      <c r="AD48">
        <f>HYPERLINK("https://klasma.github.io/Logging_0821/tillsynsmail/A 59407-2022 tillsynsbegäran mail.docx", "A 59407-2022")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46237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46237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35075-2023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46237</v>
      </c>
      <c r="F51" t="inlineStr">
        <is>
          <t>KALMAR LÄN</t>
        </is>
      </c>
      <c r="G51" t="inlineStr">
        <is>
          <t>HÖGSBY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35075-2023 artfynd.xlsx", "A 35075-2023")</f>
        <v/>
      </c>
      <c r="X51">
        <f>HYPERLINK("https://klasma.github.io/Logging_0821/kartor/A 35075-2023 karta.png", "A 35075-2023")</f>
        <v/>
      </c>
      <c r="Y51">
        <f>HYPERLINK("https://klasma.github.io/Logging_0821/kartor_geotiff/A 35075-2023 georefererad karta.tif", "A 35075-2023")</f>
        <v/>
      </c>
      <c r="AA51">
        <f>HYPERLINK("https://klasma.github.io/Logging_0821/klagomål/A 35075-2023 FSC-klagomål.docx", "A 35075-2023")</f>
        <v/>
      </c>
      <c r="AB51">
        <f>HYPERLINK("https://klasma.github.io/Logging_0821/klagomålsmail/A 35075-2023 FSC-klagomål mail.docx", "A 35075-2023")</f>
        <v/>
      </c>
      <c r="AC51">
        <f>HYPERLINK("https://klasma.github.io/Logging_0821/tillsyn/A 35075-2023 tillsynsbegäran.docx", "A 35075-2023")</f>
        <v/>
      </c>
      <c r="AD51">
        <f>HYPERLINK("https://klasma.github.io/Logging_0821/tillsynsmail/A 35075-2023 tillsynsbegäran mail.docx", "A 35075-2023")</f>
        <v/>
      </c>
    </row>
    <row r="52" ht="15" customHeight="1">
      <c r="A52" t="inlineStr">
        <is>
          <t>A 1519-2022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46237</v>
      </c>
      <c r="F52" t="inlineStr">
        <is>
          <t>KALMAR LÄN</t>
        </is>
      </c>
      <c r="G52" t="inlineStr">
        <is>
          <t>HÖGSBY</t>
        </is>
      </c>
      <c r="I52" t="n">
        <v>2.6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HYPERLINK("https://klasma.github.io/Logging_0821/artfynd/A 1519-2022 artfynd.xlsx", "A 1519-2022")</f>
        <v/>
      </c>
      <c r="X52">
        <f>HYPERLINK("https://klasma.github.io/Logging_0821/kartor/A 1519-2022 karta.png", "A 1519-2022")</f>
        <v/>
      </c>
      <c r="Y52">
        <f>HYPERLINK("https://klasma.github.io/Logging_0821/kartor_geotiff/A 1519-2022 georefererad karta.tif", "A 1519-2022")</f>
        <v/>
      </c>
      <c r="AA52">
        <f>HYPERLINK("https://klasma.github.io/Logging_0821/klagomål/A 1519-2022 FSC-klagomål.docx", "A 1519-2022")</f>
        <v/>
      </c>
      <c r="AB52">
        <f>HYPERLINK("https://klasma.github.io/Logging_0821/klagomålsmail/A 1519-2022 FSC-klagomål mail.docx", "A 1519-2022")</f>
        <v/>
      </c>
      <c r="AC52">
        <f>HYPERLINK("https://klasma.github.io/Logging_0821/tillsyn/A 1519-2022 tillsynsbegäran.docx", "A 1519-2022")</f>
        <v/>
      </c>
      <c r="AD52">
        <f>HYPERLINK("https://klasma.github.io/Logging_0821/tillsynsmail/A 1519-2022 tillsynsbegäran mail.docx", "A 1519-2022")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46237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17994-2026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46124</v>
      </c>
      <c r="E54" s="1" t="n">
        <v>46237</v>
      </c>
      <c r="F54" t="inlineStr">
        <is>
          <t>KALMAR LÄN</t>
        </is>
      </c>
      <c r="G54" t="inlineStr">
        <is>
          <t>HÖGSBY</t>
        </is>
      </c>
      <c r="I54" t="n">
        <v>1.7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Mindre bastardsvärmare</t>
        </is>
      </c>
      <c r="W54">
        <f>HYPERLINK("https://klasma.github.io/Logging_0821/artfynd/A 17994-2026 artfynd.xlsx", "A 17994-2026")</f>
        <v/>
      </c>
      <c r="X54">
        <f>HYPERLINK("https://klasma.github.io/Logging_0821/kartor/A 17994-2026 karta.png", "A 17994-2026")</f>
        <v/>
      </c>
      <c r="Y54">
        <f>HYPERLINK("https://klasma.github.io/Logging_0821/kartor_geotiff/A 17994-2026 georefererad karta.tif", "A 17994-2026")</f>
        <v/>
      </c>
      <c r="AA54">
        <f>HYPERLINK("https://klasma.github.io/Logging_0821/klagomål/A 17994-2026 FSC-klagomål.docx", "A 17994-2026")</f>
        <v/>
      </c>
      <c r="AB54">
        <f>HYPERLINK("https://klasma.github.io/Logging_0821/klagomålsmail/A 17994-2026 FSC-klagomål mail.docx", "A 17994-2026")</f>
        <v/>
      </c>
      <c r="AC54">
        <f>HYPERLINK("https://klasma.github.io/Logging_0821/tillsyn/A 17994-2026 tillsynsbegäran.docx", "A 17994-2026")</f>
        <v/>
      </c>
      <c r="AD54">
        <f>HYPERLINK("https://klasma.github.io/Logging_0821/tillsynsmail/A 17994-2026 tillsynsbegäran mail.docx", "A 17994-2026")</f>
        <v/>
      </c>
    </row>
    <row r="55" ht="15" customHeight="1">
      <c r="A55" t="inlineStr">
        <is>
          <t>A 19463-2026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46237</v>
      </c>
      <c r="F55" t="inlineStr">
        <is>
          <t>KALMAR LÄN</t>
        </is>
      </c>
      <c r="G55" t="inlineStr">
        <is>
          <t>HÖGSBY</t>
        </is>
      </c>
      <c r="I55" t="n">
        <v>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HYPERLINK("https://klasma.github.io/Logging_0821/artfynd/A 19463-2026 artfynd.xlsx", "A 19463-2026")</f>
        <v/>
      </c>
      <c r="X55">
        <f>HYPERLINK("https://klasma.github.io/Logging_0821/kartor/A 19463-2026 karta.png", "A 19463-2026")</f>
        <v/>
      </c>
      <c r="Y55">
        <f>HYPERLINK("https://klasma.github.io/Logging_0821/kartor_geotiff/A 19463-2026 georefererad karta.tif", "A 19463-2026")</f>
        <v/>
      </c>
      <c r="AA55">
        <f>HYPERLINK("https://klasma.github.io/Logging_0821/klagomål/A 19463-2026 FSC-klagomål.docx", "A 19463-2026")</f>
        <v/>
      </c>
      <c r="AB55">
        <f>HYPERLINK("https://klasma.github.io/Logging_0821/klagomålsmail/A 19463-2026 FSC-klagomål mail.docx", "A 19463-2026")</f>
        <v/>
      </c>
      <c r="AC55">
        <f>HYPERLINK("https://klasma.github.io/Logging_0821/tillsyn/A 19463-2026 tillsynsbegäran.docx", "A 19463-2026")</f>
        <v/>
      </c>
      <c r="AD55">
        <f>HYPERLINK("https://klasma.github.io/Logging_0821/tillsynsmail/A 19463-2026 tillsynsbegäran mail.docx", "A 19463-2026")</f>
        <v/>
      </c>
    </row>
    <row r="56" ht="15" customHeight="1">
      <c r="A56" t="inlineStr">
        <is>
          <t>A 19536-2026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46237</v>
      </c>
      <c r="F56" t="inlineStr">
        <is>
          <t>KALMAR LÄN</t>
        </is>
      </c>
      <c r="G56" t="inlineStr">
        <is>
          <t>HÖGSBY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19536-2026 artfynd.xlsx", "A 19536-2026")</f>
        <v/>
      </c>
      <c r="X56">
        <f>HYPERLINK("https://klasma.github.io/Logging_0821/kartor/A 19536-2026 karta.png", "A 19536-2026")</f>
        <v/>
      </c>
      <c r="Y56">
        <f>HYPERLINK("https://klasma.github.io/Logging_0821/kartor_geotiff/A 19536-2026 georefererad karta.tif", "A 19536-2026")</f>
        <v/>
      </c>
      <c r="AA56">
        <f>HYPERLINK("https://klasma.github.io/Logging_0821/klagomål/A 19536-2026 FSC-klagomål.docx", "A 19536-2026")</f>
        <v/>
      </c>
      <c r="AB56">
        <f>HYPERLINK("https://klasma.github.io/Logging_0821/klagomålsmail/A 19536-2026 FSC-klagomål mail.docx", "A 19536-2026")</f>
        <v/>
      </c>
      <c r="AC56">
        <f>HYPERLINK("https://klasma.github.io/Logging_0821/tillsyn/A 19536-2026 tillsynsbegäran.docx", "A 19536-2026")</f>
        <v/>
      </c>
      <c r="AD56">
        <f>HYPERLINK("https://klasma.github.io/Logging_0821/tillsynsmail/A 19536-2026 tillsynsbegäran mail.docx", "A 19536-2026")</f>
        <v/>
      </c>
      <c r="AE56">
        <f>HYPERLINK("https://klasma.github.io/Logging_0821/fåglar/A 19536-2026 prioriterade fågelarter.docx", "A 19536-2026")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46237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46237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Flikig tallfibbla</t>
        </is>
      </c>
      <c r="W58">
        <f>HYPERLINK("https://klasma.github.io/Logging_0821/artfynd/A 38267-2025 artfynd.xlsx", "A 38267-2025")</f>
        <v/>
      </c>
      <c r="X58">
        <f>HYPERLINK("https://klasma.github.io/Logging_0821/kartor/A 38267-2025 karta.png", "A 38267-2025")</f>
        <v/>
      </c>
      <c r="Y58">
        <f>HYPERLINK("https://klasma.github.io/Logging_0821/kartor_geotiff/A 38267-2025 georefererad karta.tif", "A 38267-2025")</f>
        <v/>
      </c>
      <c r="AA58">
        <f>HYPERLINK("https://klasma.github.io/Logging_0821/klagomål/A 38267-2025 FSC-klagomål.docx", "A 38267-2025")</f>
        <v/>
      </c>
      <c r="AB58">
        <f>HYPERLINK("https://klasma.github.io/Logging_0821/klagomålsmail/A 38267-2025 FSC-klagomål mail.docx", "A 38267-2025")</f>
        <v/>
      </c>
      <c r="AC58">
        <f>HYPERLINK("https://klasma.github.io/Logging_0821/tillsyn/A 38267-2025 tillsynsbegäran.docx", "A 38267-2025")</f>
        <v/>
      </c>
      <c r="AD58">
        <f>HYPERLINK("https://klasma.github.io/Logging_0821/tillsynsmail/A 38267-2025 tillsynsbegäran mail.docx", "A 38267-2025")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46237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46237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46237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46237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46237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46237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46237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46237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46237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46237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46237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46237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46237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46237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46237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46237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46237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46237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46237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46237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46237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46237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46237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46237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46237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46237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46237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46237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46237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46237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46237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46237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46237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46237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46237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46237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46237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46237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46237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46237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46237</v>
      </c>
      <c r="F99" t="inlineStr">
        <is>
          <t>KALMAR LÄN</t>
        </is>
      </c>
      <c r="G99" t="inlineStr">
        <is>
          <t>HÖGSBY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46237</v>
      </c>
      <c r="F100" t="inlineStr">
        <is>
          <t>KALMAR LÄN</t>
        </is>
      </c>
      <c r="G100" t="inlineStr">
        <is>
          <t>HÖGSBY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44634</v>
      </c>
      <c r="E101" s="1" t="n">
        <v>46237</v>
      </c>
      <c r="F101" t="inlineStr">
        <is>
          <t>KALMAR LÄN</t>
        </is>
      </c>
      <c r="G101" t="inlineStr">
        <is>
          <t>HÖGSBY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46237</v>
      </c>
      <c r="F102" t="inlineStr">
        <is>
          <t>KALMAR LÄN</t>
        </is>
      </c>
      <c r="G102" t="inlineStr">
        <is>
          <t>HÖGSBY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46237</v>
      </c>
      <c r="F103" t="inlineStr">
        <is>
          <t>KALMAR LÄN</t>
        </is>
      </c>
      <c r="G103" t="inlineStr">
        <is>
          <t>HÖGSBY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46237</v>
      </c>
      <c r="F104" t="inlineStr">
        <is>
          <t>KALMAR LÄN</t>
        </is>
      </c>
      <c r="G104" t="inlineStr">
        <is>
          <t>HÖGSBY</t>
        </is>
      </c>
      <c r="H104" t="inlineStr">
        <is>
          <t>Kyrkan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44421</v>
      </c>
      <c r="E105" s="1" t="n">
        <v>46237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46237</v>
      </c>
      <c r="F106" t="inlineStr">
        <is>
          <t>KALMAR LÄN</t>
        </is>
      </c>
      <c r="G106" t="inlineStr">
        <is>
          <t>HÖGSBY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46237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46237</v>
      </c>
      <c r="F108" t="inlineStr">
        <is>
          <t>KALMAR LÄN</t>
        </is>
      </c>
      <c r="G108" t="inlineStr">
        <is>
          <t>HÖGSBY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45546</v>
      </c>
      <c r="E109" s="1" t="n">
        <v>46237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46237</v>
      </c>
      <c r="F110" t="inlineStr">
        <is>
          <t>KALMAR LÄN</t>
        </is>
      </c>
      <c r="G110" t="inlineStr">
        <is>
          <t>HÖGSBY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46237</v>
      </c>
      <c r="F111" t="inlineStr">
        <is>
          <t>KALMAR LÄN</t>
        </is>
      </c>
      <c r="G111" t="inlineStr">
        <is>
          <t>HÖGSBY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71635-2021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44543</v>
      </c>
      <c r="E112" s="1" t="n">
        <v>46237</v>
      </c>
      <c r="F112" t="inlineStr">
        <is>
          <t>KALMAR LÄN</t>
        </is>
      </c>
      <c r="G112" t="inlineStr">
        <is>
          <t>HÖGSBY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8613-2022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44613</v>
      </c>
      <c r="E113" s="1" t="n">
        <v>46237</v>
      </c>
      <c r="F113" t="inlineStr">
        <is>
          <t>KALMAR LÄN</t>
        </is>
      </c>
      <c r="G113" t="inlineStr">
        <is>
          <t>HÖGSBY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44953</v>
      </c>
      <c r="E114" s="1" t="n">
        <v>46237</v>
      </c>
      <c r="F114" t="inlineStr">
        <is>
          <t>KALMAR LÄN</t>
        </is>
      </c>
      <c r="G114" t="inlineStr">
        <is>
          <t>HÖGSBY</t>
        </is>
      </c>
      <c r="H114" t="inlineStr">
        <is>
          <t>Övriga Aktiebolag</t>
        </is>
      </c>
      <c r="I114" t="n">
        <v>15.2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46237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46237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46237</v>
      </c>
      <c r="F117" t="inlineStr">
        <is>
          <t>KALMAR LÄN</t>
        </is>
      </c>
      <c r="G117" t="inlineStr">
        <is>
          <t>HÖGSBY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46237</v>
      </c>
      <c r="F118" t="inlineStr">
        <is>
          <t>KALMAR LÄN</t>
        </is>
      </c>
      <c r="G118" t="inlineStr">
        <is>
          <t>HÖGSBY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44876</v>
      </c>
      <c r="E119" s="1" t="n">
        <v>46237</v>
      </c>
      <c r="F119" t="inlineStr">
        <is>
          <t>KALMAR LÄN</t>
        </is>
      </c>
      <c r="G119" t="inlineStr">
        <is>
          <t>HÖGSBY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45391</v>
      </c>
      <c r="E120" s="1" t="n">
        <v>46237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46237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46237</v>
      </c>
      <c r="F122" t="inlineStr">
        <is>
          <t>KALMAR LÄN</t>
        </is>
      </c>
      <c r="G122" t="inlineStr">
        <is>
          <t>HÖGSBY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45393</v>
      </c>
      <c r="E123" s="1" t="n">
        <v>46237</v>
      </c>
      <c r="F123" t="inlineStr">
        <is>
          <t>KALMAR LÄN</t>
        </is>
      </c>
      <c r="G123" t="inlineStr">
        <is>
          <t>HÖGSBY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46237</v>
      </c>
      <c r="F124" t="inlineStr">
        <is>
          <t>KALMAR LÄN</t>
        </is>
      </c>
      <c r="G124" t="inlineStr">
        <is>
          <t>HÖGSBY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46237</v>
      </c>
      <c r="F125" t="inlineStr">
        <is>
          <t>KALMAR LÄN</t>
        </is>
      </c>
      <c r="G125" t="inlineStr">
        <is>
          <t>HÖGSBY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46237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46237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44413</v>
      </c>
      <c r="E128" s="1" t="n">
        <v>46237</v>
      </c>
      <c r="F128" t="inlineStr">
        <is>
          <t>KALMAR LÄN</t>
        </is>
      </c>
      <c r="G128" t="inlineStr">
        <is>
          <t>HÖGSBY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46237</v>
      </c>
      <c r="F129" t="inlineStr">
        <is>
          <t>KALMAR LÄN</t>
        </is>
      </c>
      <c r="G129" t="inlineStr">
        <is>
          <t>HÖGSBY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44866</v>
      </c>
      <c r="E130" s="1" t="n">
        <v>46237</v>
      </c>
      <c r="F130" t="inlineStr">
        <is>
          <t>KALMAR LÄN</t>
        </is>
      </c>
      <c r="G130" t="inlineStr">
        <is>
          <t>HÖGSBY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26545-2024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45469</v>
      </c>
      <c r="E131" s="1" t="n">
        <v>46237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46237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46237</v>
      </c>
      <c r="F133" t="inlineStr">
        <is>
          <t>KALMAR LÄN</t>
        </is>
      </c>
      <c r="G133" t="inlineStr">
        <is>
          <t>HÖGSBY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46237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45447</v>
      </c>
      <c r="E135" s="1" t="n">
        <v>46237</v>
      </c>
      <c r="F135" t="inlineStr">
        <is>
          <t>KALMAR LÄN</t>
        </is>
      </c>
      <c r="G135" t="inlineStr">
        <is>
          <t>HÖGSBY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46237</v>
      </c>
      <c r="F136" t="inlineStr">
        <is>
          <t>KALMAR LÄN</t>
        </is>
      </c>
      <c r="G136" t="inlineStr">
        <is>
          <t>HÖGSBY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46237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46237</v>
      </c>
      <c r="F138" t="inlineStr">
        <is>
          <t>KALMAR LÄN</t>
        </is>
      </c>
      <c r="G138" t="inlineStr">
        <is>
          <t>HÖGSBY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63508-2025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46237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46237</v>
      </c>
      <c r="F140" t="inlineStr">
        <is>
          <t>KALMAR LÄN</t>
        </is>
      </c>
      <c r="G140" t="inlineStr">
        <is>
          <t>HÖGSBY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46237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45923</v>
      </c>
      <c r="E142" s="1" t="n">
        <v>46237</v>
      </c>
      <c r="F142" t="inlineStr">
        <is>
          <t>KALMAR LÄN</t>
        </is>
      </c>
      <c r="G142" t="inlineStr">
        <is>
          <t>HÖGSBY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46237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46237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46237</v>
      </c>
      <c r="F145" t="inlineStr">
        <is>
          <t>KALMAR LÄN</t>
        </is>
      </c>
      <c r="G145" t="inlineStr">
        <is>
          <t>HÖGSBY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46237</v>
      </c>
      <c r="F146" t="inlineStr">
        <is>
          <t>KALMAR LÄN</t>
        </is>
      </c>
      <c r="G146" t="inlineStr">
        <is>
          <t>HÖGSBY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46237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46237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65130-2023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45288</v>
      </c>
      <c r="E149" s="1" t="n">
        <v>46237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46237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46237</v>
      </c>
      <c r="F151" t="inlineStr">
        <is>
          <t>KALMAR LÄN</t>
        </is>
      </c>
      <c r="G151" t="inlineStr">
        <is>
          <t>HÖGSBY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45626</v>
      </c>
      <c r="E152" s="1" t="n">
        <v>46237</v>
      </c>
      <c r="F152" t="inlineStr">
        <is>
          <t>KALMAR LÄN</t>
        </is>
      </c>
      <c r="G152" t="inlineStr">
        <is>
          <t>HÖGSBY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46237</v>
      </c>
      <c r="F153" t="inlineStr">
        <is>
          <t>KALMAR LÄN</t>
        </is>
      </c>
      <c r="G153" t="inlineStr">
        <is>
          <t>HÖGSBY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46237</v>
      </c>
      <c r="F154" t="inlineStr">
        <is>
          <t>KALMAR LÄN</t>
        </is>
      </c>
      <c r="G154" t="inlineStr">
        <is>
          <t>HÖGSBY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44496</v>
      </c>
      <c r="E155" s="1" t="n">
        <v>46237</v>
      </c>
      <c r="F155" t="inlineStr">
        <is>
          <t>KALMAR LÄN</t>
        </is>
      </c>
      <c r="G155" t="inlineStr">
        <is>
          <t>HÖGSBY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46237</v>
      </c>
      <c r="F156" t="inlineStr">
        <is>
          <t>KALMAR LÄN</t>
        </is>
      </c>
      <c r="G156" t="inlineStr">
        <is>
          <t>HÖGSBY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46237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46237</v>
      </c>
      <c r="F158" t="inlineStr">
        <is>
          <t>KALMAR LÄN</t>
        </is>
      </c>
      <c r="G158" t="inlineStr">
        <is>
          <t>HÖGSBY</t>
        </is>
      </c>
      <c r="H158" t="inlineStr">
        <is>
          <t>Kommuner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46237</v>
      </c>
      <c r="F159" t="inlineStr">
        <is>
          <t>KALMAR LÄN</t>
        </is>
      </c>
      <c r="G159" t="inlineStr">
        <is>
          <t>HÖGSBY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32049-2023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45119</v>
      </c>
      <c r="E160" s="1" t="n">
        <v>46237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46237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46237</v>
      </c>
      <c r="F162" t="inlineStr">
        <is>
          <t>KALMAR LÄN</t>
        </is>
      </c>
      <c r="G162" t="inlineStr">
        <is>
          <t>HÖGSBY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46237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46237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46237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46237</v>
      </c>
      <c r="F166" t="inlineStr">
        <is>
          <t>KALMAR LÄN</t>
        </is>
      </c>
      <c r="G166" t="inlineStr">
        <is>
          <t>HÖGSBY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46237</v>
      </c>
      <c r="F167" t="inlineStr">
        <is>
          <t>KALMAR LÄN</t>
        </is>
      </c>
      <c r="G167" t="inlineStr">
        <is>
          <t>HÖGSBY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46237</v>
      </c>
      <c r="F168" t="inlineStr">
        <is>
          <t>KALMAR LÄN</t>
        </is>
      </c>
      <c r="G168" t="inlineStr">
        <is>
          <t>HÖGSBY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46237</v>
      </c>
      <c r="F169" t="inlineStr">
        <is>
          <t>KALMAR LÄN</t>
        </is>
      </c>
      <c r="G169" t="inlineStr">
        <is>
          <t>HÖGSBY</t>
        </is>
      </c>
      <c r="H169" t="inlineStr">
        <is>
          <t>Övriga Aktiebolag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46237</v>
      </c>
      <c r="F170" t="inlineStr">
        <is>
          <t>KALMAR LÄN</t>
        </is>
      </c>
      <c r="G170" t="inlineStr">
        <is>
          <t>HÖGSBY</t>
        </is>
      </c>
      <c r="I170" t="n">
        <v>12.8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46237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44999</v>
      </c>
      <c r="E172" s="1" t="n">
        <v>46237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46237</v>
      </c>
      <c r="F173" t="inlineStr">
        <is>
          <t>KALMAR LÄN</t>
        </is>
      </c>
      <c r="G173" t="inlineStr">
        <is>
          <t>HÖGSBY</t>
        </is>
      </c>
      <c r="H173" t="inlineStr">
        <is>
          <t>Kommuner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46237</v>
      </c>
      <c r="F174" t="inlineStr">
        <is>
          <t>KALMAR LÄN</t>
        </is>
      </c>
      <c r="G174" t="inlineStr">
        <is>
          <t>HÖGSBY</t>
        </is>
      </c>
      <c r="H174" t="inlineStr">
        <is>
          <t>Kyrkan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46237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46237</v>
      </c>
      <c r="F176" t="inlineStr">
        <is>
          <t>KALMAR LÄN</t>
        </is>
      </c>
      <c r="G176" t="inlineStr">
        <is>
          <t>HÖGSBY</t>
        </is>
      </c>
      <c r="H176" t="inlineStr">
        <is>
          <t>Kommuner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46237</v>
      </c>
      <c r="F177" t="inlineStr">
        <is>
          <t>KALMAR LÄN</t>
        </is>
      </c>
      <c r="G177" t="inlineStr">
        <is>
          <t>HÖGSBY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46237</v>
      </c>
      <c r="F178" t="inlineStr">
        <is>
          <t>KALMAR LÄN</t>
        </is>
      </c>
      <c r="G178" t="inlineStr">
        <is>
          <t>HÖGSBY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46237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46237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46237</v>
      </c>
      <c r="F181" t="inlineStr">
        <is>
          <t>KALMAR LÄN</t>
        </is>
      </c>
      <c r="G181" t="inlineStr">
        <is>
          <t>HÖGSBY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46237</v>
      </c>
      <c r="F182" t="inlineStr">
        <is>
          <t>KALMAR LÄN</t>
        </is>
      </c>
      <c r="G182" t="inlineStr">
        <is>
          <t>HÖGSBY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28691-2026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46198</v>
      </c>
      <c r="E183" s="1" t="n">
        <v>46237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45189</v>
      </c>
      <c r="E184" s="1" t="n">
        <v>46237</v>
      </c>
      <c r="F184" t="inlineStr">
        <is>
          <t>KALMAR LÄN</t>
        </is>
      </c>
      <c r="G184" t="inlineStr">
        <is>
          <t>HÖGSBY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46237</v>
      </c>
      <c r="F185" t="inlineStr">
        <is>
          <t>KALMAR LÄN</t>
        </is>
      </c>
      <c r="G185" t="inlineStr">
        <is>
          <t>HÖGSBY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46237</v>
      </c>
      <c r="F186" t="inlineStr">
        <is>
          <t>KALMAR LÄN</t>
        </is>
      </c>
      <c r="G186" t="inlineStr">
        <is>
          <t>HÖGSBY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46237</v>
      </c>
      <c r="F187" t="inlineStr">
        <is>
          <t>KALMAR LÄN</t>
        </is>
      </c>
      <c r="G187" t="inlineStr">
        <is>
          <t>HÖGSBY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28692-2026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46198</v>
      </c>
      <c r="E188" s="1" t="n">
        <v>46237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28697-2026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46198</v>
      </c>
      <c r="E189" s="1" t="n">
        <v>46237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46237</v>
      </c>
      <c r="F190" t="inlineStr">
        <is>
          <t>KALMAR LÄN</t>
        </is>
      </c>
      <c r="G190" t="inlineStr">
        <is>
          <t>HÖGSBY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46237</v>
      </c>
      <c r="F191" t="inlineStr">
        <is>
          <t>KALMAR LÄN</t>
        </is>
      </c>
      <c r="G191" t="inlineStr">
        <is>
          <t>HÖGSBY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46237</v>
      </c>
      <c r="F192" t="inlineStr">
        <is>
          <t>KALMAR LÄN</t>
        </is>
      </c>
      <c r="G192" t="inlineStr">
        <is>
          <t>HÖGSBY</t>
        </is>
      </c>
      <c r="H192" t="inlineStr">
        <is>
          <t>Kyrkan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28702-2026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46198</v>
      </c>
      <c r="E193" s="1" t="n">
        <v>46237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44987</v>
      </c>
      <c r="E194" s="1" t="n">
        <v>46237</v>
      </c>
      <c r="F194" t="inlineStr">
        <is>
          <t>KALMAR LÄN</t>
        </is>
      </c>
      <c r="G194" t="inlineStr">
        <is>
          <t>HÖGSBY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28713-2026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46198</v>
      </c>
      <c r="E195" s="1" t="n">
        <v>46237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38802-2024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45547</v>
      </c>
      <c r="E196" s="1" t="n">
        <v>46237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22562-2026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46155</v>
      </c>
      <c r="E197" s="1" t="n">
        <v>46237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22564-2026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46155</v>
      </c>
      <c r="E198" s="1" t="n">
        <v>46237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46237</v>
      </c>
      <c r="F199" t="inlineStr">
        <is>
          <t>KALMAR LÄN</t>
        </is>
      </c>
      <c r="G199" t="inlineStr">
        <is>
          <t>HÖGSBY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46237</v>
      </c>
      <c r="F200" t="inlineStr">
        <is>
          <t>KALMAR LÄN</t>
        </is>
      </c>
      <c r="G200" t="inlineStr">
        <is>
          <t>HÖGSBY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46237</v>
      </c>
      <c r="F201" t="inlineStr">
        <is>
          <t>KALMAR LÄN</t>
        </is>
      </c>
      <c r="G201" t="inlineStr">
        <is>
          <t>HÖGSBY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46237</v>
      </c>
      <c r="F202" t="inlineStr">
        <is>
          <t>KALMAR LÄN</t>
        </is>
      </c>
      <c r="G202" t="inlineStr">
        <is>
          <t>HÖGSBY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46237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46199</v>
      </c>
      <c r="E204" s="1" t="n">
        <v>46237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46157</v>
      </c>
      <c r="E205" s="1" t="n">
        <v>46237</v>
      </c>
      <c r="F205" t="inlineStr">
        <is>
          <t>KALMAR LÄN</t>
        </is>
      </c>
      <c r="G205" t="inlineStr">
        <is>
          <t>HÖGSBY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46237</v>
      </c>
      <c r="F206" t="inlineStr">
        <is>
          <t>KALMAR LÄN</t>
        </is>
      </c>
      <c r="G206" t="inlineStr">
        <is>
          <t>HÖGSBY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46237</v>
      </c>
      <c r="F207" t="inlineStr">
        <is>
          <t>KALMAR LÄN</t>
        </is>
      </c>
      <c r="G207" t="inlineStr">
        <is>
          <t>HÖGSBY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46237</v>
      </c>
      <c r="F208" t="inlineStr">
        <is>
          <t>KALMAR LÄN</t>
        </is>
      </c>
      <c r="G208" t="inlineStr">
        <is>
          <t>HÖGSBY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46237</v>
      </c>
      <c r="F209" t="inlineStr">
        <is>
          <t>KALMAR LÄN</t>
        </is>
      </c>
      <c r="G209" t="inlineStr">
        <is>
          <t>HÖGSBY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46237</v>
      </c>
      <c r="F210" t="inlineStr">
        <is>
          <t>KALMAR LÄN</t>
        </is>
      </c>
      <c r="G210" t="inlineStr">
        <is>
          <t>HÖGSBY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46237</v>
      </c>
      <c r="F211" t="inlineStr">
        <is>
          <t>KALMAR LÄN</t>
        </is>
      </c>
      <c r="G211" t="inlineStr">
        <is>
          <t>HÖGSBY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45247</v>
      </c>
      <c r="E212" s="1" t="n">
        <v>46237</v>
      </c>
      <c r="F212" t="inlineStr">
        <is>
          <t>KALMAR LÄN</t>
        </is>
      </c>
      <c r="G212" t="inlineStr">
        <is>
          <t>HÖGSBY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46237</v>
      </c>
      <c r="F213" t="inlineStr">
        <is>
          <t>KALMAR LÄN</t>
        </is>
      </c>
      <c r="G213" t="inlineStr">
        <is>
          <t>HÖGSBY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46237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58017-2025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45982</v>
      </c>
      <c r="E215" s="1" t="n">
        <v>46237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46237</v>
      </c>
      <c r="F216" t="inlineStr">
        <is>
          <t>KALMAR LÄN</t>
        </is>
      </c>
      <c r="G216" t="inlineStr">
        <is>
          <t>HÖGSBY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46237</v>
      </c>
      <c r="F217" t="inlineStr">
        <is>
          <t>KALMAR LÄN</t>
        </is>
      </c>
      <c r="G217" t="inlineStr">
        <is>
          <t>HÖGSBY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46161</v>
      </c>
      <c r="E218" s="1" t="n">
        <v>46237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46237</v>
      </c>
      <c r="F219" t="inlineStr">
        <is>
          <t>KALMAR LÄN</t>
        </is>
      </c>
      <c r="G219" t="inlineStr">
        <is>
          <t>HÖGSBY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46237</v>
      </c>
      <c r="F220" t="inlineStr">
        <is>
          <t>KALMAR LÄN</t>
        </is>
      </c>
      <c r="G220" t="inlineStr">
        <is>
          <t>HÖGSBY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46237</v>
      </c>
      <c r="F221" t="inlineStr">
        <is>
          <t>KALMAR LÄN</t>
        </is>
      </c>
      <c r="G221" t="inlineStr">
        <is>
          <t>HÖGSBY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46237</v>
      </c>
      <c r="F222" t="inlineStr">
        <is>
          <t>KALMAR LÄN</t>
        </is>
      </c>
      <c r="G222" t="inlineStr">
        <is>
          <t>HÖGSBY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44861</v>
      </c>
      <c r="E223" s="1" t="n">
        <v>46237</v>
      </c>
      <c r="F223" t="inlineStr">
        <is>
          <t>KALMAR LÄN</t>
        </is>
      </c>
      <c r="G223" t="inlineStr">
        <is>
          <t>HÖGSBY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46237</v>
      </c>
      <c r="F224" t="inlineStr">
        <is>
          <t>KALMAR LÄN</t>
        </is>
      </c>
      <c r="G224" t="inlineStr">
        <is>
          <t>HÖGSBY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46237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46237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44586</v>
      </c>
      <c r="E227" s="1" t="n">
        <v>46237</v>
      </c>
      <c r="F227" t="inlineStr">
        <is>
          <t>KALMAR LÄN</t>
        </is>
      </c>
      <c r="G227" t="inlineStr">
        <is>
          <t>HÖGSBY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46237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46237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46237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46237</v>
      </c>
      <c r="F231" t="inlineStr">
        <is>
          <t>KALMAR LÄN</t>
        </is>
      </c>
      <c r="G231" t="inlineStr">
        <is>
          <t>HÖGSBY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46237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46237</v>
      </c>
      <c r="F233" t="inlineStr">
        <is>
          <t>KALMAR LÄN</t>
        </is>
      </c>
      <c r="G233" t="inlineStr">
        <is>
          <t>HÖGSBY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30291-2026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46237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46237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23937-2026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46167</v>
      </c>
      <c r="E236" s="1" t="n">
        <v>46237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46237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59281-2022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44904</v>
      </c>
      <c r="E238" s="1" t="n">
        <v>46237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46237</v>
      </c>
      <c r="F239" t="inlineStr">
        <is>
          <t>KALMAR LÄN</t>
        </is>
      </c>
      <c r="G239" t="inlineStr">
        <is>
          <t>HÖGSBY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46237</v>
      </c>
      <c r="F240" t="inlineStr">
        <is>
          <t>KALMAR LÄN</t>
        </is>
      </c>
      <c r="G240" t="inlineStr">
        <is>
          <t>HÖGSBY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46237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46237</v>
      </c>
      <c r="F242" t="inlineStr">
        <is>
          <t>KALMAR LÄN</t>
        </is>
      </c>
      <c r="G242" t="inlineStr">
        <is>
          <t>HÖGSBY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46237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46237</v>
      </c>
      <c r="F244" t="inlineStr">
        <is>
          <t>KALMAR LÄN</t>
        </is>
      </c>
      <c r="G244" t="inlineStr">
        <is>
          <t>HÖGSBY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46237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46237</v>
      </c>
      <c r="F246" t="inlineStr">
        <is>
          <t>KALMAR LÄN</t>
        </is>
      </c>
      <c r="G246" t="inlineStr">
        <is>
          <t>HÖGSBY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37811-2024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45544</v>
      </c>
      <c r="E247" s="1" t="n">
        <v>46237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28648-2023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45103</v>
      </c>
      <c r="E248" s="1" t="n">
        <v>46237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62720-2025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46008</v>
      </c>
      <c r="E249" s="1" t="n">
        <v>46237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62722-2025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46008</v>
      </c>
      <c r="E250" s="1" t="n">
        <v>46237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46237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46237</v>
      </c>
      <c r="F252" t="inlineStr">
        <is>
          <t>KALMAR LÄN</t>
        </is>
      </c>
      <c r="G252" t="inlineStr">
        <is>
          <t>HÖGSBY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46237</v>
      </c>
      <c r="F253" t="inlineStr">
        <is>
          <t>KALMAR LÄN</t>
        </is>
      </c>
      <c r="G253" t="inlineStr">
        <is>
          <t>HÖGSBY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45111</v>
      </c>
      <c r="E254" s="1" t="n">
        <v>46237</v>
      </c>
      <c r="F254" t="inlineStr">
        <is>
          <t>KALMAR LÄN</t>
        </is>
      </c>
      <c r="G254" t="inlineStr">
        <is>
          <t>HÖGSBY</t>
        </is>
      </c>
      <c r="I254" t="n">
        <v>12.1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46237</v>
      </c>
      <c r="F255" t="inlineStr">
        <is>
          <t>KALMAR LÄN</t>
        </is>
      </c>
      <c r="G255" t="inlineStr">
        <is>
          <t>HÖGSBY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46237</v>
      </c>
      <c r="F256" t="inlineStr">
        <is>
          <t>KALMAR LÄN</t>
        </is>
      </c>
      <c r="G256" t="inlineStr">
        <is>
          <t>HÖGSBY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46237</v>
      </c>
      <c r="F257" t="inlineStr">
        <is>
          <t>KALMAR LÄN</t>
        </is>
      </c>
      <c r="G257" t="inlineStr">
        <is>
          <t>HÖGSBY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46237</v>
      </c>
      <c r="F258" t="inlineStr">
        <is>
          <t>KALMAR LÄN</t>
        </is>
      </c>
      <c r="G258" t="inlineStr">
        <is>
          <t>HÖGSBY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46237</v>
      </c>
      <c r="F259" t="inlineStr">
        <is>
          <t>KALMAR LÄN</t>
        </is>
      </c>
      <c r="G259" t="inlineStr">
        <is>
          <t>HÖGSBY</t>
        </is>
      </c>
      <c r="H259" t="inlineStr">
        <is>
          <t>Övriga Aktiebolag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45588</v>
      </c>
      <c r="E260" s="1" t="n">
        <v>46237</v>
      </c>
      <c r="F260" t="inlineStr">
        <is>
          <t>KALMAR LÄN</t>
        </is>
      </c>
      <c r="G260" t="inlineStr">
        <is>
          <t>HÖGSBY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46237</v>
      </c>
      <c r="F261" t="inlineStr">
        <is>
          <t>KALMAR LÄN</t>
        </is>
      </c>
      <c r="G261" t="inlineStr">
        <is>
          <t>HÖGSBY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46237</v>
      </c>
      <c r="F262" t="inlineStr">
        <is>
          <t>KALMAR LÄN</t>
        </is>
      </c>
      <c r="G262" t="inlineStr">
        <is>
          <t>HÖGSBY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24601-2024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45460</v>
      </c>
      <c r="E263" s="1" t="n">
        <v>46237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44907</v>
      </c>
      <c r="E264" s="1" t="n">
        <v>46237</v>
      </c>
      <c r="F264" t="inlineStr">
        <is>
          <t>KALMAR LÄN</t>
        </is>
      </c>
      <c r="G264" t="inlineStr">
        <is>
          <t>HÖGSBY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45624</v>
      </c>
      <c r="E265" s="1" t="n">
        <v>46237</v>
      </c>
      <c r="F265" t="inlineStr">
        <is>
          <t>KALMAR LÄN</t>
        </is>
      </c>
      <c r="G265" t="inlineStr">
        <is>
          <t>HÖGSBY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46237</v>
      </c>
      <c r="F266" t="inlineStr">
        <is>
          <t>KALMAR LÄN</t>
        </is>
      </c>
      <c r="G266" t="inlineStr">
        <is>
          <t>HÖGSBY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45114</v>
      </c>
      <c r="E267" s="1" t="n">
        <v>46237</v>
      </c>
      <c r="F267" t="inlineStr">
        <is>
          <t>KALMAR LÄN</t>
        </is>
      </c>
      <c r="G267" t="inlineStr">
        <is>
          <t>HÖGSBY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44496</v>
      </c>
      <c r="E268" s="1" t="n">
        <v>46237</v>
      </c>
      <c r="F268" t="inlineStr">
        <is>
          <t>KALMAR LÄN</t>
        </is>
      </c>
      <c r="G268" t="inlineStr">
        <is>
          <t>HÖGSBY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46237</v>
      </c>
      <c r="F269" t="inlineStr">
        <is>
          <t>KALMAR LÄN</t>
        </is>
      </c>
      <c r="G269" t="inlineStr">
        <is>
          <t>HÖGSBY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46237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45386</v>
      </c>
      <c r="E271" s="1" t="n">
        <v>46237</v>
      </c>
      <c r="F271" t="inlineStr">
        <is>
          <t>KALMAR LÄN</t>
        </is>
      </c>
      <c r="G271" t="inlineStr">
        <is>
          <t>HÖGSBY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46237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45581</v>
      </c>
      <c r="E273" s="1" t="n">
        <v>46237</v>
      </c>
      <c r="F273" t="inlineStr">
        <is>
          <t>KALMAR LÄN</t>
        </is>
      </c>
      <c r="G273" t="inlineStr">
        <is>
          <t>HÖGSBY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46237</v>
      </c>
      <c r="F274" t="inlineStr">
        <is>
          <t>KALMAR LÄN</t>
        </is>
      </c>
      <c r="G274" t="inlineStr">
        <is>
          <t>HÖGSBY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44552</v>
      </c>
      <c r="E275" s="1" t="n">
        <v>46237</v>
      </c>
      <c r="F275" t="inlineStr">
        <is>
          <t>KALMAR LÄN</t>
        </is>
      </c>
      <c r="G275" t="inlineStr">
        <is>
          <t>HÖGSBY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46237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46237</v>
      </c>
      <c r="F277" t="inlineStr">
        <is>
          <t>KALMAR LÄN</t>
        </is>
      </c>
      <c r="G277" t="inlineStr">
        <is>
          <t>HÖGSBY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46237</v>
      </c>
      <c r="F278" t="inlineStr">
        <is>
          <t>KALMAR LÄN</t>
        </is>
      </c>
      <c r="G278" t="inlineStr">
        <is>
          <t>HÖGSBY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46237</v>
      </c>
      <c r="F279" t="inlineStr">
        <is>
          <t>KALMAR LÄN</t>
        </is>
      </c>
      <c r="G279" t="inlineStr">
        <is>
          <t>HÖGSBY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45546</v>
      </c>
      <c r="E280" s="1" t="n">
        <v>46237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7599-2024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46237</v>
      </c>
      <c r="F281" t="inlineStr">
        <is>
          <t>KALMAR LÄN</t>
        </is>
      </c>
      <c r="G281" t="inlineStr">
        <is>
          <t>HÖGSBY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46237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44972</v>
      </c>
      <c r="E283" s="1" t="n">
        <v>46237</v>
      </c>
      <c r="F283" t="inlineStr">
        <is>
          <t>KALMAR LÄN</t>
        </is>
      </c>
      <c r="G283" t="inlineStr">
        <is>
          <t>HÖGSBY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46237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46237</v>
      </c>
      <c r="F285" t="inlineStr">
        <is>
          <t>KALMAR LÄN</t>
        </is>
      </c>
      <c r="G285" t="inlineStr">
        <is>
          <t>HÖGSBY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46237</v>
      </c>
      <c r="F286" t="inlineStr">
        <is>
          <t>KALMAR LÄN</t>
        </is>
      </c>
      <c r="G286" t="inlineStr">
        <is>
          <t>HÖGSBY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45175</v>
      </c>
      <c r="E287" s="1" t="n">
        <v>46237</v>
      </c>
      <c r="F287" t="inlineStr">
        <is>
          <t>KALMAR LÄN</t>
        </is>
      </c>
      <c r="G287" t="inlineStr">
        <is>
          <t>HÖGSBY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46237</v>
      </c>
      <c r="F288" t="inlineStr">
        <is>
          <t>KALMAR LÄN</t>
        </is>
      </c>
      <c r="G288" t="inlineStr">
        <is>
          <t>HÖGSBY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46237</v>
      </c>
      <c r="F289" t="inlineStr">
        <is>
          <t>KALMAR LÄN</t>
        </is>
      </c>
      <c r="G289" t="inlineStr">
        <is>
          <t>HÖGSBY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44987</v>
      </c>
      <c r="E290" s="1" t="n">
        <v>46237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46237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46237</v>
      </c>
      <c r="F292" t="inlineStr">
        <is>
          <t>KALMAR LÄN</t>
        </is>
      </c>
      <c r="G292" t="inlineStr">
        <is>
          <t>HÖGSBY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46237</v>
      </c>
      <c r="F293" t="inlineStr">
        <is>
          <t>KALMAR LÄN</t>
        </is>
      </c>
      <c r="G293" t="inlineStr">
        <is>
          <t>HÖGSBY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46237</v>
      </c>
      <c r="F294" t="inlineStr">
        <is>
          <t>KALMAR LÄN</t>
        </is>
      </c>
      <c r="G294" t="inlineStr">
        <is>
          <t>HÖGSBY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46237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46237</v>
      </c>
      <c r="F296" t="inlineStr">
        <is>
          <t>KALMAR LÄN</t>
        </is>
      </c>
      <c r="G296" t="inlineStr">
        <is>
          <t>HÖGSBY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7443-2026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46059</v>
      </c>
      <c r="E297" s="1" t="n">
        <v>46237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46237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46237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46237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46237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12757-2023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45001</v>
      </c>
      <c r="E302" s="1" t="n">
        <v>46237</v>
      </c>
      <c r="F302" t="inlineStr">
        <is>
          <t>KALMAR LÄN</t>
        </is>
      </c>
      <c r="G302" t="inlineStr">
        <is>
          <t>HÖGSBY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46237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46237</v>
      </c>
      <c r="F304" t="inlineStr">
        <is>
          <t>KALMAR LÄN</t>
        </is>
      </c>
      <c r="G304" t="inlineStr">
        <is>
          <t>HÖGSBY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46237</v>
      </c>
      <c r="F305" t="inlineStr">
        <is>
          <t>KALMAR LÄN</t>
        </is>
      </c>
      <c r="G305" t="inlineStr">
        <is>
          <t>HÖGSBY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45348</v>
      </c>
      <c r="E306" s="1" t="n">
        <v>46237</v>
      </c>
      <c r="F306" t="inlineStr">
        <is>
          <t>KALMAR LÄN</t>
        </is>
      </c>
      <c r="G306" t="inlineStr">
        <is>
          <t>HÖGSBY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46237</v>
      </c>
      <c r="F307" t="inlineStr">
        <is>
          <t>KALMAR LÄN</t>
        </is>
      </c>
      <c r="G307" t="inlineStr">
        <is>
          <t>HÖGSBY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46237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45239</v>
      </c>
      <c r="E309" s="1" t="n">
        <v>46237</v>
      </c>
      <c r="F309" t="inlineStr">
        <is>
          <t>KALMAR LÄN</t>
        </is>
      </c>
      <c r="G309" t="inlineStr">
        <is>
          <t>HÖGSBY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45204</v>
      </c>
      <c r="E310" s="1" t="n">
        <v>46237</v>
      </c>
      <c r="F310" t="inlineStr">
        <is>
          <t>KALMAR LÄN</t>
        </is>
      </c>
      <c r="G310" t="inlineStr">
        <is>
          <t>HÖGSBY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46237</v>
      </c>
      <c r="F311" t="inlineStr">
        <is>
          <t>KALMAR LÄN</t>
        </is>
      </c>
      <c r="G311" t="inlineStr">
        <is>
          <t>HÖGSBY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45702</v>
      </c>
      <c r="E312" s="1" t="n">
        <v>46237</v>
      </c>
      <c r="F312" t="inlineStr">
        <is>
          <t>KALMAR LÄN</t>
        </is>
      </c>
      <c r="G312" t="inlineStr">
        <is>
          <t>HÖGSBY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44625</v>
      </c>
      <c r="E313" s="1" t="n">
        <v>46237</v>
      </c>
      <c r="F313" t="inlineStr">
        <is>
          <t>KALMAR LÄN</t>
        </is>
      </c>
      <c r="G313" t="inlineStr">
        <is>
          <t>HÖGSBY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44625</v>
      </c>
      <c r="E314" s="1" t="n">
        <v>46237</v>
      </c>
      <c r="F314" t="inlineStr">
        <is>
          <t>KALMAR LÄN</t>
        </is>
      </c>
      <c r="G314" t="inlineStr">
        <is>
          <t>HÖGSBY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46237</v>
      </c>
      <c r="F315" t="inlineStr">
        <is>
          <t>KALMAR LÄN</t>
        </is>
      </c>
      <c r="G315" t="inlineStr">
        <is>
          <t>HÖGSBY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46237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44879</v>
      </c>
      <c r="E317" s="1" t="n">
        <v>46237</v>
      </c>
      <c r="F317" t="inlineStr">
        <is>
          <t>KALMAR LÄN</t>
        </is>
      </c>
      <c r="G317" t="inlineStr">
        <is>
          <t>HÖGSBY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46237</v>
      </c>
      <c r="F318" t="inlineStr">
        <is>
          <t>KALMAR LÄN</t>
        </is>
      </c>
      <c r="G318" t="inlineStr">
        <is>
          <t>HÖGSBY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46237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46237</v>
      </c>
      <c r="F320" t="inlineStr">
        <is>
          <t>KALMAR LÄN</t>
        </is>
      </c>
      <c r="G320" t="inlineStr">
        <is>
          <t>HÖGSBY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46237</v>
      </c>
      <c r="F321" t="inlineStr">
        <is>
          <t>KALMAR LÄN</t>
        </is>
      </c>
      <c r="G321" t="inlineStr">
        <is>
          <t>HÖGSBY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46237</v>
      </c>
      <c r="F322" t="inlineStr">
        <is>
          <t>KALMAR LÄN</t>
        </is>
      </c>
      <c r="G322" t="inlineStr">
        <is>
          <t>HÖGSBY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46237</v>
      </c>
      <c r="F323" t="inlineStr">
        <is>
          <t>KALMAR LÄN</t>
        </is>
      </c>
      <c r="G323" t="inlineStr">
        <is>
          <t>HÖGSBY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45203</v>
      </c>
      <c r="E324" s="1" t="n">
        <v>46237</v>
      </c>
      <c r="F324" t="inlineStr">
        <is>
          <t>KALMAR LÄN</t>
        </is>
      </c>
      <c r="G324" t="inlineStr">
        <is>
          <t>HÖGSBY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44966</v>
      </c>
      <c r="E325" s="1" t="n">
        <v>46237</v>
      </c>
      <c r="F325" t="inlineStr">
        <is>
          <t>KALMAR LÄN</t>
        </is>
      </c>
      <c r="G325" t="inlineStr">
        <is>
          <t>HÖGSBY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46237</v>
      </c>
      <c r="F326" t="inlineStr">
        <is>
          <t>KALMAR LÄN</t>
        </is>
      </c>
      <c r="G326" t="inlineStr">
        <is>
          <t>HÖGSBY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46237</v>
      </c>
      <c r="F327" t="inlineStr">
        <is>
          <t>KALMAR LÄN</t>
        </is>
      </c>
      <c r="G327" t="inlineStr">
        <is>
          <t>HÖGSBY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38797-2024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45547</v>
      </c>
      <c r="E328" s="1" t="n">
        <v>46237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46237</v>
      </c>
      <c r="F329" t="inlineStr">
        <is>
          <t>KALMAR LÄN</t>
        </is>
      </c>
      <c r="G329" t="inlineStr">
        <is>
          <t>HÖGSBY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46237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46237</v>
      </c>
      <c r="F331" t="inlineStr">
        <is>
          <t>KALMAR LÄN</t>
        </is>
      </c>
      <c r="G331" t="inlineStr">
        <is>
          <t>HÖGSBY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46237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46237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17185-2022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44677</v>
      </c>
      <c r="E334" s="1" t="n">
        <v>46237</v>
      </c>
      <c r="F334" t="inlineStr">
        <is>
          <t>KALMAR LÄN</t>
        </is>
      </c>
      <c r="G334" t="inlineStr">
        <is>
          <t>HÖGSBY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45190</v>
      </c>
      <c r="E335" s="1" t="n">
        <v>46237</v>
      </c>
      <c r="F335" t="inlineStr">
        <is>
          <t>KALMAR LÄN</t>
        </is>
      </c>
      <c r="G335" t="inlineStr">
        <is>
          <t>HÖGSBY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14894-2025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45743</v>
      </c>
      <c r="E336" s="1" t="n">
        <v>46237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45622</v>
      </c>
      <c r="E337" s="1" t="n">
        <v>46237</v>
      </c>
      <c r="F337" t="inlineStr">
        <is>
          <t>KALMAR LÄN</t>
        </is>
      </c>
      <c r="G337" t="inlineStr">
        <is>
          <t>HÖGSBY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46237</v>
      </c>
      <c r="F338" t="inlineStr">
        <is>
          <t>KALMAR LÄN</t>
        </is>
      </c>
      <c r="G338" t="inlineStr">
        <is>
          <t>HÖGSBY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46237</v>
      </c>
      <c r="F339" t="inlineStr">
        <is>
          <t>KALMAR LÄN</t>
        </is>
      </c>
      <c r="G339" t="inlineStr">
        <is>
          <t>HÖGSBY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46237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46237</v>
      </c>
      <c r="F341" t="inlineStr">
        <is>
          <t>KALMAR LÄN</t>
        </is>
      </c>
      <c r="G341" t="inlineStr">
        <is>
          <t>HÖGSBY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46237</v>
      </c>
      <c r="F342" t="inlineStr">
        <is>
          <t>KALMAR LÄN</t>
        </is>
      </c>
      <c r="G342" t="inlineStr">
        <is>
          <t>HÖGSBY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46237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46237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46237</v>
      </c>
      <c r="F345" t="inlineStr">
        <is>
          <t>KALMAR LÄN</t>
        </is>
      </c>
      <c r="G345" t="inlineStr">
        <is>
          <t>HÖGSBY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46237</v>
      </c>
      <c r="F346" t="inlineStr">
        <is>
          <t>KALMAR LÄN</t>
        </is>
      </c>
      <c r="G346" t="inlineStr">
        <is>
          <t>HÖGSBY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46237</v>
      </c>
      <c r="F347" t="inlineStr">
        <is>
          <t>KALMAR LÄN</t>
        </is>
      </c>
      <c r="G347" t="inlineStr">
        <is>
          <t>HÖGSBY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46237</v>
      </c>
      <c r="F348" t="inlineStr">
        <is>
          <t>KALMAR LÄN</t>
        </is>
      </c>
      <c r="G348" t="inlineStr">
        <is>
          <t>HÖGSBY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45154</v>
      </c>
      <c r="E349" s="1" t="n">
        <v>46237</v>
      </c>
      <c r="F349" t="inlineStr">
        <is>
          <t>KALMAR LÄN</t>
        </is>
      </c>
      <c r="G349" t="inlineStr">
        <is>
          <t>HÖGSBY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46114</v>
      </c>
      <c r="E350" s="1" t="n">
        <v>46237</v>
      </c>
      <c r="F350" t="inlineStr">
        <is>
          <t>KALMAR LÄN</t>
        </is>
      </c>
      <c r="G350" t="inlineStr">
        <is>
          <t>HÖGSBY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34078-2024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45523</v>
      </c>
      <c r="E351" s="1" t="n">
        <v>46237</v>
      </c>
      <c r="F351" t="inlineStr">
        <is>
          <t>KALMAR LÄN</t>
        </is>
      </c>
      <c r="G351" t="inlineStr">
        <is>
          <t>HÖGSBY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46237</v>
      </c>
      <c r="F352" t="inlineStr">
        <is>
          <t>KALMAR LÄN</t>
        </is>
      </c>
      <c r="G352" t="inlineStr">
        <is>
          <t>HÖGSBY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46237</v>
      </c>
      <c r="F353" t="inlineStr">
        <is>
          <t>KALMAR LÄN</t>
        </is>
      </c>
      <c r="G353" t="inlineStr">
        <is>
          <t>HÖGSBY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44760</v>
      </c>
      <c r="E354" s="1" t="n">
        <v>46237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45782</v>
      </c>
      <c r="E355" s="1" t="n">
        <v>46237</v>
      </c>
      <c r="F355" t="inlineStr">
        <is>
          <t>KALMAR LÄN</t>
        </is>
      </c>
      <c r="G355" t="inlineStr">
        <is>
          <t>HÖGSBY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45259</v>
      </c>
      <c r="E356" s="1" t="n">
        <v>46237</v>
      </c>
      <c r="F356" t="inlineStr">
        <is>
          <t>KALMAR LÄN</t>
        </is>
      </c>
      <c r="G356" t="inlineStr">
        <is>
          <t>HÖGSBY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46237</v>
      </c>
      <c r="F357" t="inlineStr">
        <is>
          <t>KALMAR LÄN</t>
        </is>
      </c>
      <c r="G357" t="inlineStr">
        <is>
          <t>HÖGSBY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46237</v>
      </c>
      <c r="F358" t="inlineStr">
        <is>
          <t>KALMAR LÄN</t>
        </is>
      </c>
      <c r="G358" t="inlineStr">
        <is>
          <t>HÖGSBY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46237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46237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45727</v>
      </c>
      <c r="E361" s="1" t="n">
        <v>46237</v>
      </c>
      <c r="F361" t="inlineStr">
        <is>
          <t>KALMAR LÄN</t>
        </is>
      </c>
      <c r="G361" t="inlineStr">
        <is>
          <t>HÖGSBY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45170</v>
      </c>
      <c r="E362" s="1" t="n">
        <v>46237</v>
      </c>
      <c r="F362" t="inlineStr">
        <is>
          <t>KALMAR LÄN</t>
        </is>
      </c>
      <c r="G362" t="inlineStr">
        <is>
          <t>HÖGSBY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46237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46237</v>
      </c>
      <c r="F364" t="inlineStr">
        <is>
          <t>KALMAR LÄN</t>
        </is>
      </c>
      <c r="G364" t="inlineStr">
        <is>
          <t>HÖGSBY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46237</v>
      </c>
      <c r="F365" t="inlineStr">
        <is>
          <t>KALMAR LÄN</t>
        </is>
      </c>
      <c r="G365" t="inlineStr">
        <is>
          <t>HÖGSBY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45793</v>
      </c>
      <c r="E366" s="1" t="n">
        <v>46237</v>
      </c>
      <c r="F366" t="inlineStr">
        <is>
          <t>KALMAR LÄN</t>
        </is>
      </c>
      <c r="G366" t="inlineStr">
        <is>
          <t>HÖGSBY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45951</v>
      </c>
      <c r="E367" s="1" t="n">
        <v>46237</v>
      </c>
      <c r="F367" t="inlineStr">
        <is>
          <t>KALMAR LÄN</t>
        </is>
      </c>
      <c r="G367" t="inlineStr">
        <is>
          <t>HÖGSBY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45804</v>
      </c>
      <c r="E368" s="1" t="n">
        <v>46237</v>
      </c>
      <c r="F368" t="inlineStr">
        <is>
          <t>KALMAR LÄN</t>
        </is>
      </c>
      <c r="G368" t="inlineStr">
        <is>
          <t>HÖGSBY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46237</v>
      </c>
      <c r="F369" t="inlineStr">
        <is>
          <t>KALMAR LÄN</t>
        </is>
      </c>
      <c r="G369" t="inlineStr">
        <is>
          <t>HÖGSBY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41619-2025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46237</v>
      </c>
      <c r="F370" t="inlineStr">
        <is>
          <t>KALMAR LÄN</t>
        </is>
      </c>
      <c r="G370" t="inlineStr">
        <is>
          <t>HÖGSBY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44413</v>
      </c>
      <c r="E371" s="1" t="n">
        <v>46237</v>
      </c>
      <c r="F371" t="inlineStr">
        <is>
          <t>KALMAR LÄN</t>
        </is>
      </c>
      <c r="G371" t="inlineStr">
        <is>
          <t>HÖGSBY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74478-2021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44559</v>
      </c>
      <c r="E372" s="1" t="n">
        <v>46237</v>
      </c>
      <c r="F372" t="inlineStr">
        <is>
          <t>KALMAR LÄN</t>
        </is>
      </c>
      <c r="G372" t="inlineStr">
        <is>
          <t>HÖGSBY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44809</v>
      </c>
      <c r="E373" s="1" t="n">
        <v>46237</v>
      </c>
      <c r="F373" t="inlineStr">
        <is>
          <t>KALMAR LÄN</t>
        </is>
      </c>
      <c r="G373" t="inlineStr">
        <is>
          <t>HÖGSBY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45554</v>
      </c>
      <c r="E374" s="1" t="n">
        <v>46237</v>
      </c>
      <c r="F374" t="inlineStr">
        <is>
          <t>KALMAR LÄN</t>
        </is>
      </c>
      <c r="G374" t="inlineStr">
        <is>
          <t>HÖGSBY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HYPERLINK("https://klasma.github.io/Logging_0821/knärot/A 40137-2024 karta knärot.png", "A 40137-2024")</f>
        <v/>
      </c>
      <c r="AA374">
        <f>HYPERLINK("https://klasma.github.io/Logging_0821/klagomål/A 40137-2024 FSC-klagomål.docx", "A 40137-2024")</f>
        <v/>
      </c>
      <c r="AB374">
        <f>HYPERLINK("https://klasma.github.io/Logging_0821/klagomålsmail/A 40137-2024 FSC-klagomål mail.docx", "A 40137-2024")</f>
        <v/>
      </c>
      <c r="AC374">
        <f>HYPERLINK("https://klasma.github.io/Logging_0821/tillsyn/A 40137-2024 tillsynsbegäran.docx", "A 40137-2024")</f>
        <v/>
      </c>
      <c r="AD374">
        <f>HYPERLINK("https://klasma.github.io/Logging_0821/tillsynsmail/A 40137-2024 tillsynsbegäran mail.docx", "A 40137-2024")</f>
        <v/>
      </c>
    </row>
    <row r="375" ht="15" customHeight="1">
      <c r="A375" t="inlineStr">
        <is>
          <t>A 56705-2023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45244</v>
      </c>
      <c r="E375" s="1" t="n">
        <v>46237</v>
      </c>
      <c r="F375" t="inlineStr">
        <is>
          <t>KALMAR LÄN</t>
        </is>
      </c>
      <c r="G375" t="inlineStr">
        <is>
          <t>HÖGSBY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38824-2024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45547</v>
      </c>
      <c r="E376" s="1" t="n">
        <v>46237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45796</v>
      </c>
      <c r="E377" s="1" t="n">
        <v>46237</v>
      </c>
      <c r="F377" t="inlineStr">
        <is>
          <t>KALMAR LÄN</t>
        </is>
      </c>
      <c r="G377" t="inlineStr">
        <is>
          <t>HÖGSBY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46237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46237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45847</v>
      </c>
      <c r="E380" s="1" t="n">
        <v>46237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34579-2025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45847</v>
      </c>
      <c r="E381" s="1" t="n">
        <v>46237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46237</v>
      </c>
      <c r="F382" t="inlineStr">
        <is>
          <t>KALMAR LÄN</t>
        </is>
      </c>
      <c r="G382" t="inlineStr">
        <is>
          <t>HÖGSBY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38068-2025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45882</v>
      </c>
      <c r="E383" s="1" t="n">
        <v>46237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45688</v>
      </c>
      <c r="E384" s="1" t="n">
        <v>46237</v>
      </c>
      <c r="F384" t="inlineStr">
        <is>
          <t>KALMAR LÄN</t>
        </is>
      </c>
      <c r="G384" t="inlineStr">
        <is>
          <t>HÖGSBY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46237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46237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46237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46237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46237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46237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46237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46237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46237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46237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46237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46237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46237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46237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46237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46237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46237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46237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46237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46237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46237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46237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46237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46237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2026-08-03T01:52:59Z</dcterms:created>
  <dcterms:modified xmlns:dcterms="http://purl.org/dc/terms/" xmlns:xsi="http://www.w3.org/2001/XMLSchema-instance" xsi:type="dcterms:W3CDTF">2026-08-03T01:52:59Z</dcterms:modified>
</cp:coreProperties>
</file>