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46255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46255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46255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46255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46255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46255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46255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46255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46255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46255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46255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46255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46255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46255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46255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46255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46255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46255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46255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46255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46255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46255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46255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46255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46255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46255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46255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46255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46255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46255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46255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46255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46255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46255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46255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46255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46255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46255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46255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46255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46255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46255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Mindre bastardsvärmare</t>
        </is>
      </c>
      <c r="W44">
        <f>HYPERLINK("https://klasma.github.io/Logging_0821/artfynd/A 17994-2026 artfynd.xlsx", "A 17994-2026")</f>
        <v/>
      </c>
      <c r="X44">
        <f>HYPERLINK("https://klasma.github.io/Logging_0821/kartor/A 17994-2026 karta.png", "A 17994-2026")</f>
        <v/>
      </c>
      <c r="Y44">
        <f>HYPERLINK("https://klasma.github.io/Logging_0821/kartor_geotiff/A 17994-2026 georefererad karta.tif", "A 17994-2026")</f>
        <v/>
      </c>
      <c r="AA44">
        <f>HYPERLINK("https://klasma.github.io/Logging_0821/klagomål/A 17994-2026 FSC-klagomål.docx", "A 17994-2026")</f>
        <v/>
      </c>
      <c r="AB44">
        <f>HYPERLINK("https://klasma.github.io/Logging_0821/klagomålsmail/A 17994-2026 FSC-klagomål mail.docx", "A 17994-2026")</f>
        <v/>
      </c>
      <c r="AC44">
        <f>HYPERLINK("https://klasma.github.io/Logging_0821/tillsyn/A 17994-2026 tillsynsbegäran.docx", "A 17994-2026")</f>
        <v/>
      </c>
      <c r="AD44">
        <f>HYPERLINK("https://klasma.github.io/Logging_0821/tillsynsmail/A 17994-2026 tillsynsbegäran mail.docx", "A 17994-2026")</f>
        <v/>
      </c>
    </row>
    <row r="45" ht="15" customHeight="1">
      <c r="A45" t="inlineStr">
        <is>
          <t>A 19463-2026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46255</v>
      </c>
      <c r="F45" t="inlineStr">
        <is>
          <t>KALMAR LÄN</t>
        </is>
      </c>
      <c r="G45" t="inlineStr">
        <is>
          <t>HÖGSBY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HYPERLINK("https://klasma.github.io/Logging_0821/artfynd/A 19463-2026 artfynd.xlsx", "A 19463-2026")</f>
        <v/>
      </c>
      <c r="X45">
        <f>HYPERLINK("https://klasma.github.io/Logging_0821/kartor/A 19463-2026 karta.png", "A 19463-2026")</f>
        <v/>
      </c>
      <c r="Y45">
        <f>HYPERLINK("https://klasma.github.io/Logging_0821/kartor_geotiff/A 19463-2026 georefererad karta.tif", "A 19463-2026")</f>
        <v/>
      </c>
      <c r="AA45">
        <f>HYPERLINK("https://klasma.github.io/Logging_0821/klagomål/A 19463-2026 FSC-klagomål.docx", "A 19463-2026")</f>
        <v/>
      </c>
      <c r="AB45">
        <f>HYPERLINK("https://klasma.github.io/Logging_0821/klagomålsmail/A 19463-2026 FSC-klagomål mail.docx", "A 19463-2026")</f>
        <v/>
      </c>
      <c r="AC45">
        <f>HYPERLINK("https://klasma.github.io/Logging_0821/tillsyn/A 19463-2026 tillsynsbegäran.docx", "A 19463-2026")</f>
        <v/>
      </c>
      <c r="AD45">
        <f>HYPERLINK("https://klasma.github.io/Logging_0821/tillsynsmail/A 19463-2026 tillsynsbegäran mail.docx", "A 19463-2026")</f>
        <v/>
      </c>
    </row>
    <row r="46" ht="15" customHeight="1">
      <c r="A46" t="inlineStr">
        <is>
          <t>A 19536-2026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46255</v>
      </c>
      <c r="F46" t="inlineStr">
        <is>
          <t>KALMAR LÄN</t>
        </is>
      </c>
      <c r="G46" t="inlineStr">
        <is>
          <t>HÖGSBY</t>
        </is>
      </c>
      <c r="I46" t="n">
        <v>4.7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19536-2026 artfynd.xlsx", "A 19536-2026")</f>
        <v/>
      </c>
      <c r="X46">
        <f>HYPERLINK("https://klasma.github.io/Logging_0821/kartor/A 19536-2026 karta.png", "A 19536-2026")</f>
        <v/>
      </c>
      <c r="Y46">
        <f>HYPERLINK("https://klasma.github.io/Logging_0821/kartor_geotiff/A 19536-2026 georefererad karta.tif", "A 19536-2026")</f>
        <v/>
      </c>
      <c r="AA46">
        <f>HYPERLINK("https://klasma.github.io/Logging_0821/klagomål/A 19536-2026 FSC-klagomål.docx", "A 19536-2026")</f>
        <v/>
      </c>
      <c r="AB46">
        <f>HYPERLINK("https://klasma.github.io/Logging_0821/klagomålsmail/A 19536-2026 FSC-klagomål mail.docx", "A 19536-2026")</f>
        <v/>
      </c>
      <c r="AC46">
        <f>HYPERLINK("https://klasma.github.io/Logging_0821/tillsyn/A 19536-2026 tillsynsbegäran.docx", "A 19536-2026")</f>
        <v/>
      </c>
      <c r="AD46">
        <f>HYPERLINK("https://klasma.github.io/Logging_0821/tillsynsmail/A 19536-2026 tillsynsbegäran mail.docx", "A 19536-2026")</f>
        <v/>
      </c>
      <c r="AE46">
        <f>HYPERLINK("https://klasma.github.io/Logging_0821/fåglar/A 19536-2026 prioriterade fågelarter.docx", "A 19536-2026")</f>
        <v/>
      </c>
    </row>
    <row r="47" ht="15" customHeight="1">
      <c r="A47" t="inlineStr">
        <is>
          <t>A 35075-2023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46255</v>
      </c>
      <c r="F47" t="inlineStr">
        <is>
          <t>KALMAR LÄN</t>
        </is>
      </c>
      <c r="G47" t="inlineStr">
        <is>
          <t>HÖGSBY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35075-2023 artfynd.xlsx", "A 35075-2023")</f>
        <v/>
      </c>
      <c r="X47">
        <f>HYPERLINK("https://klasma.github.io/Logging_0821/kartor/A 35075-2023 karta.png", "A 35075-2023")</f>
        <v/>
      </c>
      <c r="Y47">
        <f>HYPERLINK("https://klasma.github.io/Logging_0821/kartor_geotiff/A 35075-2023 georefererad karta.tif", "A 35075-2023")</f>
        <v/>
      </c>
      <c r="AA47">
        <f>HYPERLINK("https://klasma.github.io/Logging_0821/klagomål/A 35075-2023 FSC-klagomål.docx", "A 35075-2023")</f>
        <v/>
      </c>
      <c r="AB47">
        <f>HYPERLINK("https://klasma.github.io/Logging_0821/klagomålsmail/A 35075-2023 FSC-klagomål mail.docx", "A 35075-2023")</f>
        <v/>
      </c>
      <c r="AC47">
        <f>HYPERLINK("https://klasma.github.io/Logging_0821/tillsyn/A 35075-2023 tillsynsbegäran.docx", "A 35075-2023")</f>
        <v/>
      </c>
      <c r="AD47">
        <f>HYPERLINK("https://klasma.github.io/Logging_0821/tillsynsmail/A 35075-2023 tillsynsbegäran mail.docx", "A 35075-2023")</f>
        <v/>
      </c>
    </row>
    <row r="48" ht="15" customHeight="1">
      <c r="A48" t="inlineStr">
        <is>
          <t>A 38267-2025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46255</v>
      </c>
      <c r="F48" t="inlineStr">
        <is>
          <t>KALMAR LÄN</t>
        </is>
      </c>
      <c r="G48" t="inlineStr">
        <is>
          <t>HÖGSBY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Flikig tallfibbla</t>
        </is>
      </c>
      <c r="W48">
        <f>HYPERLINK("https://klasma.github.io/Logging_0821/artfynd/A 38267-2025 artfynd.xlsx", "A 38267-2025")</f>
        <v/>
      </c>
      <c r="X48">
        <f>HYPERLINK("https://klasma.github.io/Logging_0821/kartor/A 38267-2025 karta.png", "A 38267-2025")</f>
        <v/>
      </c>
      <c r="Y48">
        <f>HYPERLINK("https://klasma.github.io/Logging_0821/kartor_geotiff/A 38267-2025 georefererad karta.tif", "A 38267-2025")</f>
        <v/>
      </c>
      <c r="AA48">
        <f>HYPERLINK("https://klasma.github.io/Logging_0821/klagomål/A 38267-2025 FSC-klagomål.docx", "A 38267-2025")</f>
        <v/>
      </c>
      <c r="AB48">
        <f>HYPERLINK("https://klasma.github.io/Logging_0821/klagomålsmail/A 38267-2025 FSC-klagomål mail.docx", "A 38267-2025")</f>
        <v/>
      </c>
      <c r="AC48">
        <f>HYPERLINK("https://klasma.github.io/Logging_0821/tillsyn/A 38267-2025 tillsynsbegäran.docx", "A 38267-2025")</f>
        <v/>
      </c>
      <c r="AD48">
        <f>HYPERLINK("https://klasma.github.io/Logging_0821/tillsynsmail/A 38267-2025 tillsynsbegäran mail.docx", "A 38267-2025")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46255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HYPERLINK("https://klasma.github.io/Logging_0821/artfynd/A 1519-2022 artfynd.xlsx", "A 1519-2022")</f>
        <v/>
      </c>
      <c r="X49">
        <f>HYPERLINK("https://klasma.github.io/Logging_0821/kartor/A 1519-2022 karta.png", "A 1519-2022")</f>
        <v/>
      </c>
      <c r="Y49">
        <f>HYPERLINK("https://klasma.github.io/Logging_0821/kartor_geotiff/A 1519-2022 georefererad karta.tif", "A 1519-2022")</f>
        <v/>
      </c>
      <c r="AA49">
        <f>HYPERLINK("https://klasma.github.io/Logging_0821/klagomål/A 1519-2022 FSC-klagomål.docx", "A 1519-2022")</f>
        <v/>
      </c>
      <c r="AB49">
        <f>HYPERLINK("https://klasma.github.io/Logging_0821/klagomålsmail/A 1519-2022 FSC-klagomål mail.docx", "A 1519-2022")</f>
        <v/>
      </c>
      <c r="AC49">
        <f>HYPERLINK("https://klasma.github.io/Logging_0821/tillsyn/A 1519-2022 tillsynsbegäran.docx", "A 1519-2022")</f>
        <v/>
      </c>
      <c r="AD49">
        <f>HYPERLINK("https://klasma.github.io/Logging_0821/tillsynsmail/A 1519-2022 tillsynsbegäran mail.docx", "A 1519-2022")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46255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19519-2025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45770</v>
      </c>
      <c r="E51" s="1" t="n">
        <v>46255</v>
      </c>
      <c r="F51" t="inlineStr">
        <is>
          <t>KALMAR LÄN</t>
        </is>
      </c>
      <c r="G51" t="inlineStr">
        <is>
          <t>HÖGSBY</t>
        </is>
      </c>
      <c r="I51" t="n">
        <v>3.5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HYPERLINK("https://klasma.github.io/Logging_0821/artfynd/A 19519-2025 artfynd.xlsx", "A 19519-2025")</f>
        <v/>
      </c>
      <c r="X51">
        <f>HYPERLINK("https://klasma.github.io/Logging_0821/kartor/A 19519-2025 karta.png", "A 19519-2025")</f>
        <v/>
      </c>
      <c r="Y51">
        <f>HYPERLINK("https://klasma.github.io/Logging_0821/kartor_geotiff/A 19519-2025 georefererad karta.tif", "A 19519-2025")</f>
        <v/>
      </c>
      <c r="AA51">
        <f>HYPERLINK("https://klasma.github.io/Logging_0821/klagomål/A 19519-2025 FSC-klagomål.docx", "A 19519-2025")</f>
        <v/>
      </c>
      <c r="AB51">
        <f>HYPERLINK("https://klasma.github.io/Logging_0821/klagomålsmail/A 19519-2025 FSC-klagomål mail.docx", "A 19519-2025")</f>
        <v/>
      </c>
      <c r="AC51">
        <f>HYPERLINK("https://klasma.github.io/Logging_0821/tillsyn/A 19519-2025 tillsynsbegäran.docx", "A 19519-2025")</f>
        <v/>
      </c>
      <c r="AD51">
        <f>HYPERLINK("https://klasma.github.io/Logging_0821/tillsynsmail/A 19519-2025 tillsynsbegäran mail.docx", "A 19519-2025")</f>
        <v/>
      </c>
    </row>
    <row r="52" ht="15" customHeight="1">
      <c r="A52" t="inlineStr">
        <is>
          <t>A 23859-2026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46255</v>
      </c>
      <c r="F52" t="inlineStr">
        <is>
          <t>KALMAR LÄN</t>
        </is>
      </c>
      <c r="G52" t="inlineStr">
        <is>
          <t>HÖGSBY</t>
        </is>
      </c>
      <c r="I52" t="n">
        <v>3.8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Rödlånke</t>
        </is>
      </c>
      <c r="W52">
        <f>HYPERLINK("https://klasma.github.io/Logging_0821/artfynd/A 23859-2026 artfynd.xlsx", "A 23859-2026")</f>
        <v/>
      </c>
      <c r="X52">
        <f>HYPERLINK("https://klasma.github.io/Logging_0821/kartor/A 23859-2026 karta.png", "A 23859-2026")</f>
        <v/>
      </c>
      <c r="Y52">
        <f>HYPERLINK("https://klasma.github.io/Logging_0821/kartor_geotiff/A 23859-2026 georefererad karta.tif", "A 23859-2026")</f>
        <v/>
      </c>
      <c r="AA52">
        <f>HYPERLINK("https://klasma.github.io/Logging_0821/klagomål/A 23859-2026 FSC-klagomål.docx", "A 23859-2026")</f>
        <v/>
      </c>
      <c r="AB52">
        <f>HYPERLINK("https://klasma.github.io/Logging_0821/klagomålsmail/A 23859-2026 FSC-klagomål mail.docx", "A 23859-2026")</f>
        <v/>
      </c>
      <c r="AC52">
        <f>HYPERLINK("https://klasma.github.io/Logging_0821/tillsyn/A 23859-2026 tillsynsbegäran.docx", "A 23859-2026")</f>
        <v/>
      </c>
      <c r="AD52">
        <f>HYPERLINK("https://klasma.github.io/Logging_0821/tillsynsmail/A 23859-2026 tillsynsbegäran mail.docx", "A 23859-2026")</f>
        <v/>
      </c>
    </row>
    <row r="53" ht="15" customHeight="1">
      <c r="A53" t="inlineStr">
        <is>
          <t>A 59700-2023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45256</v>
      </c>
      <c r="E53" s="1" t="n">
        <v>46255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59700-2023 artfynd.xlsx", "A 59700-2023")</f>
        <v/>
      </c>
      <c r="X53">
        <f>HYPERLINK("https://klasma.github.io/Logging_0821/kartor/A 59700-2023 karta.png", "A 59700-2023")</f>
        <v/>
      </c>
      <c r="Y53">
        <f>HYPERLINK("https://klasma.github.io/Logging_0821/kartor_geotiff/A 59700-2023 georefererad karta.tif", "A 59700-2023")</f>
        <v/>
      </c>
      <c r="AA53">
        <f>HYPERLINK("https://klasma.github.io/Logging_0821/klagomål/A 59700-2023 FSC-klagomål.docx", "A 59700-2023")</f>
        <v/>
      </c>
      <c r="AB53">
        <f>HYPERLINK("https://klasma.github.io/Logging_0821/klagomålsmail/A 59700-2023 FSC-klagomål mail.docx", "A 59700-2023")</f>
        <v/>
      </c>
      <c r="AC53">
        <f>HYPERLINK("https://klasma.github.io/Logging_0821/tillsyn/A 59700-2023 tillsynsbegäran.docx", "A 59700-2023")</f>
        <v/>
      </c>
      <c r="AD53">
        <f>HYPERLINK("https://klasma.github.io/Logging_0821/tillsynsmail/A 59700-2023 tillsynsbegäran mail.docx", "A 59700-2023")</f>
        <v/>
      </c>
      <c r="AE53">
        <f>HYPERLINK("https://klasma.github.io/Logging_0821/fåglar/A 59700-2023 prioriterade fågelarter.docx", "A 59700-2023")</f>
        <v/>
      </c>
    </row>
    <row r="54" ht="15" customHeight="1">
      <c r="A54" t="inlineStr">
        <is>
          <t>A 26145-2026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46255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Gullviva</t>
        </is>
      </c>
      <c r="W54">
        <f>HYPERLINK("https://klasma.github.io/Logging_0821/artfynd/A 26145-2026 artfynd.xlsx", "A 26145-2026")</f>
        <v/>
      </c>
      <c r="X54">
        <f>HYPERLINK("https://klasma.github.io/Logging_0821/kartor/A 26145-2026 karta.png", "A 26145-2026")</f>
        <v/>
      </c>
      <c r="Y54">
        <f>HYPERLINK("https://klasma.github.io/Logging_0821/kartor_geotiff/A 26145-2026 georefererad karta.tif", "A 26145-2026")</f>
        <v/>
      </c>
      <c r="AA54">
        <f>HYPERLINK("https://klasma.github.io/Logging_0821/klagomål/A 26145-2026 FSC-klagomål.docx", "A 26145-2026")</f>
        <v/>
      </c>
      <c r="AB54">
        <f>HYPERLINK("https://klasma.github.io/Logging_0821/klagomålsmail/A 26145-2026 FSC-klagomål mail.docx", "A 26145-2026")</f>
        <v/>
      </c>
      <c r="AC54">
        <f>HYPERLINK("https://klasma.github.io/Logging_0821/tillsyn/A 26145-2026 tillsynsbegäran.docx", "A 26145-2026")</f>
        <v/>
      </c>
      <c r="AD54">
        <f>HYPERLINK("https://klasma.github.io/Logging_0821/tillsynsmail/A 26145-2026 tillsynsbegäran mail.docx", "A 26145-2026")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46255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46255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46255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46255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46255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46255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46255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46255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46255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46255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46255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46255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46255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46255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46255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46255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46255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46255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46255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46255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46255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46255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46255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46255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46255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46255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46255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46255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46255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46255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46255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46255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46255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46255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46255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46255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46255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46255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46255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46255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46255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46255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46255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46255</v>
      </c>
      <c r="F98" t="inlineStr">
        <is>
          <t>KALMAR LÄN</t>
        </is>
      </c>
      <c r="G98" t="inlineStr">
        <is>
          <t>HÖGSBY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46255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46255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46255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10244-2024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46255</v>
      </c>
      <c r="F102" t="inlineStr">
        <is>
          <t>KALMAR LÄN</t>
        </is>
      </c>
      <c r="G102" t="inlineStr">
        <is>
          <t>HÖGSBY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44876</v>
      </c>
      <c r="E103" s="1" t="n">
        <v>46255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46255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46255</v>
      </c>
      <c r="F105" t="inlineStr">
        <is>
          <t>KALMAR LÄN</t>
        </is>
      </c>
      <c r="G105" t="inlineStr">
        <is>
          <t>HÖGSBY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46255</v>
      </c>
      <c r="F106" t="inlineStr">
        <is>
          <t>KALMAR LÄN</t>
        </is>
      </c>
      <c r="G106" t="inlineStr">
        <is>
          <t>HÖGSBY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46255</v>
      </c>
      <c r="F107" t="inlineStr">
        <is>
          <t>KALMAR LÄN</t>
        </is>
      </c>
      <c r="G107" t="inlineStr">
        <is>
          <t>HÖGSBY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46255</v>
      </c>
      <c r="F108" t="inlineStr">
        <is>
          <t>KALMAR LÄN</t>
        </is>
      </c>
      <c r="G108" t="inlineStr">
        <is>
          <t>HÖGSBY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46255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45320</v>
      </c>
      <c r="E110" s="1" t="n">
        <v>46255</v>
      </c>
      <c r="F110" t="inlineStr">
        <is>
          <t>KALMAR LÄN</t>
        </is>
      </c>
      <c r="G110" t="inlineStr">
        <is>
          <t>HÖGSBY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46255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46255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46255</v>
      </c>
      <c r="F113" t="inlineStr">
        <is>
          <t>KALMAR LÄN</t>
        </is>
      </c>
      <c r="G113" t="inlineStr">
        <is>
          <t>HÖGSBY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46255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46255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46255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57006-2024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45626</v>
      </c>
      <c r="E117" s="1" t="n">
        <v>46255</v>
      </c>
      <c r="F117" t="inlineStr">
        <is>
          <t>KALMAR LÄN</t>
        </is>
      </c>
      <c r="G117" t="inlineStr">
        <is>
          <t>HÖGSBY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46255</v>
      </c>
      <c r="F118" t="inlineStr">
        <is>
          <t>KALMAR LÄN</t>
        </is>
      </c>
      <c r="G118" t="inlineStr">
        <is>
          <t>HÖGSBY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46255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46255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34577-2025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46255</v>
      </c>
      <c r="F121" t="inlineStr">
        <is>
          <t>KALMAR LÄN</t>
        </is>
      </c>
      <c r="G121" t="inlineStr">
        <is>
          <t>HÖGSBY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46255</v>
      </c>
      <c r="F122" t="inlineStr">
        <is>
          <t>KALMAR LÄN</t>
        </is>
      </c>
      <c r="G122" t="inlineStr">
        <is>
          <t>HÖGSBY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46255</v>
      </c>
      <c r="F123" t="inlineStr">
        <is>
          <t>KALMAR LÄN</t>
        </is>
      </c>
      <c r="G123" t="inlineStr">
        <is>
          <t>HÖGSBY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46255</v>
      </c>
      <c r="F124" t="inlineStr">
        <is>
          <t>KALMAR LÄN</t>
        </is>
      </c>
      <c r="G124" t="inlineStr">
        <is>
          <t>HÖGSBY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46255</v>
      </c>
      <c r="F125" t="inlineStr">
        <is>
          <t>KALMAR LÄN</t>
        </is>
      </c>
      <c r="G125" t="inlineStr">
        <is>
          <t>HÖGSBY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46255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46255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46255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65130-2023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45288</v>
      </c>
      <c r="E129" s="1" t="n">
        <v>46255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46255</v>
      </c>
      <c r="F130" t="inlineStr">
        <is>
          <t>KALMAR LÄN</t>
        </is>
      </c>
      <c r="G130" t="inlineStr">
        <is>
          <t>HÖGSBY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57000-2024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45626</v>
      </c>
      <c r="E131" s="1" t="n">
        <v>46255</v>
      </c>
      <c r="F131" t="inlineStr">
        <is>
          <t>KALMAR LÄN</t>
        </is>
      </c>
      <c r="G131" t="inlineStr">
        <is>
          <t>HÖGSBY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46255</v>
      </c>
      <c r="F132" t="inlineStr">
        <is>
          <t>KALMAR LÄN</t>
        </is>
      </c>
      <c r="G132" t="inlineStr">
        <is>
          <t>HÖGSBY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60853-2021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46255</v>
      </c>
      <c r="F133" t="inlineStr">
        <is>
          <t>KALMAR LÄN</t>
        </is>
      </c>
      <c r="G133" t="inlineStr">
        <is>
          <t>HÖGSBY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46255</v>
      </c>
      <c r="F134" t="inlineStr">
        <is>
          <t>KALMAR LÄN</t>
        </is>
      </c>
      <c r="G134" t="inlineStr">
        <is>
          <t>HÖGSBY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38068-2025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45882</v>
      </c>
      <c r="E135" s="1" t="n">
        <v>46255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46255</v>
      </c>
      <c r="F136" t="inlineStr">
        <is>
          <t>KALMAR LÄN</t>
        </is>
      </c>
      <c r="G136" t="inlineStr">
        <is>
          <t>HÖGSBY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46255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45775</v>
      </c>
      <c r="E138" s="1" t="n">
        <v>46255</v>
      </c>
      <c r="F138" t="inlineStr">
        <is>
          <t>KALMAR LÄN</t>
        </is>
      </c>
      <c r="G138" t="inlineStr">
        <is>
          <t>HÖGSBY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45707</v>
      </c>
      <c r="E139" s="1" t="n">
        <v>46255</v>
      </c>
      <c r="F139" t="inlineStr">
        <is>
          <t>KALMAR LÄN</t>
        </is>
      </c>
      <c r="G139" t="inlineStr">
        <is>
          <t>HÖGSBY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44729</v>
      </c>
      <c r="E140" s="1" t="n">
        <v>46255</v>
      </c>
      <c r="F140" t="inlineStr">
        <is>
          <t>KALMAR LÄN</t>
        </is>
      </c>
      <c r="G140" t="inlineStr">
        <is>
          <t>HÖGSBY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32049-2023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45119</v>
      </c>
      <c r="E141" s="1" t="n">
        <v>46255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45608</v>
      </c>
      <c r="E142" s="1" t="n">
        <v>46255</v>
      </c>
      <c r="F142" t="inlineStr">
        <is>
          <t>KALMAR LÄN</t>
        </is>
      </c>
      <c r="G142" t="inlineStr">
        <is>
          <t>HÖGSBY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46255</v>
      </c>
      <c r="F143" t="inlineStr">
        <is>
          <t>KALMAR LÄN</t>
        </is>
      </c>
      <c r="G143" t="inlineStr">
        <is>
          <t>HÖGSBY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46255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46255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44999</v>
      </c>
      <c r="E146" s="1" t="n">
        <v>46255</v>
      </c>
      <c r="F146" t="inlineStr">
        <is>
          <t>KALMAR LÄN</t>
        </is>
      </c>
      <c r="G146" t="inlineStr">
        <is>
          <t>HÖGSBY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46255</v>
      </c>
      <c r="F147" t="inlineStr">
        <is>
          <t>KALMAR LÄN</t>
        </is>
      </c>
      <c r="G147" t="inlineStr">
        <is>
          <t>HÖGSBY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45105</v>
      </c>
      <c r="E148" s="1" t="n">
        <v>46255</v>
      </c>
      <c r="F148" t="inlineStr">
        <is>
          <t>KALMAR LÄN</t>
        </is>
      </c>
      <c r="G148" t="inlineStr">
        <is>
          <t>HÖGSBY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46255</v>
      </c>
      <c r="F149" t="inlineStr">
        <is>
          <t>KALMAR LÄN</t>
        </is>
      </c>
      <c r="G149" t="inlineStr">
        <is>
          <t>HÖGSBY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46255</v>
      </c>
      <c r="F150" t="inlineStr">
        <is>
          <t>KALMAR LÄN</t>
        </is>
      </c>
      <c r="G150" t="inlineStr">
        <is>
          <t>HÖGSBY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46255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46255</v>
      </c>
      <c r="F152" t="inlineStr">
        <is>
          <t>KALMAR LÄN</t>
        </is>
      </c>
      <c r="G152" t="inlineStr">
        <is>
          <t>HÖGSBY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46255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38802-2024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45547</v>
      </c>
      <c r="E154" s="1" t="n">
        <v>46255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46255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46255</v>
      </c>
      <c r="F156" t="inlineStr">
        <is>
          <t>KALMAR LÄN</t>
        </is>
      </c>
      <c r="G156" t="inlineStr">
        <is>
          <t>HÖGSBY</t>
        </is>
      </c>
      <c r="I156" t="n">
        <v>12.8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46255</v>
      </c>
      <c r="F157" t="inlineStr">
        <is>
          <t>KALMAR LÄN</t>
        </is>
      </c>
      <c r="G157" t="inlineStr">
        <is>
          <t>HÖGSBY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45228</v>
      </c>
      <c r="E158" s="1" t="n">
        <v>46255</v>
      </c>
      <c r="F158" t="inlineStr">
        <is>
          <t>KALMAR LÄN</t>
        </is>
      </c>
      <c r="G158" t="inlineStr">
        <is>
          <t>HÖGSBY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46255</v>
      </c>
      <c r="F159" t="inlineStr">
        <is>
          <t>KALMAR LÄN</t>
        </is>
      </c>
      <c r="G159" t="inlineStr">
        <is>
          <t>HÖGSBY</t>
        </is>
      </c>
      <c r="H159" t="inlineStr">
        <is>
          <t>Kyrkan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49338-2022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44861</v>
      </c>
      <c r="E160" s="1" t="n">
        <v>46255</v>
      </c>
      <c r="F160" t="inlineStr">
        <is>
          <t>KALMAR LÄN</t>
        </is>
      </c>
      <c r="G160" t="inlineStr">
        <is>
          <t>HÖGSBY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46255</v>
      </c>
      <c r="F161" t="inlineStr">
        <is>
          <t>KALMAR LÄN</t>
        </is>
      </c>
      <c r="G161" t="inlineStr">
        <is>
          <t>HÖGSBY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46255</v>
      </c>
      <c r="F162" t="inlineStr">
        <is>
          <t>KALMAR LÄN</t>
        </is>
      </c>
      <c r="G162" t="inlineStr">
        <is>
          <t>HÖGSBY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46255</v>
      </c>
      <c r="F163" t="inlineStr">
        <is>
          <t>KALMAR LÄN</t>
        </is>
      </c>
      <c r="G163" t="inlineStr">
        <is>
          <t>HÖGSBY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46255</v>
      </c>
      <c r="F164" t="inlineStr">
        <is>
          <t>KALMAR LÄN</t>
        </is>
      </c>
      <c r="G164" t="inlineStr">
        <is>
          <t>HÖGSBY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46255</v>
      </c>
      <c r="F165" t="inlineStr">
        <is>
          <t>KALMAR LÄN</t>
        </is>
      </c>
      <c r="G165" t="inlineStr">
        <is>
          <t>HÖGSBY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45247</v>
      </c>
      <c r="E166" s="1" t="n">
        <v>46255</v>
      </c>
      <c r="F166" t="inlineStr">
        <is>
          <t>KALMAR LÄN</t>
        </is>
      </c>
      <c r="G166" t="inlineStr">
        <is>
          <t>HÖGSBY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46255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46255</v>
      </c>
      <c r="F168" t="inlineStr">
        <is>
          <t>KALMAR LÄN</t>
        </is>
      </c>
      <c r="G168" t="inlineStr">
        <is>
          <t>HÖGSBY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45244</v>
      </c>
      <c r="E169" s="1" t="n">
        <v>46255</v>
      </c>
      <c r="F169" t="inlineStr">
        <is>
          <t>KALMAR LÄN</t>
        </is>
      </c>
      <c r="G169" t="inlineStr">
        <is>
          <t>HÖGSBY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62562-2022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46255</v>
      </c>
      <c r="F170" t="inlineStr">
        <is>
          <t>KALMAR LÄN</t>
        </is>
      </c>
      <c r="G170" t="inlineStr">
        <is>
          <t>HÖGSBY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46255</v>
      </c>
      <c r="F171" t="inlineStr">
        <is>
          <t>KALMAR LÄN</t>
        </is>
      </c>
      <c r="G171" t="inlineStr">
        <is>
          <t>HÖGSBY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44861</v>
      </c>
      <c r="E172" s="1" t="n">
        <v>46255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46255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44586</v>
      </c>
      <c r="E174" s="1" t="n">
        <v>46255</v>
      </c>
      <c r="F174" t="inlineStr">
        <is>
          <t>KALMAR LÄN</t>
        </is>
      </c>
      <c r="G174" t="inlineStr">
        <is>
          <t>HÖGSBY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46255</v>
      </c>
      <c r="F175" t="inlineStr">
        <is>
          <t>KALMAR LÄN</t>
        </is>
      </c>
      <c r="G175" t="inlineStr">
        <is>
          <t>HÖGSBY</t>
        </is>
      </c>
      <c r="H175" t="inlineStr">
        <is>
          <t>Övriga Aktiebolag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46255</v>
      </c>
      <c r="F176" t="inlineStr">
        <is>
          <t>KALMAR LÄN</t>
        </is>
      </c>
      <c r="G176" t="inlineStr">
        <is>
          <t>HÖGSBY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58017-2025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45982</v>
      </c>
      <c r="E177" s="1" t="n">
        <v>46255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45040</v>
      </c>
      <c r="E178" s="1" t="n">
        <v>46255</v>
      </c>
      <c r="F178" t="inlineStr">
        <is>
          <t>KALMAR LÄN</t>
        </is>
      </c>
      <c r="G178" t="inlineStr">
        <is>
          <t>HÖGSBY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14894-2025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45743</v>
      </c>
      <c r="E179" s="1" t="n">
        <v>46255</v>
      </c>
      <c r="F179" t="inlineStr">
        <is>
          <t>KALMAR LÄN</t>
        </is>
      </c>
      <c r="G179" t="inlineStr">
        <is>
          <t>HÖGSBY</t>
        </is>
      </c>
      <c r="H179" t="inlineStr">
        <is>
          <t>Kommuner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59281-2022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44904</v>
      </c>
      <c r="E180" s="1" t="n">
        <v>46255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46255</v>
      </c>
      <c r="F181" t="inlineStr">
        <is>
          <t>KALMAR LÄN</t>
        </is>
      </c>
      <c r="G181" t="inlineStr">
        <is>
          <t>HÖGSBY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46255</v>
      </c>
      <c r="F182" t="inlineStr">
        <is>
          <t>KALMAR LÄN</t>
        </is>
      </c>
      <c r="G182" t="inlineStr">
        <is>
          <t>HÖGSBY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46107</v>
      </c>
      <c r="E183" s="1" t="n">
        <v>46255</v>
      </c>
      <c r="F183" t="inlineStr">
        <is>
          <t>KALMAR LÄN</t>
        </is>
      </c>
      <c r="G183" t="inlineStr">
        <is>
          <t>HÖGSBY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44866</v>
      </c>
      <c r="E184" s="1" t="n">
        <v>46255</v>
      </c>
      <c r="F184" t="inlineStr">
        <is>
          <t>KALMAR LÄN</t>
        </is>
      </c>
      <c r="G184" t="inlineStr">
        <is>
          <t>HÖGSBY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37811-2024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45544</v>
      </c>
      <c r="E185" s="1" t="n">
        <v>46255</v>
      </c>
      <c r="F185" t="inlineStr">
        <is>
          <t>KALMAR LÄN</t>
        </is>
      </c>
      <c r="G185" t="inlineStr">
        <is>
          <t>HÖGSBY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28648-2023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45103</v>
      </c>
      <c r="E186" s="1" t="n">
        <v>46255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46255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46255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46255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46255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46255</v>
      </c>
      <c r="F191" t="inlineStr">
        <is>
          <t>KALMAR LÄN</t>
        </is>
      </c>
      <c r="G191" t="inlineStr">
        <is>
          <t>HÖGSBY</t>
        </is>
      </c>
      <c r="I191" t="n">
        <v>12.1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46255</v>
      </c>
      <c r="F192" t="inlineStr">
        <is>
          <t>KALMAR LÄN</t>
        </is>
      </c>
      <c r="G192" t="inlineStr">
        <is>
          <t>HÖGSBY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46255</v>
      </c>
      <c r="F193" t="inlineStr">
        <is>
          <t>KALMAR LÄN</t>
        </is>
      </c>
      <c r="G193" t="inlineStr">
        <is>
          <t>HÖGSBY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46255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46001</v>
      </c>
      <c r="E195" s="1" t="n">
        <v>46255</v>
      </c>
      <c r="F195" t="inlineStr">
        <is>
          <t>KALMAR LÄN</t>
        </is>
      </c>
      <c r="G195" t="inlineStr">
        <is>
          <t>HÖGSBY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46255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46255</v>
      </c>
      <c r="F197" t="inlineStr">
        <is>
          <t>KALMAR LÄN</t>
        </is>
      </c>
      <c r="G197" t="inlineStr">
        <is>
          <t>HÖGSBY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46255</v>
      </c>
      <c r="F198" t="inlineStr">
        <is>
          <t>KALMAR LÄN</t>
        </is>
      </c>
      <c r="G198" t="inlineStr">
        <is>
          <t>HÖGSBY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46255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45093</v>
      </c>
      <c r="E200" s="1" t="n">
        <v>46255</v>
      </c>
      <c r="F200" t="inlineStr">
        <is>
          <t>KALMAR LÄN</t>
        </is>
      </c>
      <c r="G200" t="inlineStr">
        <is>
          <t>HÖGSBY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44907</v>
      </c>
      <c r="E201" s="1" t="n">
        <v>46255</v>
      </c>
      <c r="F201" t="inlineStr">
        <is>
          <t>KALMAR LÄN</t>
        </is>
      </c>
      <c r="G201" t="inlineStr">
        <is>
          <t>HÖGSBY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46255</v>
      </c>
      <c r="F202" t="inlineStr">
        <is>
          <t>KALMAR LÄN</t>
        </is>
      </c>
      <c r="G202" t="inlineStr">
        <is>
          <t>HÖGSBY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62720-2025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46008</v>
      </c>
      <c r="E203" s="1" t="n">
        <v>46255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62722-2025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46008</v>
      </c>
      <c r="E204" s="1" t="n">
        <v>46255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46255</v>
      </c>
      <c r="F205" t="inlineStr">
        <is>
          <t>KALMAR LÄN</t>
        </is>
      </c>
      <c r="G205" t="inlineStr">
        <is>
          <t>HÖGSBY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46255</v>
      </c>
      <c r="F206" t="inlineStr">
        <is>
          <t>KALMAR LÄN</t>
        </is>
      </c>
      <c r="G206" t="inlineStr">
        <is>
          <t>HÖGSBY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46255</v>
      </c>
      <c r="F207" t="inlineStr">
        <is>
          <t>KALMAR LÄN</t>
        </is>
      </c>
      <c r="G207" t="inlineStr">
        <is>
          <t>HÖGSBY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62918-2025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46009</v>
      </c>
      <c r="E208" s="1" t="n">
        <v>46255</v>
      </c>
      <c r="F208" t="inlineStr">
        <is>
          <t>KALMAR LÄN</t>
        </is>
      </c>
      <c r="G208" t="inlineStr">
        <is>
          <t>HÖGSBY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60555-2021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44496</v>
      </c>
      <c r="E209" s="1" t="n">
        <v>46255</v>
      </c>
      <c r="F209" t="inlineStr">
        <is>
          <t>KALMAR LÄN</t>
        </is>
      </c>
      <c r="G209" t="inlineStr">
        <is>
          <t>HÖGSBY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46114</v>
      </c>
      <c r="E210" s="1" t="n">
        <v>46255</v>
      </c>
      <c r="F210" t="inlineStr">
        <is>
          <t>KALMAR LÄN</t>
        </is>
      </c>
      <c r="G210" t="inlineStr">
        <is>
          <t>HÖGSBY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46013</v>
      </c>
      <c r="E211" s="1" t="n">
        <v>46255</v>
      </c>
      <c r="F211" t="inlineStr">
        <is>
          <t>KALMAR LÄN</t>
        </is>
      </c>
      <c r="G211" t="inlineStr">
        <is>
          <t>HÖGSBY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46255</v>
      </c>
      <c r="F212" t="inlineStr">
        <is>
          <t>KALMAR LÄN</t>
        </is>
      </c>
      <c r="G212" t="inlineStr">
        <is>
          <t>HÖGSBY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46255</v>
      </c>
      <c r="F213" t="inlineStr">
        <is>
          <t>KALMAR LÄN</t>
        </is>
      </c>
      <c r="G213" t="inlineStr">
        <is>
          <t>HÖGSBY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46255</v>
      </c>
      <c r="F214" t="inlineStr">
        <is>
          <t>KALMAR LÄN</t>
        </is>
      </c>
      <c r="G214" t="inlineStr">
        <is>
          <t>HÖGSBY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73709-2021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44552</v>
      </c>
      <c r="E215" s="1" t="n">
        <v>46255</v>
      </c>
      <c r="F215" t="inlineStr">
        <is>
          <t>KALMAR LÄN</t>
        </is>
      </c>
      <c r="G215" t="inlineStr">
        <is>
          <t>HÖGSBY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46255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46255</v>
      </c>
      <c r="F217" t="inlineStr">
        <is>
          <t>KALMAR LÄN</t>
        </is>
      </c>
      <c r="G217" t="inlineStr">
        <is>
          <t>HÖGSBY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46122</v>
      </c>
      <c r="E218" s="1" t="n">
        <v>46255</v>
      </c>
      <c r="F218" t="inlineStr">
        <is>
          <t>KALMAR LÄN</t>
        </is>
      </c>
      <c r="G218" t="inlineStr">
        <is>
          <t>HÖGSBY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46255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46255</v>
      </c>
      <c r="F220" t="inlineStr">
        <is>
          <t>KALMAR LÄN</t>
        </is>
      </c>
      <c r="G220" t="inlineStr">
        <is>
          <t>HÖGSBY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44972</v>
      </c>
      <c r="E221" s="1" t="n">
        <v>46255</v>
      </c>
      <c r="F221" t="inlineStr">
        <is>
          <t>KALMAR LÄN</t>
        </is>
      </c>
      <c r="G221" t="inlineStr">
        <is>
          <t>HÖGSBY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46255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45360</v>
      </c>
      <c r="E223" s="1" t="n">
        <v>46255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46255</v>
      </c>
      <c r="F224" t="inlineStr">
        <is>
          <t>KALMAR LÄN</t>
        </is>
      </c>
      <c r="G224" t="inlineStr">
        <is>
          <t>HÖGSBY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46255</v>
      </c>
      <c r="F225" t="inlineStr">
        <is>
          <t>KALMAR LÄN</t>
        </is>
      </c>
      <c r="G225" t="inlineStr">
        <is>
          <t>HÖGSBY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41479-2023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45175</v>
      </c>
      <c r="E226" s="1" t="n">
        <v>46255</v>
      </c>
      <c r="F226" t="inlineStr">
        <is>
          <t>KALMAR LÄN</t>
        </is>
      </c>
      <c r="G226" t="inlineStr">
        <is>
          <t>HÖGSBY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46255</v>
      </c>
      <c r="F227" t="inlineStr">
        <is>
          <t>KALMAR LÄN</t>
        </is>
      </c>
      <c r="G227" t="inlineStr">
        <is>
          <t>HÖGSBY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46255</v>
      </c>
      <c r="F228" t="inlineStr">
        <is>
          <t>KALMAR LÄN</t>
        </is>
      </c>
      <c r="G228" t="inlineStr">
        <is>
          <t>HÖGSBY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44987</v>
      </c>
      <c r="E229" s="1" t="n">
        <v>46255</v>
      </c>
      <c r="F229" t="inlineStr">
        <is>
          <t>KALMAR LÄN</t>
        </is>
      </c>
      <c r="G229" t="inlineStr">
        <is>
          <t>HÖGSBY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46255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46255</v>
      </c>
      <c r="F231" t="inlineStr">
        <is>
          <t>KALMAR LÄN</t>
        </is>
      </c>
      <c r="G231" t="inlineStr">
        <is>
          <t>HÖGSBY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46255</v>
      </c>
      <c r="F232" t="inlineStr">
        <is>
          <t>KALMAR LÄN</t>
        </is>
      </c>
      <c r="G232" t="inlineStr">
        <is>
          <t>HÖGSBY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46255</v>
      </c>
      <c r="F233" t="inlineStr">
        <is>
          <t>KALMAR LÄN</t>
        </is>
      </c>
      <c r="G233" t="inlineStr">
        <is>
          <t>HÖGSBY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45348</v>
      </c>
      <c r="E234" s="1" t="n">
        <v>46255</v>
      </c>
      <c r="F234" t="inlineStr">
        <is>
          <t>KALMAR LÄN</t>
        </is>
      </c>
      <c r="G234" t="inlineStr">
        <is>
          <t>HÖGSBY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46255</v>
      </c>
      <c r="F235" t="inlineStr">
        <is>
          <t>KALMAR LÄN</t>
        </is>
      </c>
      <c r="G235" t="inlineStr">
        <is>
          <t>HÖGSBY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46255</v>
      </c>
      <c r="F236" t="inlineStr">
        <is>
          <t>KALMAR LÄN</t>
        </is>
      </c>
      <c r="G236" t="inlineStr">
        <is>
          <t>HÖGSBY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46255</v>
      </c>
      <c r="F237" t="inlineStr">
        <is>
          <t>KALMAR LÄN</t>
        </is>
      </c>
      <c r="G237" t="inlineStr">
        <is>
          <t>HÖGSBY</t>
        </is>
      </c>
      <c r="H237" t="inlineStr">
        <is>
          <t>Kommuner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45754</v>
      </c>
      <c r="E238" s="1" t="n">
        <v>46255</v>
      </c>
      <c r="F238" t="inlineStr">
        <is>
          <t>KALMAR LÄN</t>
        </is>
      </c>
      <c r="G238" t="inlineStr">
        <is>
          <t>HÖGSBY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46255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46255</v>
      </c>
      <c r="F240" t="inlineStr">
        <is>
          <t>KALMAR LÄN</t>
        </is>
      </c>
      <c r="G240" t="inlineStr">
        <is>
          <t>HÖGSBY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7443-2026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46059</v>
      </c>
      <c r="E241" s="1" t="n">
        <v>46255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46255</v>
      </c>
      <c r="F242" t="inlineStr">
        <is>
          <t>KALMAR LÄN</t>
        </is>
      </c>
      <c r="G242" t="inlineStr">
        <is>
          <t>HÖGSBY</t>
        </is>
      </c>
      <c r="H242" t="inlineStr">
        <is>
          <t>Kommuner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46255</v>
      </c>
      <c r="F243" t="inlineStr">
        <is>
          <t>KALMAR LÄN</t>
        </is>
      </c>
      <c r="G243" t="inlineStr">
        <is>
          <t>HÖGSBY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46255</v>
      </c>
      <c r="F244" t="inlineStr">
        <is>
          <t>KALMAR LÄN</t>
        </is>
      </c>
      <c r="G244" t="inlineStr">
        <is>
          <t>HÖGSBY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45804</v>
      </c>
      <c r="E245" s="1" t="n">
        <v>46255</v>
      </c>
      <c r="F245" t="inlineStr">
        <is>
          <t>KALMAR LÄN</t>
        </is>
      </c>
      <c r="G245" t="inlineStr">
        <is>
          <t>HÖGSBY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46255</v>
      </c>
      <c r="F246" t="inlineStr">
        <is>
          <t>KALMAR LÄN</t>
        </is>
      </c>
      <c r="G246" t="inlineStr">
        <is>
          <t>HÖGSBY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46255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7325-2025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45702</v>
      </c>
      <c r="E248" s="1" t="n">
        <v>46255</v>
      </c>
      <c r="F248" t="inlineStr">
        <is>
          <t>KALMAR LÄN</t>
        </is>
      </c>
      <c r="G248" t="inlineStr">
        <is>
          <t>HÖGSBY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44625</v>
      </c>
      <c r="E249" s="1" t="n">
        <v>46255</v>
      </c>
      <c r="F249" t="inlineStr">
        <is>
          <t>KALMAR LÄN</t>
        </is>
      </c>
      <c r="G249" t="inlineStr">
        <is>
          <t>HÖGSBY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10706-2022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44625</v>
      </c>
      <c r="E250" s="1" t="n">
        <v>46255</v>
      </c>
      <c r="F250" t="inlineStr">
        <is>
          <t>KALMAR LÄN</t>
        </is>
      </c>
      <c r="G250" t="inlineStr">
        <is>
          <t>HÖGSBY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37497-2022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44809</v>
      </c>
      <c r="E251" s="1" t="n">
        <v>46255</v>
      </c>
      <c r="F251" t="inlineStr">
        <is>
          <t>KALMAR LÄN</t>
        </is>
      </c>
      <c r="G251" t="inlineStr">
        <is>
          <t>HÖGSBY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46255</v>
      </c>
      <c r="F252" t="inlineStr">
        <is>
          <t>KALMAR LÄN</t>
        </is>
      </c>
      <c r="G252" t="inlineStr">
        <is>
          <t>HÖGSBY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46255</v>
      </c>
      <c r="F253" t="inlineStr">
        <is>
          <t>KALMAR LÄN</t>
        </is>
      </c>
      <c r="G253" t="inlineStr">
        <is>
          <t>HÖGSBY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47503-2023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45203</v>
      </c>
      <c r="E254" s="1" t="n">
        <v>46255</v>
      </c>
      <c r="F254" t="inlineStr">
        <is>
          <t>KALMAR LÄN</t>
        </is>
      </c>
      <c r="G254" t="inlineStr">
        <is>
          <t>HÖGSBY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45173</v>
      </c>
      <c r="E255" s="1" t="n">
        <v>46255</v>
      </c>
      <c r="F255" t="inlineStr">
        <is>
          <t>KALMAR LÄN</t>
        </is>
      </c>
      <c r="G255" t="inlineStr">
        <is>
          <t>HÖGSBY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46255</v>
      </c>
      <c r="F256" t="inlineStr">
        <is>
          <t>KALMAR LÄN</t>
        </is>
      </c>
      <c r="G256" t="inlineStr">
        <is>
          <t>HÖGSBY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46255</v>
      </c>
      <c r="F257" t="inlineStr">
        <is>
          <t>KALMAR LÄN</t>
        </is>
      </c>
      <c r="G257" t="inlineStr">
        <is>
          <t>HÖGSBY</t>
        </is>
      </c>
      <c r="H257" t="inlineStr">
        <is>
          <t>Kommuner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38797-2024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45547</v>
      </c>
      <c r="E258" s="1" t="n">
        <v>46255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46255</v>
      </c>
      <c r="F259" t="inlineStr">
        <is>
          <t>KALMAR LÄN</t>
        </is>
      </c>
      <c r="G259" t="inlineStr">
        <is>
          <t>HÖGSBY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46255</v>
      </c>
      <c r="F260" t="inlineStr">
        <is>
          <t>KALMAR LÄN</t>
        </is>
      </c>
      <c r="G260" t="inlineStr">
        <is>
          <t>HÖGSBY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46255</v>
      </c>
      <c r="F261" t="inlineStr">
        <is>
          <t>KALMAR LÄN</t>
        </is>
      </c>
      <c r="G261" t="inlineStr">
        <is>
          <t>HÖGSBY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46255</v>
      </c>
      <c r="F262" t="inlineStr">
        <is>
          <t>KALMAR LÄN</t>
        </is>
      </c>
      <c r="G262" t="inlineStr">
        <is>
          <t>HÖGSBY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25861-2023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46255</v>
      </c>
      <c r="F263" t="inlineStr">
        <is>
          <t>KALMAR LÄN</t>
        </is>
      </c>
      <c r="G263" t="inlineStr">
        <is>
          <t>HÖGSBY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46255</v>
      </c>
      <c r="F264" t="inlineStr">
        <is>
          <t>KALMAR LÄN</t>
        </is>
      </c>
      <c r="G264" t="inlineStr">
        <is>
          <t>HÖGSBY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45160</v>
      </c>
      <c r="E265" s="1" t="n">
        <v>46255</v>
      </c>
      <c r="F265" t="inlineStr">
        <is>
          <t>KALMAR LÄN</t>
        </is>
      </c>
      <c r="G265" t="inlineStr">
        <is>
          <t>HÖGSBY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46255</v>
      </c>
      <c r="F266" t="inlineStr">
        <is>
          <t>KALMAR LÄN</t>
        </is>
      </c>
      <c r="G266" t="inlineStr">
        <is>
          <t>HÖGSBY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44677</v>
      </c>
      <c r="E267" s="1" t="n">
        <v>46255</v>
      </c>
      <c r="F267" t="inlineStr">
        <is>
          <t>KALMAR LÄN</t>
        </is>
      </c>
      <c r="G267" t="inlineStr">
        <is>
          <t>HÖGSBY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45190</v>
      </c>
      <c r="E268" s="1" t="n">
        <v>46255</v>
      </c>
      <c r="F268" t="inlineStr">
        <is>
          <t>KALMAR LÄN</t>
        </is>
      </c>
      <c r="G268" t="inlineStr">
        <is>
          <t>HÖGSBY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46255</v>
      </c>
      <c r="F269" t="inlineStr">
        <is>
          <t>KALMAR LÄN</t>
        </is>
      </c>
      <c r="G269" t="inlineStr">
        <is>
          <t>HÖGSBY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46255</v>
      </c>
      <c r="F270" t="inlineStr">
        <is>
          <t>KALMAR LÄN</t>
        </is>
      </c>
      <c r="G270" t="inlineStr">
        <is>
          <t>HÖGSBY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46255</v>
      </c>
      <c r="F271" t="inlineStr">
        <is>
          <t>KALMAR LÄN</t>
        </is>
      </c>
      <c r="G271" t="inlineStr">
        <is>
          <t>HÖGSBY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46255</v>
      </c>
      <c r="F272" t="inlineStr">
        <is>
          <t>KALMAR LÄN</t>
        </is>
      </c>
      <c r="G272" t="inlineStr">
        <is>
          <t>HÖGSBY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54483-2022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44882</v>
      </c>
      <c r="E273" s="1" t="n">
        <v>46255</v>
      </c>
      <c r="F273" t="inlineStr">
        <is>
          <t>KALMAR LÄN</t>
        </is>
      </c>
      <c r="G273" t="inlineStr">
        <is>
          <t>HÖGSBY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45247</v>
      </c>
      <c r="E274" s="1" t="n">
        <v>46255</v>
      </c>
      <c r="F274" t="inlineStr">
        <is>
          <t>KALMAR LÄN</t>
        </is>
      </c>
      <c r="G274" t="inlineStr">
        <is>
          <t>HÖGSBY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45145</v>
      </c>
      <c r="E275" s="1" t="n">
        <v>46255</v>
      </c>
      <c r="F275" t="inlineStr">
        <is>
          <t>KALMAR LÄN</t>
        </is>
      </c>
      <c r="G275" t="inlineStr">
        <is>
          <t>HÖGSBY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45274</v>
      </c>
      <c r="E276" s="1" t="n">
        <v>46255</v>
      </c>
      <c r="F276" t="inlineStr">
        <is>
          <t>KALMAR LÄN</t>
        </is>
      </c>
      <c r="G276" t="inlineStr">
        <is>
          <t>HÖGSBY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45154</v>
      </c>
      <c r="E277" s="1" t="n">
        <v>46255</v>
      </c>
      <c r="F277" t="inlineStr">
        <is>
          <t>KALMAR LÄN</t>
        </is>
      </c>
      <c r="G277" t="inlineStr">
        <is>
          <t>HÖGSBY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44760</v>
      </c>
      <c r="E278" s="1" t="n">
        <v>46255</v>
      </c>
      <c r="F278" t="inlineStr">
        <is>
          <t>KALMAR LÄN</t>
        </is>
      </c>
      <c r="G278" t="inlineStr">
        <is>
          <t>HÖGSBY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45259</v>
      </c>
      <c r="E279" s="1" t="n">
        <v>46255</v>
      </c>
      <c r="F279" t="inlineStr">
        <is>
          <t>KALMAR LÄN</t>
        </is>
      </c>
      <c r="G279" t="inlineStr">
        <is>
          <t>HÖGSBY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45720</v>
      </c>
      <c r="E280" s="1" t="n">
        <v>46255</v>
      </c>
      <c r="F280" t="inlineStr">
        <is>
          <t>KALMAR LÄN</t>
        </is>
      </c>
      <c r="G280" t="inlineStr">
        <is>
          <t>HÖGSBY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46150</v>
      </c>
      <c r="E281" s="1" t="n">
        <v>46255</v>
      </c>
      <c r="F281" t="inlineStr">
        <is>
          <t>KALMAR LÄN</t>
        </is>
      </c>
      <c r="G281" t="inlineStr">
        <is>
          <t>HÖGSBY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45306</v>
      </c>
      <c r="E282" s="1" t="n">
        <v>46255</v>
      </c>
      <c r="F282" t="inlineStr">
        <is>
          <t>KALMAR LÄN</t>
        </is>
      </c>
      <c r="G282" t="inlineStr">
        <is>
          <t>HÖGSBY</t>
        </is>
      </c>
      <c r="H282" t="inlineStr">
        <is>
          <t>Övriga Aktiebolag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46255</v>
      </c>
      <c r="F283" t="inlineStr">
        <is>
          <t>KALMAR LÄN</t>
        </is>
      </c>
      <c r="G283" t="inlineStr">
        <is>
          <t>HÖGSBY</t>
        </is>
      </c>
      <c r="H283" t="inlineStr">
        <is>
          <t>Kyrkan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22562-2026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46155</v>
      </c>
      <c r="E284" s="1" t="n">
        <v>46255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22564-2026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46155</v>
      </c>
      <c r="E285" s="1" t="n">
        <v>46255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46255</v>
      </c>
      <c r="F286" t="inlineStr">
        <is>
          <t>KALMAR LÄN</t>
        </is>
      </c>
      <c r="G286" t="inlineStr">
        <is>
          <t>HÖGSBY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74478-2021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44559</v>
      </c>
      <c r="E287" s="1" t="n">
        <v>46255</v>
      </c>
      <c r="F287" t="inlineStr">
        <is>
          <t>KALMAR LÄN</t>
        </is>
      </c>
      <c r="G287" t="inlineStr">
        <is>
          <t>HÖGSBY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46157</v>
      </c>
      <c r="E288" s="1" t="n">
        <v>46255</v>
      </c>
      <c r="F288" t="inlineStr">
        <is>
          <t>KALMAR LÄN</t>
        </is>
      </c>
      <c r="G288" t="inlineStr">
        <is>
          <t>HÖGSBY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46255</v>
      </c>
      <c r="F289" t="inlineStr">
        <is>
          <t>KALMAR LÄN</t>
        </is>
      </c>
      <c r="G289" t="inlineStr">
        <is>
          <t>HÖGSBY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46255</v>
      </c>
      <c r="F290" t="inlineStr">
        <is>
          <t>KALMAR LÄN</t>
        </is>
      </c>
      <c r="G290" t="inlineStr">
        <is>
          <t>HÖGSBY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46255</v>
      </c>
      <c r="F291" t="inlineStr">
        <is>
          <t>KALMAR LÄN</t>
        </is>
      </c>
      <c r="G291" t="inlineStr">
        <is>
          <t>HÖGSBY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23937-2026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46167</v>
      </c>
      <c r="E292" s="1" t="n">
        <v>46255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38824-2024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45547</v>
      </c>
      <c r="E293" s="1" t="n">
        <v>46255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46255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46255</v>
      </c>
      <c r="F295" t="inlineStr">
        <is>
          <t>KALMAR LÄN</t>
        </is>
      </c>
      <c r="G295" t="inlineStr">
        <is>
          <t>HÖGSBY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44861</v>
      </c>
      <c r="E296" s="1" t="n">
        <v>46255</v>
      </c>
      <c r="F296" t="inlineStr">
        <is>
          <t>KALMAR LÄN</t>
        </is>
      </c>
      <c r="G296" t="inlineStr">
        <is>
          <t>HÖGSBY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46255</v>
      </c>
      <c r="F297" t="inlineStr">
        <is>
          <t>KALMAR LÄN</t>
        </is>
      </c>
      <c r="G297" t="inlineStr">
        <is>
          <t>HÖGSBY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24601-2024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45460</v>
      </c>
      <c r="E298" s="1" t="n">
        <v>46255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71635-2021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44543</v>
      </c>
      <c r="E299" s="1" t="n">
        <v>46255</v>
      </c>
      <c r="F299" t="inlineStr">
        <is>
          <t>KALMAR LÄN</t>
        </is>
      </c>
      <c r="G299" t="inlineStr">
        <is>
          <t>HÖGSBY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8613-2022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44613</v>
      </c>
      <c r="E300" s="1" t="n">
        <v>46255</v>
      </c>
      <c r="F300" t="inlineStr">
        <is>
          <t>KALMAR LÄN</t>
        </is>
      </c>
      <c r="G300" t="inlineStr">
        <is>
          <t>HÖGSBY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46255</v>
      </c>
      <c r="F301" t="inlineStr">
        <is>
          <t>KALMAR LÄN</t>
        </is>
      </c>
      <c r="G301" t="inlineStr">
        <is>
          <t>HÖGSBY</t>
        </is>
      </c>
      <c r="H301" t="inlineStr">
        <is>
          <t>Övriga Aktiebolag</t>
        </is>
      </c>
      <c r="I301" t="n">
        <v>15.2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44601</v>
      </c>
      <c r="E302" s="1" t="n">
        <v>46255</v>
      </c>
      <c r="F302" t="inlineStr">
        <is>
          <t>KALMAR LÄN</t>
        </is>
      </c>
      <c r="G302" t="inlineStr">
        <is>
          <t>HÖGSBY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46255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46255</v>
      </c>
      <c r="F304" t="inlineStr">
        <is>
          <t>KALMAR LÄN</t>
        </is>
      </c>
      <c r="G304" t="inlineStr">
        <is>
          <t>HÖGSBY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46176</v>
      </c>
      <c r="E305" s="1" t="n">
        <v>46255</v>
      </c>
      <c r="F305" t="inlineStr">
        <is>
          <t>KALMAR LÄN</t>
        </is>
      </c>
      <c r="G305" t="inlineStr">
        <is>
          <t>HÖGSBY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38597-2024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46255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46255</v>
      </c>
      <c r="F307" t="inlineStr">
        <is>
          <t>KALMAR LÄN</t>
        </is>
      </c>
      <c r="G307" t="inlineStr">
        <is>
          <t>HÖGSBY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45447</v>
      </c>
      <c r="E308" s="1" t="n">
        <v>46255</v>
      </c>
      <c r="F308" t="inlineStr">
        <is>
          <t>KALMAR LÄN</t>
        </is>
      </c>
      <c r="G308" t="inlineStr">
        <is>
          <t>HÖGSBY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45222</v>
      </c>
      <c r="E309" s="1" t="n">
        <v>46255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46255</v>
      </c>
      <c r="F310" t="inlineStr">
        <is>
          <t>KALMAR LÄN</t>
        </is>
      </c>
      <c r="G310" t="inlineStr">
        <is>
          <t>HÖGSBY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45015</v>
      </c>
      <c r="E311" s="1" t="n">
        <v>46255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44903</v>
      </c>
      <c r="E312" s="1" t="n">
        <v>46255</v>
      </c>
      <c r="F312" t="inlineStr">
        <is>
          <t>KALMAR LÄN</t>
        </is>
      </c>
      <c r="G312" t="inlineStr">
        <is>
          <t>HÖGSBY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46255</v>
      </c>
      <c r="F313" t="inlineStr">
        <is>
          <t>KALMAR LÄN</t>
        </is>
      </c>
      <c r="G313" t="inlineStr">
        <is>
          <t>HÖGSBY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46255</v>
      </c>
      <c r="F314" t="inlineStr">
        <is>
          <t>KALMAR LÄN</t>
        </is>
      </c>
      <c r="G314" t="inlineStr">
        <is>
          <t>HÖGSBY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46255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46184</v>
      </c>
      <c r="E316" s="1" t="n">
        <v>46255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46255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45217</v>
      </c>
      <c r="E318" s="1" t="n">
        <v>46255</v>
      </c>
      <c r="F318" t="inlineStr">
        <is>
          <t>KALMAR LÄN</t>
        </is>
      </c>
      <c r="G318" t="inlineStr">
        <is>
          <t>HÖGSBY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46255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46255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44725</v>
      </c>
      <c r="E321" s="1" t="n">
        <v>46255</v>
      </c>
      <c r="F321" t="inlineStr">
        <is>
          <t>KALMAR LÄN</t>
        </is>
      </c>
      <c r="G321" t="inlineStr">
        <is>
          <t>HÖGSBY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46255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26752-2026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46184</v>
      </c>
      <c r="E323" s="1" t="n">
        <v>46255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9427-2023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44981</v>
      </c>
      <c r="E324" s="1" t="n">
        <v>46255</v>
      </c>
      <c r="F324" t="inlineStr">
        <is>
          <t>KALMAR LÄN</t>
        </is>
      </c>
      <c r="G324" t="inlineStr">
        <is>
          <t>HÖGSBY</t>
        </is>
      </c>
      <c r="H324" t="inlineStr">
        <is>
          <t>Övriga Aktiebolag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45183</v>
      </c>
      <c r="E325" s="1" t="n">
        <v>46255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27689-2026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46255</v>
      </c>
      <c r="F326" t="inlineStr">
        <is>
          <t>KALMAR LÄN</t>
        </is>
      </c>
      <c r="G326" t="inlineStr">
        <is>
          <t>HÖGSBY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26967-2026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46255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46255</v>
      </c>
      <c r="F328" t="inlineStr">
        <is>
          <t>KALMAR LÄN</t>
        </is>
      </c>
      <c r="G328" t="inlineStr">
        <is>
          <t>HÖGSBY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46255</v>
      </c>
      <c r="F329" t="inlineStr">
        <is>
          <t>KALMAR LÄN</t>
        </is>
      </c>
      <c r="G329" t="inlineStr">
        <is>
          <t>HÖGSBY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46255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46255</v>
      </c>
      <c r="F331" t="inlineStr">
        <is>
          <t>KALMAR LÄN</t>
        </is>
      </c>
      <c r="G331" t="inlineStr">
        <is>
          <t>HÖGSBY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46255</v>
      </c>
      <c r="F332" t="inlineStr">
        <is>
          <t>KALMAR LÄN</t>
        </is>
      </c>
      <c r="G332" t="inlineStr">
        <is>
          <t>HÖGSBY</t>
        </is>
      </c>
      <c r="H332" t="inlineStr">
        <is>
          <t>Kommuner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46255</v>
      </c>
      <c r="F333" t="inlineStr">
        <is>
          <t>KALMAR LÄN</t>
        </is>
      </c>
      <c r="G333" t="inlineStr">
        <is>
          <t>HÖGSBY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45012</v>
      </c>
      <c r="E334" s="1" t="n">
        <v>46255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45126</v>
      </c>
      <c r="E335" s="1" t="n">
        <v>46255</v>
      </c>
      <c r="F335" t="inlineStr">
        <is>
          <t>KALMAR LÄN</t>
        </is>
      </c>
      <c r="G335" t="inlineStr">
        <is>
          <t>HÖGSBY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46255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46255</v>
      </c>
      <c r="F337" t="inlineStr">
        <is>
          <t>KALMAR LÄN</t>
        </is>
      </c>
      <c r="G337" t="inlineStr">
        <is>
          <t>HÖGSBY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46255</v>
      </c>
      <c r="F338" t="inlineStr">
        <is>
          <t>KALMAR LÄN</t>
        </is>
      </c>
      <c r="G338" t="inlineStr">
        <is>
          <t>HÖGSBY</t>
        </is>
      </c>
      <c r="H338" t="inlineStr">
        <is>
          <t>Kommuner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44981</v>
      </c>
      <c r="E339" s="1" t="n">
        <v>46255</v>
      </c>
      <c r="F339" t="inlineStr">
        <is>
          <t>KALMAR LÄN</t>
        </is>
      </c>
      <c r="G339" t="inlineStr">
        <is>
          <t>HÖGSBY</t>
        </is>
      </c>
      <c r="H339" t="inlineStr">
        <is>
          <t>Övriga Aktiebolag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46255</v>
      </c>
      <c r="F340" t="inlineStr">
        <is>
          <t>KALMAR LÄN</t>
        </is>
      </c>
      <c r="G340" t="inlineStr">
        <is>
          <t>HÖGSBY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46198</v>
      </c>
      <c r="E341" s="1" t="n">
        <v>46255</v>
      </c>
      <c r="F341" t="inlineStr">
        <is>
          <t>KALMAR LÄN</t>
        </is>
      </c>
      <c r="G341" t="inlineStr">
        <is>
          <t>HÖGSBY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46255</v>
      </c>
      <c r="F342" t="inlineStr">
        <is>
          <t>KALMAR LÄN</t>
        </is>
      </c>
      <c r="G342" t="inlineStr">
        <is>
          <t>HÖGSBY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28702-2026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46198</v>
      </c>
      <c r="E343" s="1" t="n">
        <v>46255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28692-2026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46198</v>
      </c>
      <c r="E344" s="1" t="n">
        <v>46255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28713-2026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46198</v>
      </c>
      <c r="E345" s="1" t="n">
        <v>46255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46255</v>
      </c>
      <c r="F346" t="inlineStr">
        <is>
          <t>KALMAR LÄN</t>
        </is>
      </c>
      <c r="G346" t="inlineStr">
        <is>
          <t>HÖGSBY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46255</v>
      </c>
      <c r="F347" t="inlineStr">
        <is>
          <t>KALMAR LÄN</t>
        </is>
      </c>
      <c r="G347" t="inlineStr">
        <is>
          <t>HÖGSBY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45692</v>
      </c>
      <c r="E348" s="1" t="n">
        <v>46255</v>
      </c>
      <c r="F348" t="inlineStr">
        <is>
          <t>KALMAR LÄN</t>
        </is>
      </c>
      <c r="G348" t="inlineStr">
        <is>
          <t>HÖGSBY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46255</v>
      </c>
      <c r="F349" t="inlineStr">
        <is>
          <t>KALMAR LÄN</t>
        </is>
      </c>
      <c r="G349" t="inlineStr">
        <is>
          <t>HÖGSBY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46255</v>
      </c>
      <c r="F350" t="inlineStr">
        <is>
          <t>KALMAR LÄN</t>
        </is>
      </c>
      <c r="G350" t="inlineStr">
        <is>
          <t>HÖGSBY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46255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28691-2026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46198</v>
      </c>
      <c r="E352" s="1" t="n">
        <v>46255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28697-2026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46198</v>
      </c>
      <c r="E353" s="1" t="n">
        <v>46255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46255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45239</v>
      </c>
      <c r="E355" s="1" t="n">
        <v>46255</v>
      </c>
      <c r="F355" t="inlineStr">
        <is>
          <t>KALMAR LÄN</t>
        </is>
      </c>
      <c r="G355" t="inlineStr">
        <is>
          <t>HÖGSBY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46255</v>
      </c>
      <c r="F356" t="inlineStr">
        <is>
          <t>KALMAR LÄN</t>
        </is>
      </c>
      <c r="G356" t="inlineStr">
        <is>
          <t>HÖGSBY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45001</v>
      </c>
      <c r="E357" s="1" t="n">
        <v>46255</v>
      </c>
      <c r="F357" t="inlineStr">
        <is>
          <t>KALMAR LÄN</t>
        </is>
      </c>
      <c r="G357" t="inlineStr">
        <is>
          <t>HÖGSBY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64130-2023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45279</v>
      </c>
      <c r="E358" s="1" t="n">
        <v>46255</v>
      </c>
      <c r="F358" t="inlineStr">
        <is>
          <t>KALMAR LÄN</t>
        </is>
      </c>
      <c r="G358" t="inlineStr">
        <is>
          <t>HÖGSBY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45153</v>
      </c>
      <c r="E359" s="1" t="n">
        <v>46255</v>
      </c>
      <c r="F359" t="inlineStr">
        <is>
          <t>KALMAR LÄN</t>
        </is>
      </c>
      <c r="G359" t="inlineStr">
        <is>
          <t>HÖGSBY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44623</v>
      </c>
      <c r="E360" s="1" t="n">
        <v>46255</v>
      </c>
      <c r="F360" t="inlineStr">
        <is>
          <t>KALMAR LÄN</t>
        </is>
      </c>
      <c r="G360" t="inlineStr">
        <is>
          <t>HÖGSBY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53328-2022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44879</v>
      </c>
      <c r="E361" s="1" t="n">
        <v>46255</v>
      </c>
      <c r="F361" t="inlineStr">
        <is>
          <t>KALMAR LÄN</t>
        </is>
      </c>
      <c r="G361" t="inlineStr">
        <is>
          <t>HÖGSBY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46255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44907</v>
      </c>
      <c r="E363" s="1" t="n">
        <v>46255</v>
      </c>
      <c r="F363" t="inlineStr">
        <is>
          <t>KALMAR LÄN</t>
        </is>
      </c>
      <c r="G363" t="inlineStr">
        <is>
          <t>HÖGSBY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45203</v>
      </c>
      <c r="E364" s="1" t="n">
        <v>46255</v>
      </c>
      <c r="F364" t="inlineStr">
        <is>
          <t>KALMAR LÄN</t>
        </is>
      </c>
      <c r="G364" t="inlineStr">
        <is>
          <t>HÖGSBY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46255</v>
      </c>
      <c r="F365" t="inlineStr">
        <is>
          <t>KALMAR LÄN</t>
        </is>
      </c>
      <c r="G365" t="inlineStr">
        <is>
          <t>HÖGSBY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7438-2023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44966</v>
      </c>
      <c r="E366" s="1" t="n">
        <v>46255</v>
      </c>
      <c r="F366" t="inlineStr">
        <is>
          <t>KALMAR LÄN</t>
        </is>
      </c>
      <c r="G366" t="inlineStr">
        <is>
          <t>HÖGSBY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46255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46255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10.7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46255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46255</v>
      </c>
      <c r="F370" t="inlineStr">
        <is>
          <t>KALMAR LÄN</t>
        </is>
      </c>
      <c r="G370" t="inlineStr">
        <is>
          <t>HÖGSBY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45622</v>
      </c>
      <c r="E371" s="1" t="n">
        <v>46255</v>
      </c>
      <c r="F371" t="inlineStr">
        <is>
          <t>KALMAR LÄN</t>
        </is>
      </c>
      <c r="G371" t="inlineStr">
        <is>
          <t>HÖGSBY</t>
        </is>
      </c>
      <c r="I371" t="n">
        <v>8.9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33788-2026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46251</v>
      </c>
      <c r="E372" s="1" t="n">
        <v>46255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45414</v>
      </c>
      <c r="E373" s="1" t="n">
        <v>46255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46255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30162-2026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46255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34078-2024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45523</v>
      </c>
      <c r="E376" s="1" t="n">
        <v>46255</v>
      </c>
      <c r="F376" t="inlineStr">
        <is>
          <t>KALMAR LÄN</t>
        </is>
      </c>
      <c r="G376" t="inlineStr">
        <is>
          <t>HÖGSBY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46255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45170</v>
      </c>
      <c r="E378" s="1" t="n">
        <v>46255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40137-2024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45554</v>
      </c>
      <c r="E379" s="1" t="n">
        <v>46255</v>
      </c>
      <c r="F379" t="inlineStr">
        <is>
          <t>KALMAR LÄN</t>
        </is>
      </c>
      <c r="G379" t="inlineStr">
        <is>
          <t>HÖGSBY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  <c r="Z379">
        <f>HYPERLINK("https://klasma.github.io/Logging_0821/knärot/A 40137-2024 karta knärot.png", "A 40137-2024")</f>
        <v/>
      </c>
      <c r="AA379">
        <f>HYPERLINK("https://klasma.github.io/Logging_0821/klagomål/A 40137-2024 FSC-klagomål.docx", "A 40137-2024")</f>
        <v/>
      </c>
      <c r="AB379">
        <f>HYPERLINK("https://klasma.github.io/Logging_0821/klagomålsmail/A 40137-2024 FSC-klagomål mail.docx", "A 40137-2024")</f>
        <v/>
      </c>
      <c r="AC379">
        <f>HYPERLINK("https://klasma.github.io/Logging_0821/tillsyn/A 40137-2024 tillsynsbegäran.docx", "A 40137-2024")</f>
        <v/>
      </c>
      <c r="AD379">
        <f>HYPERLINK("https://klasma.github.io/Logging_0821/tillsynsmail/A 40137-2024 tillsynsbegäran mail.docx", "A 40137-2024")</f>
        <v/>
      </c>
    </row>
    <row r="380" ht="15" customHeight="1">
      <c r="A380" t="inlineStr">
        <is>
          <t>A 24013-2025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46255</v>
      </c>
      <c r="F380" t="inlineStr">
        <is>
          <t>KALMAR LÄN</t>
        </is>
      </c>
      <c r="G380" t="inlineStr">
        <is>
          <t>HÖGSBY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45797</v>
      </c>
      <c r="E381" s="1" t="n">
        <v>46255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46255</v>
      </c>
      <c r="F382" t="inlineStr">
        <is>
          <t>KALMAR LÄN</t>
        </is>
      </c>
      <c r="G382" t="inlineStr">
        <is>
          <t>HÖGSBY</t>
        </is>
      </c>
      <c r="I382" t="n">
        <v>15.1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561-2022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44592</v>
      </c>
      <c r="E383" s="1" t="n">
        <v>46255</v>
      </c>
      <c r="F383" t="inlineStr">
        <is>
          <t>KALMAR LÄN</t>
        </is>
      </c>
      <c r="G383" t="inlineStr">
        <is>
          <t>HÖGSBY</t>
        </is>
      </c>
      <c r="I383" t="n">
        <v>30.3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513-2023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44966</v>
      </c>
      <c r="E384" s="1" t="n">
        <v>46255</v>
      </c>
      <c r="F384" t="inlineStr">
        <is>
          <t>KALMAR LÄN</t>
        </is>
      </c>
      <c r="G384" t="inlineStr">
        <is>
          <t>HÖGSBY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4463-2022</t>
        </is>
      </c>
      <c r="B385" t="inlineStr">
        <is>
          <t>samrådsanmälan</t>
        </is>
      </c>
      <c r="C385" t="inlineStr">
        <is>
          <t>Åtgärd i nyckelbiotop</t>
        </is>
      </c>
      <c r="D385" s="1" t="n">
        <v>44788</v>
      </c>
      <c r="E385" s="1" t="n">
        <v>46255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3208-2024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45524</v>
      </c>
      <c r="E386" s="1" t="n">
        <v>46255</v>
      </c>
      <c r="F386" t="inlineStr">
        <is>
          <t>KALMAR LÄN</t>
        </is>
      </c>
      <c r="G386" t="inlineStr">
        <is>
          <t>HÖGSBY</t>
        </is>
      </c>
      <c r="I386" t="n">
        <v>23.3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7006-2022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44903</v>
      </c>
      <c r="E387" s="1" t="n">
        <v>46255</v>
      </c>
      <c r="F387" t="inlineStr">
        <is>
          <t>KALMAR LÄN</t>
        </is>
      </c>
      <c r="G387" t="inlineStr">
        <is>
          <t>HÖGSBY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46255</v>
      </c>
      <c r="F388" t="inlineStr">
        <is>
          <t>KALMAR LÄN</t>
        </is>
      </c>
      <c r="G388" t="inlineStr">
        <is>
          <t>HÖGSBY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512-2023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46255</v>
      </c>
      <c r="F389" t="inlineStr">
        <is>
          <t>KALMAR LÄN</t>
        </is>
      </c>
      <c r="G389" t="inlineStr">
        <is>
          <t>HÖGSBY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46255</v>
      </c>
      <c r="F390" t="inlineStr">
        <is>
          <t>KALMAR LÄN</t>
        </is>
      </c>
      <c r="G390" t="inlineStr">
        <is>
          <t>HÖGSBY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46255</v>
      </c>
      <c r="F391" t="inlineStr">
        <is>
          <t>KALMAR LÄN</t>
        </is>
      </c>
      <c r="G391" t="inlineStr">
        <is>
          <t>HÖGSBY</t>
        </is>
      </c>
      <c r="I391" t="n">
        <v>28.7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5035-2024</t>
        </is>
      </c>
      <c r="B392" t="inlineStr">
        <is>
          <t>samrådsanmälan</t>
        </is>
      </c>
      <c r="C392" t="inlineStr">
        <is>
          <t>Stubbskörd</t>
        </is>
      </c>
      <c r="D392" s="1" t="n">
        <v>45636</v>
      </c>
      <c r="E392" s="1" t="n">
        <v>46255</v>
      </c>
      <c r="F392" t="inlineStr">
        <is>
          <t>KALMAR LÄN</t>
        </is>
      </c>
      <c r="G392" t="inlineStr">
        <is>
          <t>HÖGSBY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46255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46255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46255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46255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46255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46255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46255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46255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46255</v>
      </c>
      <c r="F401" t="inlineStr">
        <is>
          <t>KALMAR LÄN</t>
        </is>
      </c>
      <c r="G401" t="inlineStr">
        <is>
          <t>HÖGSBY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46255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1847-2026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46255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46255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46255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2026-08-21T01:52:36Z</dcterms:created>
  <dcterms:modified xmlns:dcterms="http://purl.org/dc/terms/" xmlns:xsi="http://www.w3.org/2001/XMLSchema-instance" xsi:type="dcterms:W3CDTF">2026-08-21T01:52:37Z</dcterms:modified>
</cp:coreProperties>
</file>