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46233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46233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46233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46233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46233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46233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46233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46233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46233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46233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46233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46233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46233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46233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46233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22559-2026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46155</v>
      </c>
      <c r="E19" s="1" t="n">
        <v>46233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1.5</v>
      </c>
      <c r="J19" t="n">
        <v>2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Svartoxe
Talltita
Bergsslok
Blåsippa</t>
        </is>
      </c>
      <c r="W19">
        <f>HYPERLINK("https://klasma.github.io/Logging_0821/artfynd/A 22559-2026 artfynd.xlsx", "A 22559-2026")</f>
        <v/>
      </c>
      <c r="X19">
        <f>HYPERLINK("https://klasma.github.io/Logging_0821/kartor/A 22559-2026 karta.png", "A 22559-2026")</f>
        <v/>
      </c>
      <c r="Y19">
        <f>HYPERLINK("https://klasma.github.io/Logging_0821/kartor_geotiff/A 22559-2026 georefererad karta.tif", "A 22559-2026")</f>
        <v/>
      </c>
      <c r="AA19">
        <f>HYPERLINK("https://klasma.github.io/Logging_0821/klagomål/A 22559-2026 FSC-klagomål.docx", "A 22559-2026")</f>
        <v/>
      </c>
      <c r="AB19">
        <f>HYPERLINK("https://klasma.github.io/Logging_0821/klagomålsmail/A 22559-2026 FSC-klagomål mail.docx", "A 22559-2026")</f>
        <v/>
      </c>
      <c r="AC19">
        <f>HYPERLINK("https://klasma.github.io/Logging_0821/tillsyn/A 22559-2026 tillsynsbegäran.docx", "A 22559-2026")</f>
        <v/>
      </c>
      <c r="AD19">
        <f>HYPERLINK("https://klasma.github.io/Logging_0821/tillsynsmail/A 22559-2026 tillsynsbegäran mail.docx", "A 22559-2026")</f>
        <v/>
      </c>
      <c r="AE19">
        <f>HYPERLINK("https://klasma.github.io/Logging_0821/fåglar/A 22559-2026 prioriterade fågelarter.docx", "A 22559-2026")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46233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46233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46233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46233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46233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46233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46233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46233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46233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46233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46233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46233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46233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46233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46233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46233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46233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46233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46233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46233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46233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46233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46233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17994-2026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46233</v>
      </c>
      <c r="F43" t="inlineStr">
        <is>
          <t>KALMAR LÄN</t>
        </is>
      </c>
      <c r="G43" t="inlineStr">
        <is>
          <t>HÖGSBY</t>
        </is>
      </c>
      <c r="I43" t="n">
        <v>1.7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Mindre bastardsvärmare</t>
        </is>
      </c>
      <c r="W43">
        <f>HYPERLINK("https://klasma.github.io/Logging_0821/artfynd/A 17994-2026 artfynd.xlsx", "A 17994-2026")</f>
        <v/>
      </c>
      <c r="X43">
        <f>HYPERLINK("https://klasma.github.io/Logging_0821/kartor/A 17994-2026 karta.png", "A 17994-2026")</f>
        <v/>
      </c>
      <c r="Y43">
        <f>HYPERLINK("https://klasma.github.io/Logging_0821/kartor_geotiff/A 17994-2026 georefererad karta.tif", "A 17994-2026")</f>
        <v/>
      </c>
      <c r="AA43">
        <f>HYPERLINK("https://klasma.github.io/Logging_0821/klagomål/A 17994-2026 FSC-klagomål.docx", "A 17994-2026")</f>
        <v/>
      </c>
      <c r="AB43">
        <f>HYPERLINK("https://klasma.github.io/Logging_0821/klagomålsmail/A 17994-2026 FSC-klagomål mail.docx", "A 17994-2026")</f>
        <v/>
      </c>
      <c r="AC43">
        <f>HYPERLINK("https://klasma.github.io/Logging_0821/tillsyn/A 17994-2026 tillsynsbegäran.docx", "A 17994-2026")</f>
        <v/>
      </c>
      <c r="AD43">
        <f>HYPERLINK("https://klasma.github.io/Logging_0821/tillsynsmail/A 17994-2026 tillsynsbegäran mail.docx", "A 17994-2026")</f>
        <v/>
      </c>
    </row>
    <row r="44" ht="15" customHeight="1">
      <c r="A44" t="inlineStr">
        <is>
          <t>A 19463-2026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46233</v>
      </c>
      <c r="F44" t="inlineStr">
        <is>
          <t>KALMAR LÄN</t>
        </is>
      </c>
      <c r="G44" t="inlineStr">
        <is>
          <t>HÖGSBY</t>
        </is>
      </c>
      <c r="I44" t="n">
        <v>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HYPERLINK("https://klasma.github.io/Logging_0821/artfynd/A 19463-2026 artfynd.xlsx", "A 19463-2026")</f>
        <v/>
      </c>
      <c r="X44">
        <f>HYPERLINK("https://klasma.github.io/Logging_0821/kartor/A 19463-2026 karta.png", "A 19463-2026")</f>
        <v/>
      </c>
      <c r="Y44">
        <f>HYPERLINK("https://klasma.github.io/Logging_0821/kartor_geotiff/A 19463-2026 georefererad karta.tif", "A 19463-2026")</f>
        <v/>
      </c>
      <c r="AA44">
        <f>HYPERLINK("https://klasma.github.io/Logging_0821/klagomål/A 19463-2026 FSC-klagomål.docx", "A 19463-2026")</f>
        <v/>
      </c>
      <c r="AB44">
        <f>HYPERLINK("https://klasma.github.io/Logging_0821/klagomålsmail/A 19463-2026 FSC-klagomål mail.docx", "A 19463-2026")</f>
        <v/>
      </c>
      <c r="AC44">
        <f>HYPERLINK("https://klasma.github.io/Logging_0821/tillsyn/A 19463-2026 tillsynsbegäran.docx", "A 19463-2026")</f>
        <v/>
      </c>
      <c r="AD44">
        <f>HYPERLINK("https://klasma.github.io/Logging_0821/tillsynsmail/A 19463-2026 tillsynsbegäran mail.docx", "A 19463-2026")</f>
        <v/>
      </c>
    </row>
    <row r="45" ht="15" customHeight="1">
      <c r="A45" t="inlineStr">
        <is>
          <t>A 59407-2022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44907</v>
      </c>
      <c r="E45" s="1" t="n">
        <v>46233</v>
      </c>
      <c r="F45" t="inlineStr">
        <is>
          <t>KALMAR LÄN</t>
        </is>
      </c>
      <c r="G45" t="inlineStr">
        <is>
          <t>HÖGSBY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1</v>
      </c>
      <c r="V45" s="2" t="inlineStr">
        <is>
          <t>Blåsippa</t>
        </is>
      </c>
      <c r="W45">
        <f>HYPERLINK("https://klasma.github.io/Logging_0821/artfynd/A 59407-2022 artfynd.xlsx", "A 59407-2022")</f>
        <v/>
      </c>
      <c r="X45">
        <f>HYPERLINK("https://klasma.github.io/Logging_0821/kartor/A 59407-2022 karta.png", "A 59407-2022")</f>
        <v/>
      </c>
      <c r="Y45">
        <f>HYPERLINK("https://klasma.github.io/Logging_0821/kartor_geotiff/A 59407-2022 georefererad karta.tif", "A 59407-2022")</f>
        <v/>
      </c>
      <c r="AA45">
        <f>HYPERLINK("https://klasma.github.io/Logging_0821/klagomål/A 59407-2022 FSC-klagomål.docx", "A 59407-2022")</f>
        <v/>
      </c>
      <c r="AB45">
        <f>HYPERLINK("https://klasma.github.io/Logging_0821/klagomålsmail/A 59407-2022 FSC-klagomål mail.docx", "A 59407-2022")</f>
        <v/>
      </c>
      <c r="AC45">
        <f>HYPERLINK("https://klasma.github.io/Logging_0821/tillsyn/A 59407-2022 tillsynsbegäran.docx", "A 59407-2022")</f>
        <v/>
      </c>
      <c r="AD45">
        <f>HYPERLINK("https://klasma.github.io/Logging_0821/tillsynsmail/A 59407-2022 tillsynsbegäran mail.docx", "A 59407-2022")</f>
        <v/>
      </c>
    </row>
    <row r="46" ht="15" customHeight="1">
      <c r="A46" t="inlineStr">
        <is>
          <t>A 19536-2026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46233</v>
      </c>
      <c r="F46" t="inlineStr">
        <is>
          <t>KALMAR LÄN</t>
        </is>
      </c>
      <c r="G46" t="inlineStr">
        <is>
          <t>HÖGSBY</t>
        </is>
      </c>
      <c r="I46" t="n">
        <v>4.7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HYPERLINK("https://klasma.github.io/Logging_0821/artfynd/A 19536-2026 artfynd.xlsx", "A 19536-2026")</f>
        <v/>
      </c>
      <c r="X46">
        <f>HYPERLINK("https://klasma.github.io/Logging_0821/kartor/A 19536-2026 karta.png", "A 19536-2026")</f>
        <v/>
      </c>
      <c r="Y46">
        <f>HYPERLINK("https://klasma.github.io/Logging_0821/kartor_geotiff/A 19536-2026 georefererad karta.tif", "A 19536-2026")</f>
        <v/>
      </c>
      <c r="AA46">
        <f>HYPERLINK("https://klasma.github.io/Logging_0821/klagomål/A 19536-2026 FSC-klagomål.docx", "A 19536-2026")</f>
        <v/>
      </c>
      <c r="AB46">
        <f>HYPERLINK("https://klasma.github.io/Logging_0821/klagomålsmail/A 19536-2026 FSC-klagomål mail.docx", "A 19536-2026")</f>
        <v/>
      </c>
      <c r="AC46">
        <f>HYPERLINK("https://klasma.github.io/Logging_0821/tillsyn/A 19536-2026 tillsynsbegäran.docx", "A 19536-2026")</f>
        <v/>
      </c>
      <c r="AD46">
        <f>HYPERLINK("https://klasma.github.io/Logging_0821/tillsynsmail/A 19536-2026 tillsynsbegäran mail.docx", "A 19536-2026")</f>
        <v/>
      </c>
      <c r="AE46">
        <f>HYPERLINK("https://klasma.github.io/Logging_0821/fåglar/A 19536-2026 prioriterade fågelarter.docx", "A 19536-2026")</f>
        <v/>
      </c>
    </row>
    <row r="47" ht="15" customHeight="1">
      <c r="A47" t="inlineStr">
        <is>
          <t>A 38267-2025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46233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Flikig tallfibbla</t>
        </is>
      </c>
      <c r="W47">
        <f>HYPERLINK("https://klasma.github.io/Logging_0821/artfynd/A 38267-2025 artfynd.xlsx", "A 38267-2025")</f>
        <v/>
      </c>
      <c r="X47">
        <f>HYPERLINK("https://klasma.github.io/Logging_0821/kartor/A 38267-2025 karta.png", "A 38267-2025")</f>
        <v/>
      </c>
      <c r="Y47">
        <f>HYPERLINK("https://klasma.github.io/Logging_0821/kartor_geotiff/A 38267-2025 georefererad karta.tif", "A 38267-2025")</f>
        <v/>
      </c>
      <c r="AA47">
        <f>HYPERLINK("https://klasma.github.io/Logging_0821/klagomål/A 38267-2025 FSC-klagomål.docx", "A 38267-2025")</f>
        <v/>
      </c>
      <c r="AB47">
        <f>HYPERLINK("https://klasma.github.io/Logging_0821/klagomålsmail/A 38267-2025 FSC-klagomål mail.docx", "A 38267-2025")</f>
        <v/>
      </c>
      <c r="AC47">
        <f>HYPERLINK("https://klasma.github.io/Logging_0821/tillsyn/A 38267-2025 tillsynsbegäran.docx", "A 38267-2025")</f>
        <v/>
      </c>
      <c r="AD47">
        <f>HYPERLINK("https://klasma.github.io/Logging_0821/tillsynsmail/A 38267-2025 tillsynsbegäran mail.docx", "A 38267-2025")</f>
        <v/>
      </c>
    </row>
    <row r="48" ht="15" customHeight="1">
      <c r="A48" t="inlineStr">
        <is>
          <t>A 35075-2023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46233</v>
      </c>
      <c r="F48" t="inlineStr">
        <is>
          <t>KALMAR LÄN</t>
        </is>
      </c>
      <c r="G48" t="inlineStr">
        <is>
          <t>HÖGSBY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35075-2023 artfynd.xlsx", "A 35075-2023")</f>
        <v/>
      </c>
      <c r="X48">
        <f>HYPERLINK("https://klasma.github.io/Logging_0821/kartor/A 35075-2023 karta.png", "A 35075-2023")</f>
        <v/>
      </c>
      <c r="Y48">
        <f>HYPERLINK("https://klasma.github.io/Logging_0821/kartor_geotiff/A 35075-2023 georefererad karta.tif", "A 35075-2023")</f>
        <v/>
      </c>
      <c r="AA48">
        <f>HYPERLINK("https://klasma.github.io/Logging_0821/klagomål/A 35075-2023 FSC-klagomål.docx", "A 35075-2023")</f>
        <v/>
      </c>
      <c r="AB48">
        <f>HYPERLINK("https://klasma.github.io/Logging_0821/klagomålsmail/A 35075-2023 FSC-klagomål mail.docx", "A 35075-2023")</f>
        <v/>
      </c>
      <c r="AC48">
        <f>HYPERLINK("https://klasma.github.io/Logging_0821/tillsyn/A 35075-2023 tillsynsbegäran.docx", "A 35075-2023")</f>
        <v/>
      </c>
      <c r="AD48">
        <f>HYPERLINK("https://klasma.github.io/Logging_0821/tillsynsmail/A 35075-2023 tillsynsbegäran mail.docx", "A 35075-2023")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46233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HYPERLINK("https://klasma.github.io/Logging_0821/artfynd/A 1519-2022 artfynd.xlsx", "A 1519-2022")</f>
        <v/>
      </c>
      <c r="X49">
        <f>HYPERLINK("https://klasma.github.io/Logging_0821/kartor/A 1519-2022 karta.png", "A 1519-2022")</f>
        <v/>
      </c>
      <c r="Y49">
        <f>HYPERLINK("https://klasma.github.io/Logging_0821/kartor_geotiff/A 1519-2022 georefererad karta.tif", "A 1519-2022")</f>
        <v/>
      </c>
      <c r="AA49">
        <f>HYPERLINK("https://klasma.github.io/Logging_0821/klagomål/A 1519-2022 FSC-klagomål.docx", "A 1519-2022")</f>
        <v/>
      </c>
      <c r="AB49">
        <f>HYPERLINK("https://klasma.github.io/Logging_0821/klagomålsmail/A 1519-2022 FSC-klagomål mail.docx", "A 1519-2022")</f>
        <v/>
      </c>
      <c r="AC49">
        <f>HYPERLINK("https://klasma.github.io/Logging_0821/tillsyn/A 1519-2022 tillsynsbegäran.docx", "A 1519-2022")</f>
        <v/>
      </c>
      <c r="AD49">
        <f>HYPERLINK("https://klasma.github.io/Logging_0821/tillsynsmail/A 1519-2022 tillsynsbegäran mail.docx", "A 1519-2022")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46233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19519-2025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45770</v>
      </c>
      <c r="E51" s="1" t="n">
        <v>46233</v>
      </c>
      <c r="F51" t="inlineStr">
        <is>
          <t>KALMAR LÄN</t>
        </is>
      </c>
      <c r="G51" t="inlineStr">
        <is>
          <t>HÖGSBY</t>
        </is>
      </c>
      <c r="I51" t="n">
        <v>3.5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HYPERLINK("https://klasma.github.io/Logging_0821/artfynd/A 19519-2025 artfynd.xlsx", "A 19519-2025")</f>
        <v/>
      </c>
      <c r="X51">
        <f>HYPERLINK("https://klasma.github.io/Logging_0821/kartor/A 19519-2025 karta.png", "A 19519-2025")</f>
        <v/>
      </c>
      <c r="Y51">
        <f>HYPERLINK("https://klasma.github.io/Logging_0821/kartor_geotiff/A 19519-2025 georefererad karta.tif", "A 19519-2025")</f>
        <v/>
      </c>
      <c r="AA51">
        <f>HYPERLINK("https://klasma.github.io/Logging_0821/klagomål/A 19519-2025 FSC-klagomål.docx", "A 19519-2025")</f>
        <v/>
      </c>
      <c r="AB51">
        <f>HYPERLINK("https://klasma.github.io/Logging_0821/klagomålsmail/A 19519-2025 FSC-klagomål mail.docx", "A 19519-2025")</f>
        <v/>
      </c>
      <c r="AC51">
        <f>HYPERLINK("https://klasma.github.io/Logging_0821/tillsyn/A 19519-2025 tillsynsbegäran.docx", "A 19519-2025")</f>
        <v/>
      </c>
      <c r="AD51">
        <f>HYPERLINK("https://klasma.github.io/Logging_0821/tillsynsmail/A 19519-2025 tillsynsbegäran mail.docx", "A 19519-2025")</f>
        <v/>
      </c>
    </row>
    <row r="52" ht="15" customHeight="1">
      <c r="A52" t="inlineStr">
        <is>
          <t>A 28894-2026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46199</v>
      </c>
      <c r="E52" s="1" t="n">
        <v>46233</v>
      </c>
      <c r="F52" t="inlineStr">
        <is>
          <t>KALMAR LÄN</t>
        </is>
      </c>
      <c r="G52" t="inlineStr">
        <is>
          <t>HÖGSBY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HYPERLINK("https://klasma.github.io/Logging_0821/artfynd/A 28894-2026 artfynd.xlsx", "A 28894-2026")</f>
        <v/>
      </c>
      <c r="X52">
        <f>HYPERLINK("https://klasma.github.io/Logging_0821/kartor/A 28894-2026 karta.png", "A 28894-2026")</f>
        <v/>
      </c>
      <c r="Y52">
        <f>HYPERLINK("https://klasma.github.io/Logging_0821/kartor_geotiff/A 28894-2026 georefererad karta.tif", "A 28894-2026")</f>
        <v/>
      </c>
      <c r="AA52">
        <f>HYPERLINK("https://klasma.github.io/Logging_0821/klagomål/A 28894-2026 FSC-klagomål.docx", "A 28894-2026")</f>
        <v/>
      </c>
      <c r="AB52">
        <f>HYPERLINK("https://klasma.github.io/Logging_0821/klagomålsmail/A 28894-2026 FSC-klagomål mail.docx", "A 28894-2026")</f>
        <v/>
      </c>
      <c r="AC52">
        <f>HYPERLINK("https://klasma.github.io/Logging_0821/tillsyn/A 28894-2026 tillsynsbegäran.docx", "A 28894-2026")</f>
        <v/>
      </c>
      <c r="AD52">
        <f>HYPERLINK("https://klasma.github.io/Logging_0821/tillsynsmail/A 28894-2026 tillsynsbegäran mail.docx", "A 28894-2026")</f>
        <v/>
      </c>
      <c r="AE52">
        <f>HYPERLINK("https://klasma.github.io/Logging_0821/fåglar/A 28894-2026 prioriterade fågelarter.docx", "A 28894-2026")</f>
        <v/>
      </c>
    </row>
    <row r="53" ht="15" customHeight="1">
      <c r="A53" t="inlineStr">
        <is>
          <t>A 30186-2026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46206</v>
      </c>
      <c r="E53" s="1" t="n">
        <v>46233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Gullklöver</t>
        </is>
      </c>
      <c r="W53">
        <f>HYPERLINK("https://klasma.github.io/Logging_0821/artfynd/A 30186-2026 artfynd.xlsx", "A 30186-2026")</f>
        <v/>
      </c>
      <c r="X53">
        <f>HYPERLINK("https://klasma.github.io/Logging_0821/kartor/A 30186-2026 karta.png", "A 30186-2026")</f>
        <v/>
      </c>
      <c r="Y53">
        <f>HYPERLINK("https://klasma.github.io/Logging_0821/kartor_geotiff/A 30186-2026 georefererad karta.tif", "A 30186-2026")</f>
        <v/>
      </c>
      <c r="AA53">
        <f>HYPERLINK("https://klasma.github.io/Logging_0821/klagomål/A 30186-2026 FSC-klagomål.docx", "A 30186-2026")</f>
        <v/>
      </c>
      <c r="AB53">
        <f>HYPERLINK("https://klasma.github.io/Logging_0821/klagomålsmail/A 30186-2026 FSC-klagomål mail.docx", "A 30186-2026")</f>
        <v/>
      </c>
      <c r="AC53">
        <f>HYPERLINK("https://klasma.github.io/Logging_0821/tillsyn/A 30186-2026 tillsynsbegäran.docx", "A 30186-2026")</f>
        <v/>
      </c>
      <c r="AD53">
        <f>HYPERLINK("https://klasma.github.io/Logging_0821/tillsynsmail/A 30186-2026 tillsynsbegäran mail.docx", "A 30186-2026")</f>
        <v/>
      </c>
    </row>
    <row r="54" ht="15" customHeight="1">
      <c r="A54" t="inlineStr">
        <is>
          <t>A 23859-2026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46233</v>
      </c>
      <c r="F54" t="inlineStr">
        <is>
          <t>KALMAR LÄN</t>
        </is>
      </c>
      <c r="G54" t="inlineStr">
        <is>
          <t>HÖGSBY</t>
        </is>
      </c>
      <c r="I54" t="n">
        <v>3.8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Rödlånke</t>
        </is>
      </c>
      <c r="W54">
        <f>HYPERLINK("https://klasma.github.io/Logging_0821/artfynd/A 23859-2026 artfynd.xlsx", "A 23859-2026")</f>
        <v/>
      </c>
      <c r="X54">
        <f>HYPERLINK("https://klasma.github.io/Logging_0821/kartor/A 23859-2026 karta.png", "A 23859-2026")</f>
        <v/>
      </c>
      <c r="Y54">
        <f>HYPERLINK("https://klasma.github.io/Logging_0821/kartor_geotiff/A 23859-2026 georefererad karta.tif", "A 23859-2026")</f>
        <v/>
      </c>
      <c r="AA54">
        <f>HYPERLINK("https://klasma.github.io/Logging_0821/klagomål/A 23859-2026 FSC-klagomål.docx", "A 23859-2026")</f>
        <v/>
      </c>
      <c r="AB54">
        <f>HYPERLINK("https://klasma.github.io/Logging_0821/klagomålsmail/A 23859-2026 FSC-klagomål mail.docx", "A 23859-2026")</f>
        <v/>
      </c>
      <c r="AC54">
        <f>HYPERLINK("https://klasma.github.io/Logging_0821/tillsyn/A 23859-2026 tillsynsbegäran.docx", "A 23859-2026")</f>
        <v/>
      </c>
      <c r="AD54">
        <f>HYPERLINK("https://klasma.github.io/Logging_0821/tillsynsmail/A 23859-2026 tillsynsbegäran mail.docx", "A 23859-2026")</f>
        <v/>
      </c>
    </row>
    <row r="55" ht="15" customHeight="1">
      <c r="A55" t="inlineStr">
        <is>
          <t>A 30800-2026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46212</v>
      </c>
      <c r="E55" s="1" t="n">
        <v>46233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HYPERLINK("https://klasma.github.io/Logging_0821/artfynd/A 30800-2026 artfynd.xlsx", "A 30800-2026")</f>
        <v/>
      </c>
      <c r="X55">
        <f>HYPERLINK("https://klasma.github.io/Logging_0821/kartor/A 30800-2026 karta.png", "A 30800-2026")</f>
        <v/>
      </c>
      <c r="Y55">
        <f>HYPERLINK("https://klasma.github.io/Logging_0821/kartor_geotiff/A 30800-2026 georefererad karta.tif", "A 30800-2026")</f>
        <v/>
      </c>
      <c r="AA55">
        <f>HYPERLINK("https://klasma.github.io/Logging_0821/klagomål/A 30800-2026 FSC-klagomål.docx", "A 30800-2026")</f>
        <v/>
      </c>
      <c r="AB55">
        <f>HYPERLINK("https://klasma.github.io/Logging_0821/klagomålsmail/A 30800-2026 FSC-klagomål mail.docx", "A 30800-2026")</f>
        <v/>
      </c>
      <c r="AC55">
        <f>HYPERLINK("https://klasma.github.io/Logging_0821/tillsyn/A 30800-2026 tillsynsbegäran.docx", "A 30800-2026")</f>
        <v/>
      </c>
      <c r="AD55">
        <f>HYPERLINK("https://klasma.github.io/Logging_0821/tillsynsmail/A 30800-2026 tillsynsbegäran mail.docx", "A 30800-2026")</f>
        <v/>
      </c>
    </row>
    <row r="56" ht="15" customHeight="1">
      <c r="A56" t="inlineStr">
        <is>
          <t>A 59700-2023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45256</v>
      </c>
      <c r="E56" s="1" t="n">
        <v>46233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59700-2023 artfynd.xlsx", "A 59700-2023")</f>
        <v/>
      </c>
      <c r="X56">
        <f>HYPERLINK("https://klasma.github.io/Logging_0821/kartor/A 59700-2023 karta.png", "A 59700-2023")</f>
        <v/>
      </c>
      <c r="Y56">
        <f>HYPERLINK("https://klasma.github.io/Logging_0821/kartor_geotiff/A 59700-2023 georefererad karta.tif", "A 59700-2023")</f>
        <v/>
      </c>
      <c r="AA56">
        <f>HYPERLINK("https://klasma.github.io/Logging_0821/klagomål/A 59700-2023 FSC-klagomål.docx", "A 59700-2023")</f>
        <v/>
      </c>
      <c r="AB56">
        <f>HYPERLINK("https://klasma.github.io/Logging_0821/klagomålsmail/A 59700-2023 FSC-klagomål mail.docx", "A 59700-2023")</f>
        <v/>
      </c>
      <c r="AC56">
        <f>HYPERLINK("https://klasma.github.io/Logging_0821/tillsyn/A 59700-2023 tillsynsbegäran.docx", "A 59700-2023")</f>
        <v/>
      </c>
      <c r="AD56">
        <f>HYPERLINK("https://klasma.github.io/Logging_0821/tillsynsmail/A 59700-2023 tillsynsbegäran mail.docx", "A 59700-2023")</f>
        <v/>
      </c>
      <c r="AE56">
        <f>HYPERLINK("https://klasma.github.io/Logging_0821/fåglar/A 59700-2023 prioriterade fågelarter.docx", "A 59700-2023")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46233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27366-2026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46233</v>
      </c>
      <c r="F58" t="inlineStr">
        <is>
          <t>KALMAR LÄN</t>
        </is>
      </c>
      <c r="G58" t="inlineStr">
        <is>
          <t>HÖGSBY</t>
        </is>
      </c>
      <c r="I58" t="n">
        <v>4.4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27366-2026 artfynd.xlsx", "A 27366-2026")</f>
        <v/>
      </c>
      <c r="X58">
        <f>HYPERLINK("https://klasma.github.io/Logging_0821/kartor/A 27366-2026 karta.png", "A 27366-2026")</f>
        <v/>
      </c>
      <c r="Y58">
        <f>HYPERLINK("https://klasma.github.io/Logging_0821/kartor_geotiff/A 27366-2026 georefererad karta.tif", "A 27366-2026")</f>
        <v/>
      </c>
      <c r="AA58">
        <f>HYPERLINK("https://klasma.github.io/Logging_0821/klagomål/A 27366-2026 FSC-klagomål.docx", "A 27366-2026")</f>
        <v/>
      </c>
      <c r="AB58">
        <f>HYPERLINK("https://klasma.github.io/Logging_0821/klagomålsmail/A 27366-2026 FSC-klagomål mail.docx", "A 27366-2026")</f>
        <v/>
      </c>
      <c r="AC58">
        <f>HYPERLINK("https://klasma.github.io/Logging_0821/tillsyn/A 27366-2026 tillsynsbegäran.docx", "A 27366-2026")</f>
        <v/>
      </c>
      <c r="AD58">
        <f>HYPERLINK("https://klasma.github.io/Logging_0821/tillsynsmail/A 27366-2026 tillsynsbegäran mail.docx", "A 27366-2026")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46233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46233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46233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46233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46233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46233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46233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46233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46233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46233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46233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46233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46233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46233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46233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46233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46233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46233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46233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46233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46233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46233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46233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46233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46233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46233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46233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46233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46233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46233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46233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46233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46233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46233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46233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46233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46233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46233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46233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46233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46233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46233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46233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46233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46233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46233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46233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46233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46233</v>
      </c>
      <c r="F107" t="inlineStr">
        <is>
          <t>KALMAR LÄN</t>
        </is>
      </c>
      <c r="G107" t="inlineStr">
        <is>
          <t>HÖGSBY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46233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46233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46233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46233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46233</v>
      </c>
      <c r="F112" t="inlineStr">
        <is>
          <t>KALMAR LÄN</t>
        </is>
      </c>
      <c r="G112" t="inlineStr">
        <is>
          <t>HÖGSBY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46233</v>
      </c>
      <c r="F113" t="inlineStr">
        <is>
          <t>KALMAR LÄN</t>
        </is>
      </c>
      <c r="G113" t="inlineStr">
        <is>
          <t>HÖGSBY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41706-2023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45176</v>
      </c>
      <c r="E114" s="1" t="n">
        <v>46233</v>
      </c>
      <c r="F114" t="inlineStr">
        <is>
          <t>KALMAR LÄN</t>
        </is>
      </c>
      <c r="G114" t="inlineStr">
        <is>
          <t>HÖGSBY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44902</v>
      </c>
      <c r="E115" s="1" t="n">
        <v>46233</v>
      </c>
      <c r="F115" t="inlineStr">
        <is>
          <t>KALMAR LÄN</t>
        </is>
      </c>
      <c r="G115" t="inlineStr">
        <is>
          <t>HÖGSBY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46233</v>
      </c>
      <c r="F116" t="inlineStr">
        <is>
          <t>KALMAR LÄN</t>
        </is>
      </c>
      <c r="G116" t="inlineStr">
        <is>
          <t>HÖGSBY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46233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46233</v>
      </c>
      <c r="F118" t="inlineStr">
        <is>
          <t>KALMAR LÄN</t>
        </is>
      </c>
      <c r="G118" t="inlineStr">
        <is>
          <t>HÖGSBY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46233</v>
      </c>
      <c r="F119" t="inlineStr">
        <is>
          <t>KALMAR LÄN</t>
        </is>
      </c>
      <c r="G119" t="inlineStr">
        <is>
          <t>HÖGSBY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46038</v>
      </c>
      <c r="E120" s="1" t="n">
        <v>46233</v>
      </c>
      <c r="F120" t="inlineStr">
        <is>
          <t>KALMAR LÄN</t>
        </is>
      </c>
      <c r="G120" t="inlineStr">
        <is>
          <t>HÖGSBY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46233</v>
      </c>
      <c r="F121" t="inlineStr">
        <is>
          <t>KALMAR LÄN</t>
        </is>
      </c>
      <c r="G121" t="inlineStr">
        <is>
          <t>HÖGSBY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57006-2024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45626</v>
      </c>
      <c r="E122" s="1" t="n">
        <v>46233</v>
      </c>
      <c r="F122" t="inlineStr">
        <is>
          <t>KALMAR LÄN</t>
        </is>
      </c>
      <c r="G122" t="inlineStr">
        <is>
          <t>HÖGSBY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44413</v>
      </c>
      <c r="E123" s="1" t="n">
        <v>46233</v>
      </c>
      <c r="F123" t="inlineStr">
        <is>
          <t>KALMAR LÄN</t>
        </is>
      </c>
      <c r="G123" t="inlineStr">
        <is>
          <t>HÖGSBY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45544</v>
      </c>
      <c r="E124" s="1" t="n">
        <v>46233</v>
      </c>
      <c r="F124" t="inlineStr">
        <is>
          <t>KALMAR LÄN</t>
        </is>
      </c>
      <c r="G124" t="inlineStr">
        <is>
          <t>HÖGSBY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45546</v>
      </c>
      <c r="E125" s="1" t="n">
        <v>46233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45847</v>
      </c>
      <c r="E126" s="1" t="n">
        <v>46233</v>
      </c>
      <c r="F126" t="inlineStr">
        <is>
          <t>KALMAR LÄN</t>
        </is>
      </c>
      <c r="G126" t="inlineStr">
        <is>
          <t>HÖGSBY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34579-2025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45847</v>
      </c>
      <c r="E127" s="1" t="n">
        <v>46233</v>
      </c>
      <c r="F127" t="inlineStr">
        <is>
          <t>KALMAR LÄN</t>
        </is>
      </c>
      <c r="G127" t="inlineStr">
        <is>
          <t>HÖGSBY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45554</v>
      </c>
      <c r="E128" s="1" t="n">
        <v>46233</v>
      </c>
      <c r="F128" t="inlineStr">
        <is>
          <t>KALMAR LÄN</t>
        </is>
      </c>
      <c r="G128" t="inlineStr">
        <is>
          <t>HÖGSBY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46233</v>
      </c>
      <c r="F129" t="inlineStr">
        <is>
          <t>KALMAR LÄN</t>
        </is>
      </c>
      <c r="G129" t="inlineStr">
        <is>
          <t>HÖGSBY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46233</v>
      </c>
      <c r="F130" t="inlineStr">
        <is>
          <t>KALMAR LÄN</t>
        </is>
      </c>
      <c r="G130" t="inlineStr">
        <is>
          <t>HÖGSBY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44991</v>
      </c>
      <c r="E131" s="1" t="n">
        <v>46233</v>
      </c>
      <c r="F131" t="inlineStr">
        <is>
          <t>KALMAR LÄN</t>
        </is>
      </c>
      <c r="G131" t="inlineStr">
        <is>
          <t>HÖGSBY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45320</v>
      </c>
      <c r="E132" s="1" t="n">
        <v>46233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46233</v>
      </c>
      <c r="F133" t="inlineStr">
        <is>
          <t>KALMAR LÄN</t>
        </is>
      </c>
      <c r="G133" t="inlineStr">
        <is>
          <t>HÖGSBY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44895</v>
      </c>
      <c r="E134" s="1" t="n">
        <v>46233</v>
      </c>
      <c r="F134" t="inlineStr">
        <is>
          <t>KALMAR LÄN</t>
        </is>
      </c>
      <c r="G134" t="inlineStr">
        <is>
          <t>HÖGSBY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46233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65130-2023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45288</v>
      </c>
      <c r="E136" s="1" t="n">
        <v>46233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45348</v>
      </c>
      <c r="E137" s="1" t="n">
        <v>46233</v>
      </c>
      <c r="F137" t="inlineStr">
        <is>
          <t>KALMAR LÄN</t>
        </is>
      </c>
      <c r="G137" t="inlineStr">
        <is>
          <t>HÖGSBY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57000-2024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45626</v>
      </c>
      <c r="E138" s="1" t="n">
        <v>46233</v>
      </c>
      <c r="F138" t="inlineStr">
        <is>
          <t>KALMAR LÄN</t>
        </is>
      </c>
      <c r="G138" t="inlineStr">
        <is>
          <t>HÖGSBY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30890-2023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46233</v>
      </c>
      <c r="F139" t="inlineStr">
        <is>
          <t>KALMAR LÄN</t>
        </is>
      </c>
      <c r="G139" t="inlineStr">
        <is>
          <t>HÖGSBY</t>
        </is>
      </c>
      <c r="I139" t="n">
        <v>11.6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60853-2021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44496</v>
      </c>
      <c r="E140" s="1" t="n">
        <v>46233</v>
      </c>
      <c r="F140" t="inlineStr">
        <is>
          <t>KALMAR LÄN</t>
        </is>
      </c>
      <c r="G140" t="inlineStr">
        <is>
          <t>HÖGSBY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38068-2025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45882</v>
      </c>
      <c r="E141" s="1" t="n">
        <v>46233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46058</v>
      </c>
      <c r="E142" s="1" t="n">
        <v>46233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46233</v>
      </c>
      <c r="F143" t="inlineStr">
        <is>
          <t>KALMAR LÄN</t>
        </is>
      </c>
      <c r="G143" t="inlineStr">
        <is>
          <t>HÖGSBY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22688-2025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45789</v>
      </c>
      <c r="E144" s="1" t="n">
        <v>46233</v>
      </c>
      <c r="F144" t="inlineStr">
        <is>
          <t>KALMAR LÄN</t>
        </is>
      </c>
      <c r="G144" t="inlineStr">
        <is>
          <t>HÖGSBY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7443-2026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46059</v>
      </c>
      <c r="E145" s="1" t="n">
        <v>46233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46233</v>
      </c>
      <c r="F146" t="inlineStr">
        <is>
          <t>KALMAR LÄN</t>
        </is>
      </c>
      <c r="G146" t="inlineStr">
        <is>
          <t>HÖGSBY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46233</v>
      </c>
      <c r="F147" t="inlineStr">
        <is>
          <t>KALMAR LÄN</t>
        </is>
      </c>
      <c r="G147" t="inlineStr">
        <is>
          <t>HÖGSBY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46233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45707</v>
      </c>
      <c r="E149" s="1" t="n">
        <v>46233</v>
      </c>
      <c r="F149" t="inlineStr">
        <is>
          <t>KALMAR LÄN</t>
        </is>
      </c>
      <c r="G149" t="inlineStr">
        <is>
          <t>HÖGSBY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44729</v>
      </c>
      <c r="E150" s="1" t="n">
        <v>46233</v>
      </c>
      <c r="F150" t="inlineStr">
        <is>
          <t>KALMAR LÄN</t>
        </is>
      </c>
      <c r="G150" t="inlineStr">
        <is>
          <t>HÖGSBY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46233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46233</v>
      </c>
      <c r="F152" t="inlineStr">
        <is>
          <t>KALMAR LÄN</t>
        </is>
      </c>
      <c r="G152" t="inlineStr">
        <is>
          <t>HÖGSBY</t>
        </is>
      </c>
      <c r="I152" t="n">
        <v>12.8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32049-2023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45119</v>
      </c>
      <c r="E153" s="1" t="n">
        <v>46233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46233</v>
      </c>
      <c r="F154" t="inlineStr">
        <is>
          <t>KALMAR LÄN</t>
        </is>
      </c>
      <c r="G154" t="inlineStr">
        <is>
          <t>HÖGSBY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46233</v>
      </c>
      <c r="F155" t="inlineStr">
        <is>
          <t>KALMAR LÄN</t>
        </is>
      </c>
      <c r="G155" t="inlineStr">
        <is>
          <t>HÖGSBY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46233</v>
      </c>
      <c r="F156" t="inlineStr">
        <is>
          <t>KALMAR LÄN</t>
        </is>
      </c>
      <c r="G156" t="inlineStr">
        <is>
          <t>HÖGSBY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45614</v>
      </c>
      <c r="E157" s="1" t="n">
        <v>46233</v>
      </c>
      <c r="F157" t="inlineStr">
        <is>
          <t>KALMAR LÄN</t>
        </is>
      </c>
      <c r="G157" t="inlineStr">
        <is>
          <t>HÖGSBY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46233</v>
      </c>
      <c r="F158" t="inlineStr">
        <is>
          <t>KALMAR LÄN</t>
        </is>
      </c>
      <c r="G158" t="inlineStr">
        <is>
          <t>HÖGSBY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46233</v>
      </c>
      <c r="F159" t="inlineStr">
        <is>
          <t>KALMAR LÄN</t>
        </is>
      </c>
      <c r="G159" t="inlineStr">
        <is>
          <t>HÖGSBY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46233</v>
      </c>
      <c r="F160" t="inlineStr">
        <is>
          <t>KALMAR LÄN</t>
        </is>
      </c>
      <c r="G160" t="inlineStr">
        <is>
          <t>HÖGSBY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45966</v>
      </c>
      <c r="E161" s="1" t="n">
        <v>46233</v>
      </c>
      <c r="F161" t="inlineStr">
        <is>
          <t>KALMAR LÄN</t>
        </is>
      </c>
      <c r="G161" t="inlineStr">
        <is>
          <t>HÖGSBY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44437-2023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45189</v>
      </c>
      <c r="E162" s="1" t="n">
        <v>46233</v>
      </c>
      <c r="F162" t="inlineStr">
        <is>
          <t>KALMAR LÄN</t>
        </is>
      </c>
      <c r="G162" t="inlineStr">
        <is>
          <t>HÖGSBY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46233</v>
      </c>
      <c r="F163" t="inlineStr">
        <is>
          <t>KALMAR LÄN</t>
        </is>
      </c>
      <c r="G163" t="inlineStr">
        <is>
          <t>HÖGSBY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46233</v>
      </c>
      <c r="F164" t="inlineStr">
        <is>
          <t>KALMAR LÄN</t>
        </is>
      </c>
      <c r="G164" t="inlineStr">
        <is>
          <t>HÖGSBY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46233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46233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44987</v>
      </c>
      <c r="E167" s="1" t="n">
        <v>46233</v>
      </c>
      <c r="F167" t="inlineStr">
        <is>
          <t>KALMAR LÄN</t>
        </is>
      </c>
      <c r="G167" t="inlineStr">
        <is>
          <t>HÖGSBY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38802-2024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45547</v>
      </c>
      <c r="E168" s="1" t="n">
        <v>46233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46079</v>
      </c>
      <c r="E169" s="1" t="n">
        <v>46233</v>
      </c>
      <c r="F169" t="inlineStr">
        <is>
          <t>KALMAR LÄN</t>
        </is>
      </c>
      <c r="G169" t="inlineStr">
        <is>
          <t>HÖGSBY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45552</v>
      </c>
      <c r="E170" s="1" t="n">
        <v>46233</v>
      </c>
      <c r="F170" t="inlineStr">
        <is>
          <t>KALMAR LÄN</t>
        </is>
      </c>
      <c r="G170" t="inlineStr">
        <is>
          <t>HÖGSBY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46233</v>
      </c>
      <c r="F171" t="inlineStr">
        <is>
          <t>KALMAR LÄN</t>
        </is>
      </c>
      <c r="G171" t="inlineStr">
        <is>
          <t>HÖGSBY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46233</v>
      </c>
      <c r="F172" t="inlineStr">
        <is>
          <t>KALMAR LÄN</t>
        </is>
      </c>
      <c r="G172" t="inlineStr">
        <is>
          <t>HÖGSBY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58017-2025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45982</v>
      </c>
      <c r="E173" s="1" t="n">
        <v>46233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8.4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49338-2022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46233</v>
      </c>
      <c r="F174" t="inlineStr">
        <is>
          <t>KALMAR LÄN</t>
        </is>
      </c>
      <c r="G174" t="inlineStr">
        <is>
          <t>HÖGSBY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45071</v>
      </c>
      <c r="E175" s="1" t="n">
        <v>46233</v>
      </c>
      <c r="F175" t="inlineStr">
        <is>
          <t>KALMAR LÄN</t>
        </is>
      </c>
      <c r="G175" t="inlineStr">
        <is>
          <t>HÖGSBY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46233</v>
      </c>
      <c r="F176" t="inlineStr">
        <is>
          <t>KALMAR LÄN</t>
        </is>
      </c>
      <c r="G176" t="inlineStr">
        <is>
          <t>HÖGSBY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44879</v>
      </c>
      <c r="E177" s="1" t="n">
        <v>46233</v>
      </c>
      <c r="F177" t="inlineStr">
        <is>
          <t>KALMAR LÄN</t>
        </is>
      </c>
      <c r="G177" t="inlineStr">
        <is>
          <t>HÖGSBY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45247</v>
      </c>
      <c r="E178" s="1" t="n">
        <v>46233</v>
      </c>
      <c r="F178" t="inlineStr">
        <is>
          <t>KALMAR LÄN</t>
        </is>
      </c>
      <c r="G178" t="inlineStr">
        <is>
          <t>HÖGSBY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54238-2021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46233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46233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46093</v>
      </c>
      <c r="E181" s="1" t="n">
        <v>46233</v>
      </c>
      <c r="F181" t="inlineStr">
        <is>
          <t>KALMAR LÄN</t>
        </is>
      </c>
      <c r="G181" t="inlineStr">
        <is>
          <t>HÖGSBY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45749</v>
      </c>
      <c r="E182" s="1" t="n">
        <v>46233</v>
      </c>
      <c r="F182" t="inlineStr">
        <is>
          <t>KALMAR LÄN</t>
        </is>
      </c>
      <c r="G182" t="inlineStr">
        <is>
          <t>HÖGSBY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45244</v>
      </c>
      <c r="E183" s="1" t="n">
        <v>46233</v>
      </c>
      <c r="F183" t="inlineStr">
        <is>
          <t>KALMAR LÄN</t>
        </is>
      </c>
      <c r="G183" t="inlineStr">
        <is>
          <t>HÖGSBY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46233</v>
      </c>
      <c r="F184" t="inlineStr">
        <is>
          <t>KALMAR LÄN</t>
        </is>
      </c>
      <c r="G184" t="inlineStr">
        <is>
          <t>HÖGSBY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45532</v>
      </c>
      <c r="E185" s="1" t="n">
        <v>46233</v>
      </c>
      <c r="F185" t="inlineStr">
        <is>
          <t>KALMAR LÄN</t>
        </is>
      </c>
      <c r="G185" t="inlineStr">
        <is>
          <t>HÖGSBY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46233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44861</v>
      </c>
      <c r="E187" s="1" t="n">
        <v>46233</v>
      </c>
      <c r="F187" t="inlineStr">
        <is>
          <t>KALMAR LÄN</t>
        </is>
      </c>
      <c r="G187" t="inlineStr">
        <is>
          <t>HÖGSBY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46233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18.4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46233</v>
      </c>
      <c r="F189" t="inlineStr">
        <is>
          <t>KALMAR LÄN</t>
        </is>
      </c>
      <c r="G189" t="inlineStr">
        <is>
          <t>HÖGSBY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46001</v>
      </c>
      <c r="E190" s="1" t="n">
        <v>46233</v>
      </c>
      <c r="F190" t="inlineStr">
        <is>
          <t>KALMAR LÄN</t>
        </is>
      </c>
      <c r="G190" t="inlineStr">
        <is>
          <t>HÖGSBY</t>
        </is>
      </c>
      <c r="I190" t="n">
        <v>9.4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46233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46233</v>
      </c>
      <c r="F192" t="inlineStr">
        <is>
          <t>KALMAR LÄN</t>
        </is>
      </c>
      <c r="G192" t="inlineStr">
        <is>
          <t>HÖGSBY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46233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44586</v>
      </c>
      <c r="E194" s="1" t="n">
        <v>46233</v>
      </c>
      <c r="F194" t="inlineStr">
        <is>
          <t>KALMAR LÄN</t>
        </is>
      </c>
      <c r="G194" t="inlineStr">
        <is>
          <t>HÖGSBY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14894-2025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45743</v>
      </c>
      <c r="E195" s="1" t="n">
        <v>46233</v>
      </c>
      <c r="F195" t="inlineStr">
        <is>
          <t>KALMAR LÄN</t>
        </is>
      </c>
      <c r="G195" t="inlineStr">
        <is>
          <t>HÖGSBY</t>
        </is>
      </c>
      <c r="H195" t="inlineStr">
        <is>
          <t>Kommuner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46233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44981</v>
      </c>
      <c r="E197" s="1" t="n">
        <v>46233</v>
      </c>
      <c r="F197" t="inlineStr">
        <is>
          <t>KALMAR LÄN</t>
        </is>
      </c>
      <c r="G197" t="inlineStr">
        <is>
          <t>HÖGSBY</t>
        </is>
      </c>
      <c r="H197" t="inlineStr">
        <is>
          <t>Övriga Aktiebolag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46233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62722-2025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46233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46233</v>
      </c>
      <c r="F200" t="inlineStr">
        <is>
          <t>KALMAR LÄN</t>
        </is>
      </c>
      <c r="G200" t="inlineStr">
        <is>
          <t>HÖGSBY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46233</v>
      </c>
      <c r="F201" t="inlineStr">
        <is>
          <t>KALMAR LÄN</t>
        </is>
      </c>
      <c r="G201" t="inlineStr">
        <is>
          <t>HÖGSBY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45040</v>
      </c>
      <c r="E202" s="1" t="n">
        <v>46233</v>
      </c>
      <c r="F202" t="inlineStr">
        <is>
          <t>KALMAR LÄN</t>
        </is>
      </c>
      <c r="G202" t="inlineStr">
        <is>
          <t>HÖGSBY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46233</v>
      </c>
      <c r="F203" t="inlineStr">
        <is>
          <t>KALMAR LÄN</t>
        </is>
      </c>
      <c r="G203" t="inlineStr">
        <is>
          <t>HÖGSBY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44904</v>
      </c>
      <c r="E204" s="1" t="n">
        <v>46233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63483-2025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46233</v>
      </c>
      <c r="F205" t="inlineStr">
        <is>
          <t>KALMAR LÄN</t>
        </is>
      </c>
      <c r="G205" t="inlineStr">
        <is>
          <t>HÖGSBY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46233</v>
      </c>
      <c r="F206" t="inlineStr">
        <is>
          <t>KALMAR LÄN</t>
        </is>
      </c>
      <c r="G206" t="inlineStr">
        <is>
          <t>HÖGSBY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16342-2026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46233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50367-2022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46233</v>
      </c>
      <c r="F208" t="inlineStr">
        <is>
          <t>KALMAR LÄN</t>
        </is>
      </c>
      <c r="G208" t="inlineStr">
        <is>
          <t>HÖGSBY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16207-2026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46233</v>
      </c>
      <c r="F209" t="inlineStr">
        <is>
          <t>KALMAR LÄN</t>
        </is>
      </c>
      <c r="G209" t="inlineStr">
        <is>
          <t>HÖGSBY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37811-2024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45544</v>
      </c>
      <c r="E210" s="1" t="n">
        <v>46233</v>
      </c>
      <c r="F210" t="inlineStr">
        <is>
          <t>KALMAR LÄN</t>
        </is>
      </c>
      <c r="G210" t="inlineStr">
        <is>
          <t>HÖGSBY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28648-2023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45103</v>
      </c>
      <c r="E211" s="1" t="n">
        <v>46233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46233</v>
      </c>
      <c r="F212" t="inlineStr">
        <is>
          <t>KALMAR LÄN</t>
        </is>
      </c>
      <c r="G212" t="inlineStr">
        <is>
          <t>HÖGSBY</t>
        </is>
      </c>
      <c r="I212" t="n">
        <v>12.1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6597-2024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45341</v>
      </c>
      <c r="E213" s="1" t="n">
        <v>46233</v>
      </c>
      <c r="F213" t="inlineStr">
        <is>
          <t>KALMAR LÄN</t>
        </is>
      </c>
      <c r="G213" t="inlineStr">
        <is>
          <t>HÖGSBY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46233</v>
      </c>
      <c r="F214" t="inlineStr">
        <is>
          <t>KALMAR LÄN</t>
        </is>
      </c>
      <c r="G214" t="inlineStr">
        <is>
          <t>HÖGSBY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46233</v>
      </c>
      <c r="F215" t="inlineStr">
        <is>
          <t>KALMAR LÄN</t>
        </is>
      </c>
      <c r="G215" t="inlineStr">
        <is>
          <t>HÖGSBY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46114</v>
      </c>
      <c r="E216" s="1" t="n">
        <v>46233</v>
      </c>
      <c r="F216" t="inlineStr">
        <is>
          <t>KALMAR LÄN</t>
        </is>
      </c>
      <c r="G216" t="inlineStr">
        <is>
          <t>HÖGSBY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59409-2022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46233</v>
      </c>
      <c r="F217" t="inlineStr">
        <is>
          <t>KALMAR LÄN</t>
        </is>
      </c>
      <c r="G217" t="inlineStr">
        <is>
          <t>HÖGSBY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45624</v>
      </c>
      <c r="E218" s="1" t="n">
        <v>46233</v>
      </c>
      <c r="F218" t="inlineStr">
        <is>
          <t>KALMAR LÄN</t>
        </is>
      </c>
      <c r="G218" t="inlineStr">
        <is>
          <t>HÖGSBY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45307</v>
      </c>
      <c r="E219" s="1" t="n">
        <v>46233</v>
      </c>
      <c r="F219" t="inlineStr">
        <is>
          <t>KALMAR LÄN</t>
        </is>
      </c>
      <c r="G219" t="inlineStr">
        <is>
          <t>HÖGSBY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46233</v>
      </c>
      <c r="F220" t="inlineStr">
        <is>
          <t>KALMAR LÄN</t>
        </is>
      </c>
      <c r="G220" t="inlineStr">
        <is>
          <t>HÖGSBY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44496</v>
      </c>
      <c r="E221" s="1" t="n">
        <v>46233</v>
      </c>
      <c r="F221" t="inlineStr">
        <is>
          <t>KALMAR LÄN</t>
        </is>
      </c>
      <c r="G221" t="inlineStr">
        <is>
          <t>HÖGSBY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46233</v>
      </c>
      <c r="F222" t="inlineStr">
        <is>
          <t>KALMAR LÄN</t>
        </is>
      </c>
      <c r="G222" t="inlineStr">
        <is>
          <t>HÖGSBY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17953-2026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46233</v>
      </c>
      <c r="F223" t="inlineStr">
        <is>
          <t>KALMAR LÄN</t>
        </is>
      </c>
      <c r="G223" t="inlineStr">
        <is>
          <t>HÖGSBY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46233</v>
      </c>
      <c r="F224" t="inlineStr">
        <is>
          <t>KALMAR LÄN</t>
        </is>
      </c>
      <c r="G224" t="inlineStr">
        <is>
          <t>HÖGSBY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46233</v>
      </c>
      <c r="F225" t="inlineStr">
        <is>
          <t>KALMAR LÄN</t>
        </is>
      </c>
      <c r="G225" t="inlineStr">
        <is>
          <t>HÖGSBY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45058</v>
      </c>
      <c r="E226" s="1" t="n">
        <v>46233</v>
      </c>
      <c r="F226" t="inlineStr">
        <is>
          <t>KALMAR LÄN</t>
        </is>
      </c>
      <c r="G226" t="inlineStr">
        <is>
          <t>HÖGSBY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73709-2021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44552</v>
      </c>
      <c r="E227" s="1" t="n">
        <v>46233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45393</v>
      </c>
      <c r="E228" s="1" t="n">
        <v>46233</v>
      </c>
      <c r="F228" t="inlineStr">
        <is>
          <t>KALMAR LÄN</t>
        </is>
      </c>
      <c r="G228" t="inlineStr">
        <is>
          <t>HÖGSBY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45546</v>
      </c>
      <c r="E229" s="1" t="n">
        <v>46233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45348</v>
      </c>
      <c r="E230" s="1" t="n">
        <v>46233</v>
      </c>
      <c r="F230" t="inlineStr">
        <is>
          <t>KALMAR LÄN</t>
        </is>
      </c>
      <c r="G230" t="inlineStr">
        <is>
          <t>HÖGSBY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44972</v>
      </c>
      <c r="E231" s="1" t="n">
        <v>46233</v>
      </c>
      <c r="F231" t="inlineStr">
        <is>
          <t>KALMAR LÄN</t>
        </is>
      </c>
      <c r="G231" t="inlineStr">
        <is>
          <t>HÖGSBY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19484-2026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46233</v>
      </c>
      <c r="F232" t="inlineStr">
        <is>
          <t>KALMAR LÄN</t>
        </is>
      </c>
      <c r="G232" t="inlineStr">
        <is>
          <t>HÖGSBY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17864-2025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45758</v>
      </c>
      <c r="E233" s="1" t="n">
        <v>46233</v>
      </c>
      <c r="F233" t="inlineStr">
        <is>
          <t>KALMAR LÄN</t>
        </is>
      </c>
      <c r="G233" t="inlineStr">
        <is>
          <t>HÖGSBY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46233</v>
      </c>
      <c r="F234" t="inlineStr">
        <is>
          <t>KALMAR LÄN</t>
        </is>
      </c>
      <c r="G234" t="inlineStr">
        <is>
          <t>HÖGSBY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45360</v>
      </c>
      <c r="E235" s="1" t="n">
        <v>46233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46233</v>
      </c>
      <c r="F236" t="inlineStr">
        <is>
          <t>KALMAR LÄN</t>
        </is>
      </c>
      <c r="G236" t="inlineStr">
        <is>
          <t>HÖGSBY</t>
        </is>
      </c>
      <c r="H236" t="inlineStr">
        <is>
          <t>Kommuner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46233</v>
      </c>
      <c r="F237" t="inlineStr">
        <is>
          <t>KALMAR LÄN</t>
        </is>
      </c>
      <c r="G237" t="inlineStr">
        <is>
          <t>HÖGSBY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46233</v>
      </c>
      <c r="F238" t="inlineStr">
        <is>
          <t>KALMAR LÄN</t>
        </is>
      </c>
      <c r="G238" t="inlineStr">
        <is>
          <t>HÖGSBY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46233</v>
      </c>
      <c r="F239" t="inlineStr">
        <is>
          <t>KALMAR LÄN</t>
        </is>
      </c>
      <c r="G239" t="inlineStr">
        <is>
          <t>HÖGSBY</t>
        </is>
      </c>
      <c r="H239" t="inlineStr">
        <is>
          <t>Kommuner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45175</v>
      </c>
      <c r="E240" s="1" t="n">
        <v>46233</v>
      </c>
      <c r="F240" t="inlineStr">
        <is>
          <t>KALMAR LÄN</t>
        </is>
      </c>
      <c r="G240" t="inlineStr">
        <is>
          <t>HÖGSBY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46233</v>
      </c>
      <c r="F241" t="inlineStr">
        <is>
          <t>KALMAR LÄN</t>
        </is>
      </c>
      <c r="G241" t="inlineStr">
        <is>
          <t>HÖGSBY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45793</v>
      </c>
      <c r="E242" s="1" t="n">
        <v>46233</v>
      </c>
      <c r="F242" t="inlineStr">
        <is>
          <t>KALMAR LÄN</t>
        </is>
      </c>
      <c r="G242" t="inlineStr">
        <is>
          <t>HÖGSBY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46233</v>
      </c>
      <c r="F243" t="inlineStr">
        <is>
          <t>KALMAR LÄN</t>
        </is>
      </c>
      <c r="G243" t="inlineStr">
        <is>
          <t>HÖGSBY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45804</v>
      </c>
      <c r="E244" s="1" t="n">
        <v>46233</v>
      </c>
      <c r="F244" t="inlineStr">
        <is>
          <t>KALMAR LÄN</t>
        </is>
      </c>
      <c r="G244" t="inlineStr">
        <is>
          <t>HÖGSBY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46233</v>
      </c>
      <c r="F245" t="inlineStr">
        <is>
          <t>KALMAR LÄN</t>
        </is>
      </c>
      <c r="G245" t="inlineStr">
        <is>
          <t>HÖGSBY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46233</v>
      </c>
      <c r="F246" t="inlineStr">
        <is>
          <t>KALMAR LÄN</t>
        </is>
      </c>
      <c r="G246" t="inlineStr">
        <is>
          <t>HÖGSBY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46233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44987</v>
      </c>
      <c r="E248" s="1" t="n">
        <v>46233</v>
      </c>
      <c r="F248" t="inlineStr">
        <is>
          <t>KALMAR LÄN</t>
        </is>
      </c>
      <c r="G248" t="inlineStr">
        <is>
          <t>HÖGSBY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39237-2021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44413</v>
      </c>
      <c r="E249" s="1" t="n">
        <v>46233</v>
      </c>
      <c r="F249" t="inlineStr">
        <is>
          <t>KALMAR LÄN</t>
        </is>
      </c>
      <c r="G249" t="inlineStr">
        <is>
          <t>HÖGSBY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44993</v>
      </c>
      <c r="E250" s="1" t="n">
        <v>46233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37497-2022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44809</v>
      </c>
      <c r="E251" s="1" t="n">
        <v>46233</v>
      </c>
      <c r="F251" t="inlineStr">
        <is>
          <t>KALMAR LÄN</t>
        </is>
      </c>
      <c r="G251" t="inlineStr">
        <is>
          <t>HÖGSBY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46233</v>
      </c>
      <c r="F252" t="inlineStr">
        <is>
          <t>KALMAR LÄN</t>
        </is>
      </c>
      <c r="G252" t="inlineStr">
        <is>
          <t>HÖGSBY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46233</v>
      </c>
      <c r="F253" t="inlineStr">
        <is>
          <t>KALMAR LÄN</t>
        </is>
      </c>
      <c r="G253" t="inlineStr">
        <is>
          <t>HÖGSBY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46233</v>
      </c>
      <c r="F254" t="inlineStr">
        <is>
          <t>KALMAR LÄN</t>
        </is>
      </c>
      <c r="G254" t="inlineStr">
        <is>
          <t>HÖGSBY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7680-2024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45348</v>
      </c>
      <c r="E255" s="1" t="n">
        <v>46233</v>
      </c>
      <c r="F255" t="inlineStr">
        <is>
          <t>KALMAR LÄN</t>
        </is>
      </c>
      <c r="G255" t="inlineStr">
        <is>
          <t>HÖGSBY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46233</v>
      </c>
      <c r="F256" t="inlineStr">
        <is>
          <t>KALMAR LÄN</t>
        </is>
      </c>
      <c r="G256" t="inlineStr">
        <is>
          <t>HÖGSBY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46233</v>
      </c>
      <c r="F257" t="inlineStr">
        <is>
          <t>KALMAR LÄN</t>
        </is>
      </c>
      <c r="G257" t="inlineStr">
        <is>
          <t>HÖGSBY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46233</v>
      </c>
      <c r="F258" t="inlineStr">
        <is>
          <t>KALMAR LÄN</t>
        </is>
      </c>
      <c r="G258" t="inlineStr">
        <is>
          <t>HÖGSBY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7325-2025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45702</v>
      </c>
      <c r="E259" s="1" t="n">
        <v>46233</v>
      </c>
      <c r="F259" t="inlineStr">
        <is>
          <t>KALMAR LÄN</t>
        </is>
      </c>
      <c r="G259" t="inlineStr">
        <is>
          <t>HÖGSBY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44625</v>
      </c>
      <c r="E260" s="1" t="n">
        <v>46233</v>
      </c>
      <c r="F260" t="inlineStr">
        <is>
          <t>KALMAR LÄN</t>
        </is>
      </c>
      <c r="G260" t="inlineStr">
        <is>
          <t>HÖGSBY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44625</v>
      </c>
      <c r="E261" s="1" t="n">
        <v>46233</v>
      </c>
      <c r="F261" t="inlineStr">
        <is>
          <t>KALMAR LÄN</t>
        </is>
      </c>
      <c r="G261" t="inlineStr">
        <is>
          <t>HÖGSBY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46013</v>
      </c>
      <c r="E262" s="1" t="n">
        <v>46233</v>
      </c>
      <c r="F262" t="inlineStr">
        <is>
          <t>KALMAR LÄN</t>
        </is>
      </c>
      <c r="G262" t="inlineStr">
        <is>
          <t>HÖGSBY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46233</v>
      </c>
      <c r="F263" t="inlineStr">
        <is>
          <t>KALMAR LÄN</t>
        </is>
      </c>
      <c r="G263" t="inlineStr">
        <is>
          <t>HÖGSBY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46233</v>
      </c>
      <c r="F264" t="inlineStr">
        <is>
          <t>KALMAR LÄN</t>
        </is>
      </c>
      <c r="G264" t="inlineStr">
        <is>
          <t>HÖGSBY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47503-2023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45203</v>
      </c>
      <c r="E265" s="1" t="n">
        <v>46233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46233</v>
      </c>
      <c r="F266" t="inlineStr">
        <is>
          <t>KALMAR LÄN</t>
        </is>
      </c>
      <c r="G266" t="inlineStr">
        <is>
          <t>HÖGSBY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40990-2023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46233</v>
      </c>
      <c r="F267" t="inlineStr">
        <is>
          <t>KALMAR LÄN</t>
        </is>
      </c>
      <c r="G267" t="inlineStr">
        <is>
          <t>HÖGSBY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46233</v>
      </c>
      <c r="F268" t="inlineStr">
        <is>
          <t>KALMAR LÄN</t>
        </is>
      </c>
      <c r="G268" t="inlineStr">
        <is>
          <t>HÖGSBY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46233</v>
      </c>
      <c r="F269" t="inlineStr">
        <is>
          <t>KALMAR LÄN</t>
        </is>
      </c>
      <c r="G269" t="inlineStr">
        <is>
          <t>HÖGSBY</t>
        </is>
      </c>
      <c r="H269" t="inlineStr">
        <is>
          <t>Kommuner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38797-2024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45547</v>
      </c>
      <c r="E270" s="1" t="n">
        <v>46233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59581-2024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45638</v>
      </c>
      <c r="E271" s="1" t="n">
        <v>46233</v>
      </c>
      <c r="F271" t="inlineStr">
        <is>
          <t>KALMAR LÄN</t>
        </is>
      </c>
      <c r="G271" t="inlineStr">
        <is>
          <t>HÖGSBY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46233</v>
      </c>
      <c r="F272" t="inlineStr">
        <is>
          <t>KALMAR LÄN</t>
        </is>
      </c>
      <c r="G272" t="inlineStr">
        <is>
          <t>HÖGSBY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45090</v>
      </c>
      <c r="E273" s="1" t="n">
        <v>46233</v>
      </c>
      <c r="F273" t="inlineStr">
        <is>
          <t>KALMAR LÄN</t>
        </is>
      </c>
      <c r="G273" t="inlineStr">
        <is>
          <t>HÖGSBY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45160</v>
      </c>
      <c r="E274" s="1" t="n">
        <v>46233</v>
      </c>
      <c r="F274" t="inlineStr">
        <is>
          <t>KALMAR LÄN</t>
        </is>
      </c>
      <c r="G274" t="inlineStr">
        <is>
          <t>HÖGSBY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17185-2022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44677</v>
      </c>
      <c r="E275" s="1" t="n">
        <v>46233</v>
      </c>
      <c r="F275" t="inlineStr">
        <is>
          <t>KALMAR LÄN</t>
        </is>
      </c>
      <c r="G275" t="inlineStr">
        <is>
          <t>HÖGSBY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45190</v>
      </c>
      <c r="E276" s="1" t="n">
        <v>46233</v>
      </c>
      <c r="F276" t="inlineStr">
        <is>
          <t>KALMAR LÄN</t>
        </is>
      </c>
      <c r="G276" t="inlineStr">
        <is>
          <t>HÖGSBY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46233</v>
      </c>
      <c r="F277" t="inlineStr">
        <is>
          <t>KALMAR LÄN</t>
        </is>
      </c>
      <c r="G277" t="inlineStr">
        <is>
          <t>HÖGSBY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46233</v>
      </c>
      <c r="F278" t="inlineStr">
        <is>
          <t>KALMAR LÄN</t>
        </is>
      </c>
      <c r="G278" t="inlineStr">
        <is>
          <t>HÖGSBY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46150</v>
      </c>
      <c r="E279" s="1" t="n">
        <v>46233</v>
      </c>
      <c r="F279" t="inlineStr">
        <is>
          <t>KALMAR LÄN</t>
        </is>
      </c>
      <c r="G279" t="inlineStr">
        <is>
          <t>HÖGSBY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46191</v>
      </c>
      <c r="E280" s="1" t="n">
        <v>46233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45093</v>
      </c>
      <c r="E281" s="1" t="n">
        <v>46233</v>
      </c>
      <c r="F281" t="inlineStr">
        <is>
          <t>KALMAR LÄN</t>
        </is>
      </c>
      <c r="G281" t="inlineStr">
        <is>
          <t>HÖGSBY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44882</v>
      </c>
      <c r="E282" s="1" t="n">
        <v>46233</v>
      </c>
      <c r="F282" t="inlineStr">
        <is>
          <t>KALMAR LÄN</t>
        </is>
      </c>
      <c r="G282" t="inlineStr">
        <is>
          <t>HÖGSBY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46233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46233</v>
      </c>
      <c r="F284" t="inlineStr">
        <is>
          <t>KALMAR LÄN</t>
        </is>
      </c>
      <c r="G284" t="inlineStr">
        <is>
          <t>HÖGSBY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63379-2023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45274</v>
      </c>
      <c r="E285" s="1" t="n">
        <v>46233</v>
      </c>
      <c r="F285" t="inlineStr">
        <is>
          <t>KALMAR LÄN</t>
        </is>
      </c>
      <c r="G285" t="inlineStr">
        <is>
          <t>HÖGSBY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46233</v>
      </c>
      <c r="F286" t="inlineStr">
        <is>
          <t>KALMAR LÄN</t>
        </is>
      </c>
      <c r="G286" t="inlineStr">
        <is>
          <t>HÖGSBY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44760</v>
      </c>
      <c r="E287" s="1" t="n">
        <v>46233</v>
      </c>
      <c r="F287" t="inlineStr">
        <is>
          <t>KALMAR LÄN</t>
        </is>
      </c>
      <c r="G287" t="inlineStr">
        <is>
          <t>HÖGSBY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28160-2026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46233</v>
      </c>
      <c r="F288" t="inlineStr">
        <is>
          <t>KALMAR LÄN</t>
        </is>
      </c>
      <c r="G288" t="inlineStr">
        <is>
          <t>HÖGSBY</t>
        </is>
      </c>
      <c r="H288" t="inlineStr">
        <is>
          <t>Kommuner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28265-2026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46233</v>
      </c>
      <c r="F289" t="inlineStr">
        <is>
          <t>KALMAR LÄN</t>
        </is>
      </c>
      <c r="G289" t="inlineStr">
        <is>
          <t>HÖGSBY</t>
        </is>
      </c>
      <c r="H289" t="inlineStr">
        <is>
          <t>Kommuner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45259</v>
      </c>
      <c r="E290" s="1" t="n">
        <v>46233</v>
      </c>
      <c r="F290" t="inlineStr">
        <is>
          <t>KALMAR LÄN</t>
        </is>
      </c>
      <c r="G290" t="inlineStr">
        <is>
          <t>HÖGSBY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10405-2025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45720</v>
      </c>
      <c r="E291" s="1" t="n">
        <v>46233</v>
      </c>
      <c r="F291" t="inlineStr">
        <is>
          <t>KALMAR LÄN</t>
        </is>
      </c>
      <c r="G291" t="inlineStr">
        <is>
          <t>HÖGSBY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46198</v>
      </c>
      <c r="E292" s="1" t="n">
        <v>46233</v>
      </c>
      <c r="F292" t="inlineStr">
        <is>
          <t>KALMAR LÄN</t>
        </is>
      </c>
      <c r="G292" t="inlineStr">
        <is>
          <t>HÖGSBY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46198</v>
      </c>
      <c r="E293" s="1" t="n">
        <v>46233</v>
      </c>
      <c r="F293" t="inlineStr">
        <is>
          <t>KALMAR LÄN</t>
        </is>
      </c>
      <c r="G293" t="inlineStr">
        <is>
          <t>HÖGSBY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46233</v>
      </c>
      <c r="F294" t="inlineStr">
        <is>
          <t>KALMAR LÄN</t>
        </is>
      </c>
      <c r="G294" t="inlineStr">
        <is>
          <t>HÖGSBY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46233</v>
      </c>
      <c r="F295" t="inlineStr">
        <is>
          <t>KALMAR LÄN</t>
        </is>
      </c>
      <c r="G295" t="inlineStr">
        <is>
          <t>HÖGSBY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46233</v>
      </c>
      <c r="F296" t="inlineStr">
        <is>
          <t>KALMAR LÄN</t>
        </is>
      </c>
      <c r="G296" t="inlineStr">
        <is>
          <t>HÖGSBY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28691-2026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46198</v>
      </c>
      <c r="E297" s="1" t="n">
        <v>46233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28634-2026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46198</v>
      </c>
      <c r="E298" s="1" t="n">
        <v>46233</v>
      </c>
      <c r="F298" t="inlineStr">
        <is>
          <t>KALMAR LÄN</t>
        </is>
      </c>
      <c r="G298" t="inlineStr">
        <is>
          <t>HÖGSBY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28692-2026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46198</v>
      </c>
      <c r="E299" s="1" t="n">
        <v>46233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28697-2026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46233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46233</v>
      </c>
      <c r="F301" t="inlineStr">
        <is>
          <t>KALMAR LÄN</t>
        </is>
      </c>
      <c r="G301" t="inlineStr">
        <is>
          <t>HÖGSBY</t>
        </is>
      </c>
      <c r="H301" t="inlineStr">
        <is>
          <t>Kyrkan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28702-2026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46198</v>
      </c>
      <c r="E302" s="1" t="n">
        <v>46233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28713-2026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46233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22562-2026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46155</v>
      </c>
      <c r="E304" s="1" t="n">
        <v>46233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22564-2026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46155</v>
      </c>
      <c r="E305" s="1" t="n">
        <v>46233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46199</v>
      </c>
      <c r="E306" s="1" t="n">
        <v>46233</v>
      </c>
      <c r="F306" t="inlineStr">
        <is>
          <t>KALMAR LÄN</t>
        </is>
      </c>
      <c r="G306" t="inlineStr">
        <is>
          <t>HÖGSBY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46157</v>
      </c>
      <c r="E307" s="1" t="n">
        <v>46233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1582-2024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45306</v>
      </c>
      <c r="E308" s="1" t="n">
        <v>46233</v>
      </c>
      <c r="F308" t="inlineStr">
        <is>
          <t>KALMAR LÄN</t>
        </is>
      </c>
      <c r="G308" t="inlineStr">
        <is>
          <t>HÖGSBY</t>
        </is>
      </c>
      <c r="H308" t="inlineStr">
        <is>
          <t>Övriga Aktiebolag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46233</v>
      </c>
      <c r="F309" t="inlineStr">
        <is>
          <t>KALMAR LÄN</t>
        </is>
      </c>
      <c r="G309" t="inlineStr">
        <is>
          <t>HÖGSBY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46157</v>
      </c>
      <c r="E310" s="1" t="n">
        <v>46233</v>
      </c>
      <c r="F310" t="inlineStr">
        <is>
          <t>KALMAR LÄN</t>
        </is>
      </c>
      <c r="G310" t="inlineStr">
        <is>
          <t>HÖGSBY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29206-2026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46202</v>
      </c>
      <c r="E311" s="1" t="n">
        <v>46233</v>
      </c>
      <c r="F311" t="inlineStr">
        <is>
          <t>KALMAR LÄN</t>
        </is>
      </c>
      <c r="G311" t="inlineStr">
        <is>
          <t>HÖGSBY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46199</v>
      </c>
      <c r="E312" s="1" t="n">
        <v>46233</v>
      </c>
      <c r="F312" t="inlineStr">
        <is>
          <t>KALMAR LÄN</t>
        </is>
      </c>
      <c r="G312" t="inlineStr">
        <is>
          <t>HÖGSBY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23209-2026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46233</v>
      </c>
      <c r="F313" t="inlineStr">
        <is>
          <t>KALMAR LÄN</t>
        </is>
      </c>
      <c r="G313" t="inlineStr">
        <is>
          <t>HÖGSBY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74478-2021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44559</v>
      </c>
      <c r="E314" s="1" t="n">
        <v>46233</v>
      </c>
      <c r="F314" t="inlineStr">
        <is>
          <t>KALMAR LÄN</t>
        </is>
      </c>
      <c r="G314" t="inlineStr">
        <is>
          <t>HÖGSBY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46161</v>
      </c>
      <c r="E315" s="1" t="n">
        <v>46233</v>
      </c>
      <c r="F315" t="inlineStr">
        <is>
          <t>KALMAR LÄN</t>
        </is>
      </c>
      <c r="G315" t="inlineStr">
        <is>
          <t>HÖGSBY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56705-2023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46233</v>
      </c>
      <c r="F316" t="inlineStr">
        <is>
          <t>KALMAR LÄN</t>
        </is>
      </c>
      <c r="G316" t="inlineStr">
        <is>
          <t>HÖGSBY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38824-2024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45547</v>
      </c>
      <c r="E317" s="1" t="n">
        <v>46233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46233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12.7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46233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10.7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46233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46233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45329</v>
      </c>
      <c r="E322" s="1" t="n">
        <v>46233</v>
      </c>
      <c r="F322" t="inlineStr">
        <is>
          <t>KALMAR LÄN</t>
        </is>
      </c>
      <c r="G322" t="inlineStr">
        <is>
          <t>HÖGSBY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46233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46233</v>
      </c>
      <c r="F324" t="inlineStr">
        <is>
          <t>KALMAR LÄN</t>
        </is>
      </c>
      <c r="G324" t="inlineStr">
        <is>
          <t>HÖGSBY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23937-2026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46167</v>
      </c>
      <c r="E325" s="1" t="n">
        <v>46233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49486-2022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44861</v>
      </c>
      <c r="E326" s="1" t="n">
        <v>46233</v>
      </c>
      <c r="F326" t="inlineStr">
        <is>
          <t>KALMAR LÄN</t>
        </is>
      </c>
      <c r="G326" t="inlineStr">
        <is>
          <t>HÖGSBY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26927-2023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46233</v>
      </c>
      <c r="F327" t="inlineStr">
        <is>
          <t>KALMAR LÄN</t>
        </is>
      </c>
      <c r="G327" t="inlineStr">
        <is>
          <t>HÖGSBY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71635-2021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44543</v>
      </c>
      <c r="E328" s="1" t="n">
        <v>46233</v>
      </c>
      <c r="F328" t="inlineStr">
        <is>
          <t>KALMAR LÄN</t>
        </is>
      </c>
      <c r="G328" t="inlineStr">
        <is>
          <t>HÖGSBY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8613-2022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44613</v>
      </c>
      <c r="E329" s="1" t="n">
        <v>46233</v>
      </c>
      <c r="F329" t="inlineStr">
        <is>
          <t>KALMAR LÄN</t>
        </is>
      </c>
      <c r="G329" t="inlineStr">
        <is>
          <t>HÖGSBY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44953</v>
      </c>
      <c r="E330" s="1" t="n">
        <v>46233</v>
      </c>
      <c r="F330" t="inlineStr">
        <is>
          <t>KALMAR LÄN</t>
        </is>
      </c>
      <c r="G330" t="inlineStr">
        <is>
          <t>HÖGSBY</t>
        </is>
      </c>
      <c r="H330" t="inlineStr">
        <is>
          <t>Övriga Aktiebolag</t>
        </is>
      </c>
      <c r="I330" t="n">
        <v>15.2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44601</v>
      </c>
      <c r="E331" s="1" t="n">
        <v>46233</v>
      </c>
      <c r="F331" t="inlineStr">
        <is>
          <t>KALMAR LÄN</t>
        </is>
      </c>
      <c r="G331" t="inlineStr">
        <is>
          <t>HÖGSBY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46169</v>
      </c>
      <c r="E332" s="1" t="n">
        <v>46233</v>
      </c>
      <c r="F332" t="inlineStr">
        <is>
          <t>KALMAR LÄN</t>
        </is>
      </c>
      <c r="G332" t="inlineStr">
        <is>
          <t>HÖGSBY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45546</v>
      </c>
      <c r="E333" s="1" t="n">
        <v>46233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45447</v>
      </c>
      <c r="E334" s="1" t="n">
        <v>46233</v>
      </c>
      <c r="F334" t="inlineStr">
        <is>
          <t>KALMAR LÄN</t>
        </is>
      </c>
      <c r="G334" t="inlineStr">
        <is>
          <t>HÖGSBY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24601-2024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45460</v>
      </c>
      <c r="E335" s="1" t="n">
        <v>46233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51621-2023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46233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45015</v>
      </c>
      <c r="E337" s="1" t="n">
        <v>46233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58753-2022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46233</v>
      </c>
      <c r="F338" t="inlineStr">
        <is>
          <t>KALMAR LÄN</t>
        </is>
      </c>
      <c r="G338" t="inlineStr">
        <is>
          <t>HÖGSBY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46233</v>
      </c>
      <c r="F339" t="inlineStr">
        <is>
          <t>KALMAR LÄN</t>
        </is>
      </c>
      <c r="G339" t="inlineStr">
        <is>
          <t>HÖGSBY</t>
        </is>
      </c>
      <c r="H339" t="inlineStr">
        <is>
          <t>Kommuner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46233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45217</v>
      </c>
      <c r="E341" s="1" t="n">
        <v>46233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46233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24292-2022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44725</v>
      </c>
      <c r="E343" s="1" t="n">
        <v>46233</v>
      </c>
      <c r="F343" t="inlineStr">
        <is>
          <t>KALMAR LÄN</t>
        </is>
      </c>
      <c r="G343" t="inlineStr">
        <is>
          <t>HÖGSBY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46233</v>
      </c>
      <c r="F344" t="inlineStr">
        <is>
          <t>KALMAR LÄN</t>
        </is>
      </c>
      <c r="G344" t="inlineStr">
        <is>
          <t>HÖGSBY</t>
        </is>
      </c>
      <c r="H344" t="inlineStr">
        <is>
          <t>Övriga Aktiebolag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45183</v>
      </c>
      <c r="E345" s="1" t="n">
        <v>46233</v>
      </c>
      <c r="F345" t="inlineStr">
        <is>
          <t>KALMAR LÄN</t>
        </is>
      </c>
      <c r="G345" t="inlineStr">
        <is>
          <t>HÖGSBY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25352-2026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46176</v>
      </c>
      <c r="E346" s="1" t="n">
        <v>46233</v>
      </c>
      <c r="F346" t="inlineStr">
        <is>
          <t>KALMAR LÄN</t>
        </is>
      </c>
      <c r="G346" t="inlineStr">
        <is>
          <t>HÖGSBY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25355-2026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46176</v>
      </c>
      <c r="E347" s="1" t="n">
        <v>46233</v>
      </c>
      <c r="F347" t="inlineStr">
        <is>
          <t>KALMAR LÄN</t>
        </is>
      </c>
      <c r="G347" t="inlineStr">
        <is>
          <t>HÖGSBY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46233</v>
      </c>
      <c r="F348" t="inlineStr">
        <is>
          <t>KALMAR LÄN</t>
        </is>
      </c>
      <c r="G348" t="inlineStr">
        <is>
          <t>HÖGSBY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44950</v>
      </c>
      <c r="E349" s="1" t="n">
        <v>46233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45189</v>
      </c>
      <c r="E350" s="1" t="n">
        <v>46233</v>
      </c>
      <c r="F350" t="inlineStr">
        <is>
          <t>KALMAR LÄN</t>
        </is>
      </c>
      <c r="G350" t="inlineStr">
        <is>
          <t>HÖGSBY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46233</v>
      </c>
      <c r="F351" t="inlineStr">
        <is>
          <t>KALMAR LÄN</t>
        </is>
      </c>
      <c r="G351" t="inlineStr">
        <is>
          <t>HÖGSBY</t>
        </is>
      </c>
      <c r="I351" t="n">
        <v>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46233</v>
      </c>
      <c r="F352" t="inlineStr">
        <is>
          <t>KALMAR LÄN</t>
        </is>
      </c>
      <c r="G352" t="inlineStr">
        <is>
          <t>HÖGSBY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46233</v>
      </c>
      <c r="F353" t="inlineStr">
        <is>
          <t>KALMAR LÄN</t>
        </is>
      </c>
      <c r="G353" t="inlineStr">
        <is>
          <t>HÖGSBY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46233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26764-2026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46184</v>
      </c>
      <c r="E355" s="1" t="n">
        <v>46233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46185</v>
      </c>
      <c r="E356" s="1" t="n">
        <v>46233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26760-2026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46184</v>
      </c>
      <c r="E357" s="1" t="n">
        <v>46233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26752-2026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46184</v>
      </c>
      <c r="E358" s="1" t="n">
        <v>46233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46233</v>
      </c>
      <c r="F359" t="inlineStr">
        <is>
          <t>KALMAR LÄN</t>
        </is>
      </c>
      <c r="G359" t="inlineStr">
        <is>
          <t>HÖGSBY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46185</v>
      </c>
      <c r="E360" s="1" t="n">
        <v>46233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45012</v>
      </c>
      <c r="E361" s="1" t="n">
        <v>46233</v>
      </c>
      <c r="F361" t="inlineStr">
        <is>
          <t>KALMAR LÄN</t>
        </is>
      </c>
      <c r="G361" t="inlineStr">
        <is>
          <t>HÖGSBY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45126</v>
      </c>
      <c r="E362" s="1" t="n">
        <v>46233</v>
      </c>
      <c r="F362" t="inlineStr">
        <is>
          <t>KALMAR LÄN</t>
        </is>
      </c>
      <c r="G362" t="inlineStr">
        <is>
          <t>HÖGSBY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44981</v>
      </c>
      <c r="E363" s="1" t="n">
        <v>46233</v>
      </c>
      <c r="F363" t="inlineStr">
        <is>
          <t>KALMAR LÄN</t>
        </is>
      </c>
      <c r="G363" t="inlineStr">
        <is>
          <t>HÖGSBY</t>
        </is>
      </c>
      <c r="H363" t="inlineStr">
        <is>
          <t>Övriga Aktiebolag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47797-2024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46233</v>
      </c>
      <c r="F364" t="inlineStr">
        <is>
          <t>KALMAR LÄN</t>
        </is>
      </c>
      <c r="G364" t="inlineStr">
        <is>
          <t>HÖGSBY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46233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46233</v>
      </c>
      <c r="F366" t="inlineStr">
        <is>
          <t>KALMAR LÄN</t>
        </is>
      </c>
      <c r="G366" t="inlineStr">
        <is>
          <t>HÖGSBY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46233</v>
      </c>
      <c r="F367" t="inlineStr">
        <is>
          <t>KALMAR LÄN</t>
        </is>
      </c>
      <c r="G367" t="inlineStr">
        <is>
          <t>HÖGSBY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45001</v>
      </c>
      <c r="E368" s="1" t="n">
        <v>46233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45279</v>
      </c>
      <c r="E369" s="1" t="n">
        <v>46233</v>
      </c>
      <c r="F369" t="inlineStr">
        <is>
          <t>KALMAR LÄN</t>
        </is>
      </c>
      <c r="G369" t="inlineStr">
        <is>
          <t>HÖGSBY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46233</v>
      </c>
      <c r="F370" t="inlineStr">
        <is>
          <t>KALMAR LÄN</t>
        </is>
      </c>
      <c r="G370" t="inlineStr">
        <is>
          <t>HÖGSBY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44623</v>
      </c>
      <c r="E371" s="1" t="n">
        <v>46233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46233</v>
      </c>
      <c r="F372" t="inlineStr">
        <is>
          <t>KALMAR LÄN</t>
        </is>
      </c>
      <c r="G372" t="inlineStr">
        <is>
          <t>HÖGSBY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46233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46233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46233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46233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46233</v>
      </c>
      <c r="F377" t="inlineStr">
        <is>
          <t>KALMAR LÄN</t>
        </is>
      </c>
      <c r="G377" t="inlineStr">
        <is>
          <t>HÖGSBY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46233</v>
      </c>
      <c r="F378" t="inlineStr">
        <is>
          <t>KALMAR LÄN</t>
        </is>
      </c>
      <c r="G378" t="inlineStr">
        <is>
          <t>HÖGSBY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46233</v>
      </c>
      <c r="F379" t="inlineStr">
        <is>
          <t>KALMAR LÄN</t>
        </is>
      </c>
      <c r="G379" t="inlineStr">
        <is>
          <t>HÖGSBY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46233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46233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46233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46233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Z383">
        <f>HYPERLINK("https://klasma.github.io/Logging_0821/knärot/A 40137-2024 karta knärot.png", "A 40137-2024")</f>
        <v/>
      </c>
      <c r="AA383">
        <f>HYPERLINK("https://klasma.github.io/Logging_0821/klagomål/A 40137-2024 FSC-klagomål.docx", "A 40137-2024")</f>
        <v/>
      </c>
      <c r="AB383">
        <f>HYPERLINK("https://klasma.github.io/Logging_0821/klagomålsmail/A 40137-2024 FSC-klagomål mail.docx", "A 40137-2024")</f>
        <v/>
      </c>
      <c r="AC383">
        <f>HYPERLINK("https://klasma.github.io/Logging_0821/tillsyn/A 40137-2024 tillsynsbegäran.docx", "A 40137-2024")</f>
        <v/>
      </c>
      <c r="AD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24013-2025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45796</v>
      </c>
      <c r="E384" s="1" t="n">
        <v>46233</v>
      </c>
      <c r="F384" t="inlineStr">
        <is>
          <t>KALMAR LÄN</t>
        </is>
      </c>
      <c r="G384" t="inlineStr">
        <is>
          <t>HÖGSBY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46233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46233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46233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46233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46233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46233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46233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46233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46233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46233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46233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46233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46233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46233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46233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46233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46233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46233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46233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46233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46233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46233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46233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46233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2026-07-30T01:50:20Z</dcterms:created>
  <dcterms:modified xmlns:dcterms="http://purl.org/dc/terms/" xmlns:xsi="http://www.w3.org/2001/XMLSchema-instance" xsi:type="dcterms:W3CDTF">2026-07-30T01:50:21Z</dcterms:modified>
</cp:coreProperties>
</file>