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46291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46291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46291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46291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46291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46291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46291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46291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46291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46291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46291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46291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46291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46291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46291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46291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46291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46291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46291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46291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46291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46291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46291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46291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46291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46291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46291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46291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46291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46291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46291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46291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46291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46291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46291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46291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46291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46291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46291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46291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46291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46291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46291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38802-2024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45547</v>
      </c>
      <c r="E47" s="1" t="n">
        <v>46291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38802-2024 artfynd.xlsx", "A 38802-2024")</f>
        <v/>
      </c>
      <c r="X47">
        <f>HYPERLINK("https://klasma.github.io/Logging_0821/kartor/A 38802-2024 karta.png", "A 38802-2024")</f>
        <v/>
      </c>
      <c r="Y47">
        <f>HYPERLINK("https://klasma.github.io/Logging_0821/kartor_geotiff/A 38802-2024 georefererad karta.tif", "A 38802-2024")</f>
        <v/>
      </c>
      <c r="AA47">
        <f>HYPERLINK("https://klasma.github.io/Logging_0821/klagomål/A 38802-2024 FSC-klagomål.docx", "A 38802-2024")</f>
        <v/>
      </c>
      <c r="AB47">
        <f>HYPERLINK("https://klasma.github.io/Logging_0821/klagomålsmail/A 38802-2024 FSC-klagomål mail.docx", "A 38802-2024")</f>
        <v/>
      </c>
      <c r="AC47">
        <f>HYPERLINK("https://klasma.github.io/Logging_0821/tillsyn/A 38802-2024 tillsynsbegäran.docx", "A 38802-2024")</f>
        <v/>
      </c>
      <c r="AD47">
        <f>HYPERLINK("https://klasma.github.io/Logging_0821/tillsynsmail/A 38802-2024 tillsynsbegäran mail.docx", "A 38802-2024")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46291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46291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22757-2026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46291</v>
      </c>
      <c r="F50" t="inlineStr">
        <is>
          <t>KALMAR LÄN</t>
        </is>
      </c>
      <c r="G50" t="inlineStr">
        <is>
          <t>HÖGSBY</t>
        </is>
      </c>
      <c r="I50" t="n">
        <v>1.1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Blåsippa</t>
        </is>
      </c>
      <c r="W50">
        <f>HYPERLINK("https://klasma.github.io/Logging_0821/artfynd/A 22757-2026 artfynd.xlsx", "A 22757-2026")</f>
        <v/>
      </c>
      <c r="X50">
        <f>HYPERLINK("https://klasma.github.io/Logging_0821/kartor/A 22757-2026 karta.png", "A 22757-2026")</f>
        <v/>
      </c>
      <c r="Y50">
        <f>HYPERLINK("https://klasma.github.io/Logging_0821/kartor_geotiff/A 22757-2026 georefererad karta.tif", "A 22757-2026")</f>
        <v/>
      </c>
      <c r="AA50">
        <f>HYPERLINK("https://klasma.github.io/Logging_0821/klagomål/A 22757-2026 FSC-klagomål.docx", "A 22757-2026")</f>
        <v/>
      </c>
      <c r="AB50">
        <f>HYPERLINK("https://klasma.github.io/Logging_0821/klagomålsmail/A 22757-2026 FSC-klagomål mail.docx", "A 22757-2026")</f>
        <v/>
      </c>
      <c r="AC50">
        <f>HYPERLINK("https://klasma.github.io/Logging_0821/tillsyn/A 22757-2026 tillsynsbegäran.docx", "A 22757-2026")</f>
        <v/>
      </c>
      <c r="AD50">
        <f>HYPERLINK("https://klasma.github.io/Logging_0821/tillsynsmail/A 22757-2026 tillsynsbegäran mail.docx", "A 22757-2026")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46291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59407-2022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46291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1</v>
      </c>
      <c r="V52" s="2" t="inlineStr">
        <is>
          <t>Blåsippa</t>
        </is>
      </c>
      <c r="W52">
        <f>HYPERLINK("https://klasma.github.io/Logging_0821/artfynd/A 59407-2022 artfynd.xlsx", "A 59407-2022")</f>
        <v/>
      </c>
      <c r="X52">
        <f>HYPERLINK("https://klasma.github.io/Logging_0821/kartor/A 59407-2022 karta.png", "A 59407-2022")</f>
        <v/>
      </c>
      <c r="Y52">
        <f>HYPERLINK("https://klasma.github.io/Logging_0821/kartor_geotiff/A 59407-2022 georefererad karta.tif", "A 59407-2022")</f>
        <v/>
      </c>
      <c r="AA52">
        <f>HYPERLINK("https://klasma.github.io/Logging_0821/klagomål/A 59407-2022 FSC-klagomål.docx", "A 59407-2022")</f>
        <v/>
      </c>
      <c r="AB52">
        <f>HYPERLINK("https://klasma.github.io/Logging_0821/klagomålsmail/A 59407-2022 FSC-klagomål mail.docx", "A 59407-2022")</f>
        <v/>
      </c>
      <c r="AC52">
        <f>HYPERLINK("https://klasma.github.io/Logging_0821/tillsyn/A 59407-2022 tillsynsbegäran.docx", "A 59407-2022")</f>
        <v/>
      </c>
      <c r="AD52">
        <f>HYPERLINK("https://klasma.github.io/Logging_0821/tillsynsmail/A 59407-2022 tillsynsbegäran mail.docx", "A 59407-2022")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46291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46291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35075-2023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46291</v>
      </c>
      <c r="F55" t="inlineStr">
        <is>
          <t>KALMAR LÄN</t>
        </is>
      </c>
      <c r="G55" t="inlineStr">
        <is>
          <t>HÖGSBY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35075-2023 artfynd.xlsx", "A 35075-2023")</f>
        <v/>
      </c>
      <c r="X55">
        <f>HYPERLINK("https://klasma.github.io/Logging_0821/kartor/A 35075-2023 karta.png", "A 35075-2023")</f>
        <v/>
      </c>
      <c r="Y55">
        <f>HYPERLINK("https://klasma.github.io/Logging_0821/kartor_geotiff/A 35075-2023 georefererad karta.tif", "A 35075-2023")</f>
        <v/>
      </c>
      <c r="AA55">
        <f>HYPERLINK("https://klasma.github.io/Logging_0821/klagomål/A 35075-2023 FSC-klagomål.docx", "A 35075-2023")</f>
        <v/>
      </c>
      <c r="AB55">
        <f>HYPERLINK("https://klasma.github.io/Logging_0821/klagomålsmail/A 35075-2023 FSC-klagomål mail.docx", "A 35075-2023")</f>
        <v/>
      </c>
      <c r="AC55">
        <f>HYPERLINK("https://klasma.github.io/Logging_0821/tillsyn/A 35075-2023 tillsynsbegäran.docx", "A 35075-2023")</f>
        <v/>
      </c>
      <c r="AD55">
        <f>HYPERLINK("https://klasma.github.io/Logging_0821/tillsynsmail/A 35075-2023 tillsynsbegäran mail.docx", "A 35075-2023")</f>
        <v/>
      </c>
    </row>
    <row r="56" ht="15" customHeight="1">
      <c r="A56" t="inlineStr">
        <is>
          <t>A 1519-2022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46291</v>
      </c>
      <c r="F56" t="inlineStr">
        <is>
          <t>KALMAR LÄN</t>
        </is>
      </c>
      <c r="G56" t="inlineStr">
        <is>
          <t>HÖGSBY</t>
        </is>
      </c>
      <c r="I56" t="n">
        <v>2.6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HYPERLINK("https://klasma.github.io/Logging_0821/artfynd/A 1519-2022 artfynd.xlsx", "A 1519-2022")</f>
        <v/>
      </c>
      <c r="X56">
        <f>HYPERLINK("https://klasma.github.io/Logging_0821/kartor/A 1519-2022 karta.png", "A 1519-2022")</f>
        <v/>
      </c>
      <c r="Y56">
        <f>HYPERLINK("https://klasma.github.io/Logging_0821/kartor_geotiff/A 1519-2022 georefererad karta.tif", "A 1519-2022")</f>
        <v/>
      </c>
      <c r="AA56">
        <f>HYPERLINK("https://klasma.github.io/Logging_0821/klagomål/A 1519-2022 FSC-klagomål.docx", "A 1519-2022")</f>
        <v/>
      </c>
      <c r="AB56">
        <f>HYPERLINK("https://klasma.github.io/Logging_0821/klagomålsmail/A 1519-2022 FSC-klagomål mail.docx", "A 1519-2022")</f>
        <v/>
      </c>
      <c r="AC56">
        <f>HYPERLINK("https://klasma.github.io/Logging_0821/tillsyn/A 1519-2022 tillsynsbegäran.docx", "A 1519-2022")</f>
        <v/>
      </c>
      <c r="AD56">
        <f>HYPERLINK("https://klasma.github.io/Logging_0821/tillsynsmail/A 1519-2022 tillsynsbegäran mail.docx", "A 1519-2022")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46291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46291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A 33784-2026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46251</v>
      </c>
      <c r="E59" s="1" t="n">
        <v>46291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33784-2026 artfynd.xlsx", "A 33784-2026")</f>
        <v/>
      </c>
      <c r="X59">
        <f>HYPERLINK("https://klasma.github.io/Logging_0821/kartor/A 33784-2026 karta.png", "A 33784-2026")</f>
        <v/>
      </c>
      <c r="Y59">
        <f>HYPERLINK("https://klasma.github.io/Logging_0821/kartor_geotiff/A 33784-2026 georefererad karta.tif", "A 33784-2026")</f>
        <v/>
      </c>
      <c r="AA59">
        <f>HYPERLINK("https://klasma.github.io/Logging_0821/klagomål/A 33784-2026 FSC-klagomål.docx", "A 33784-2026")</f>
        <v/>
      </c>
      <c r="AB59">
        <f>HYPERLINK("https://klasma.github.io/Logging_0821/klagomålsmail/A 33784-2026 FSC-klagomål mail.docx", "A 33784-2026")</f>
        <v/>
      </c>
      <c r="AC59">
        <f>HYPERLINK("https://klasma.github.io/Logging_0821/tillsyn/A 33784-2026 tillsynsbegäran.docx", "A 33784-2026")</f>
        <v/>
      </c>
      <c r="AD59">
        <f>HYPERLINK("https://klasma.github.io/Logging_0821/tillsynsmail/A 33784-2026 tillsynsbegäran mail.docx", "A 33784-2026")</f>
        <v/>
      </c>
      <c r="AE59">
        <f>HYPERLINK("https://klasma.github.io/Logging_0821/fåglar/A 33784-2026 prioriterade fågelarter.docx", "A 33784-2026")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46291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35072-2023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46291</v>
      </c>
      <c r="F61" t="inlineStr">
        <is>
          <t>KALMAR LÄN</t>
        </is>
      </c>
      <c r="G61" t="inlineStr">
        <is>
          <t>HÖGSBY</t>
        </is>
      </c>
      <c r="I61" t="n">
        <v>1.3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HYPERLINK("https://klasma.github.io/Logging_0821/artfynd/A 35072-2023 artfynd.xlsx", "A 35072-2023")</f>
        <v/>
      </c>
      <c r="X61">
        <f>HYPERLINK("https://klasma.github.io/Logging_0821/kartor/A 35072-2023 karta.png", "A 35072-2023")</f>
        <v/>
      </c>
      <c r="Y61">
        <f>HYPERLINK("https://klasma.github.io/Logging_0821/kartor_geotiff/A 35072-2023 georefererad karta.tif", "A 35072-2023")</f>
        <v/>
      </c>
      <c r="AA61">
        <f>HYPERLINK("https://klasma.github.io/Logging_0821/klagomål/A 35072-2023 FSC-klagomål.docx", "A 35072-2023")</f>
        <v/>
      </c>
      <c r="AB61">
        <f>HYPERLINK("https://klasma.github.io/Logging_0821/klagomålsmail/A 35072-2023 FSC-klagomål mail.docx", "A 35072-2023")</f>
        <v/>
      </c>
      <c r="AC61">
        <f>HYPERLINK("https://klasma.github.io/Logging_0821/tillsyn/A 35072-2023 tillsynsbegäran.docx", "A 35072-2023")</f>
        <v/>
      </c>
      <c r="AD61">
        <f>HYPERLINK("https://klasma.github.io/Logging_0821/tillsynsmail/A 35072-2023 tillsynsbegäran mail.docx", "A 35072-2023")</f>
        <v/>
      </c>
    </row>
    <row r="62" ht="15" customHeight="1">
      <c r="A62" t="inlineStr">
        <is>
          <t>A 19519-2025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45770</v>
      </c>
      <c r="E62" s="1" t="n">
        <v>46291</v>
      </c>
      <c r="F62" t="inlineStr">
        <is>
          <t>KALMAR LÄN</t>
        </is>
      </c>
      <c r="G62" t="inlineStr">
        <is>
          <t>HÖGSBY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HYPERLINK("https://klasma.github.io/Logging_0821/artfynd/A 19519-2025 artfynd.xlsx", "A 19519-2025")</f>
        <v/>
      </c>
      <c r="X62">
        <f>HYPERLINK("https://klasma.github.io/Logging_0821/kartor/A 19519-2025 karta.png", "A 19519-2025")</f>
        <v/>
      </c>
      <c r="Y62">
        <f>HYPERLINK("https://klasma.github.io/Logging_0821/kartor_geotiff/A 19519-2025 georefererad karta.tif", "A 19519-2025")</f>
        <v/>
      </c>
      <c r="AA62">
        <f>HYPERLINK("https://klasma.github.io/Logging_0821/klagomål/A 19519-2025 FSC-klagomål.docx", "A 19519-2025")</f>
        <v/>
      </c>
      <c r="AB62">
        <f>HYPERLINK("https://klasma.github.io/Logging_0821/klagomålsmail/A 19519-2025 FSC-klagomål mail.docx", "A 19519-2025")</f>
        <v/>
      </c>
      <c r="AC62">
        <f>HYPERLINK("https://klasma.github.io/Logging_0821/tillsyn/A 19519-2025 tillsynsbegäran.docx", "A 19519-2025")</f>
        <v/>
      </c>
      <c r="AD62">
        <f>HYPERLINK("https://klasma.github.io/Logging_0821/tillsynsmail/A 19519-2025 tillsynsbegäran mail.docx", "A 19519-2025")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46291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59700-2023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45256</v>
      </c>
      <c r="E64" s="1" t="n">
        <v>46291</v>
      </c>
      <c r="F64" t="inlineStr">
        <is>
          <t>KALMAR LÄN</t>
        </is>
      </c>
      <c r="G64" t="inlineStr">
        <is>
          <t>HÖGSBY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59700-2023 artfynd.xlsx", "A 59700-2023")</f>
        <v/>
      </c>
      <c r="X64">
        <f>HYPERLINK("https://klasma.github.io/Logging_0821/kartor/A 59700-2023 karta.png", "A 59700-2023")</f>
        <v/>
      </c>
      <c r="Y64">
        <f>HYPERLINK("https://klasma.github.io/Logging_0821/kartor_geotiff/A 59700-2023 georefererad karta.tif", "A 59700-2023")</f>
        <v/>
      </c>
      <c r="AA64">
        <f>HYPERLINK("https://klasma.github.io/Logging_0821/klagomål/A 59700-2023 FSC-klagomål.docx", "A 59700-2023")</f>
        <v/>
      </c>
      <c r="AB64">
        <f>HYPERLINK("https://klasma.github.io/Logging_0821/klagomålsmail/A 59700-2023 FSC-klagomål mail.docx", "A 59700-2023")</f>
        <v/>
      </c>
      <c r="AC64">
        <f>HYPERLINK("https://klasma.github.io/Logging_0821/tillsyn/A 59700-2023 tillsynsbegäran.docx", "A 59700-2023")</f>
        <v/>
      </c>
      <c r="AD64">
        <f>HYPERLINK("https://klasma.github.io/Logging_0821/tillsynsmail/A 59700-2023 tillsynsbegäran mail.docx", "A 59700-2023")</f>
        <v/>
      </c>
      <c r="AE64">
        <f>HYPERLINK("https://klasma.github.io/Logging_0821/fåglar/A 59700-2023 prioriterade fågelarter.docx", "A 59700-2023")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46291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46291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352-2023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44958</v>
      </c>
      <c r="E67" s="1" t="n">
        <v>46291</v>
      </c>
      <c r="F67" t="inlineStr">
        <is>
          <t>KALMAR LÄN</t>
        </is>
      </c>
      <c r="G67" t="inlineStr">
        <is>
          <t>HÖGSBY</t>
        </is>
      </c>
      <c r="I67" t="n">
        <v>20.9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HYPERLINK("https://klasma.github.io/Logging_0821/artfynd/S 352-2023 artfynd.xlsx", "S 352-2023")</f>
        <v/>
      </c>
      <c r="X67">
        <f>HYPERLINK("https://klasma.github.io/Logging_0821/kartor/S 352-2023 karta.png", "S 352-2023")</f>
        <v/>
      </c>
      <c r="Y67">
        <f>HYPERLINK("https://klasma.github.io/Logging_0821/kartor_geotiff/S 352-2023 georefererad karta.tif", "S 352-2023")</f>
        <v/>
      </c>
      <c r="Z67">
        <f>HYPERLINK("https://klasma.github.io/Logging_0821/knärot/S 352-2023 karta knärot.png", "S 352-2023")</f>
        <v/>
      </c>
      <c r="AA67">
        <f>HYPERLINK("https://klasma.github.io/Logging_0821/klagomål/S 352-2023 FSC-klagomål.docx", "S 352-2023")</f>
        <v/>
      </c>
      <c r="AB67">
        <f>HYPERLINK("https://klasma.github.io/Logging_0821/klagomålsmail/S 352-2023 FSC-klagomål mail.docx", "S 352-2023")</f>
        <v/>
      </c>
      <c r="AC67">
        <f>HYPERLINK("https://klasma.github.io/Logging_0821/tillsyn/S 352-2023 tillsynsbegäran.docx", "S 352-2023")</f>
        <v/>
      </c>
      <c r="AD67">
        <f>HYPERLINK("https://klasma.github.io/Logging_0821/tillsynsmail/S 352-2023 tillsynsbegäran mail.docx", "S 352-2023")</f>
        <v/>
      </c>
      <c r="AE67">
        <f>HYPERLINK("https://klasma.github.io/Logging_0821/fåglar/S 352-2023 prioriterade fågelarter.docx", "S 352-2023")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46291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46291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46291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46291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46291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46291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46291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46291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46291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46291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46291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46291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46291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46291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46291</v>
      </c>
      <c r="F82" t="inlineStr">
        <is>
          <t>KALMAR LÄN</t>
        </is>
      </c>
      <c r="G82" t="inlineStr">
        <is>
          <t>HÖGSBY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46291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46291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46291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46291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46291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46291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46291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46291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46291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46291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46291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46291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46291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46291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46291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46291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46291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44634</v>
      </c>
      <c r="E100" s="1" t="n">
        <v>46291</v>
      </c>
      <c r="F100" t="inlineStr">
        <is>
          <t>KALMAR LÄN</t>
        </is>
      </c>
      <c r="G100" t="inlineStr">
        <is>
          <t>HÖGSBY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46291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46291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46291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46291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46291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46291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46291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45391</v>
      </c>
      <c r="E108" s="1" t="n">
        <v>46291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46291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46291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46291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46291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46291</v>
      </c>
      <c r="F113" t="inlineStr">
        <is>
          <t>KALMAR LÄN</t>
        </is>
      </c>
      <c r="G113" t="inlineStr">
        <is>
          <t>HÖGSBY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44886</v>
      </c>
      <c r="E114" s="1" t="n">
        <v>46291</v>
      </c>
      <c r="F114" t="inlineStr">
        <is>
          <t>KALMAR LÄN</t>
        </is>
      </c>
      <c r="G114" t="inlineStr">
        <is>
          <t>HÖGSBY</t>
        </is>
      </c>
      <c r="H114" t="inlineStr">
        <is>
          <t>Kyrkan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46291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46291</v>
      </c>
      <c r="F116" t="inlineStr">
        <is>
          <t>KALMAR LÄN</t>
        </is>
      </c>
      <c r="G116" t="inlineStr">
        <is>
          <t>HÖGSBY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46291</v>
      </c>
      <c r="F117" t="inlineStr">
        <is>
          <t>KALMAR LÄN</t>
        </is>
      </c>
      <c r="G117" t="inlineStr">
        <is>
          <t>HÖGSBY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46291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46291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46291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46291</v>
      </c>
      <c r="F121" t="inlineStr">
        <is>
          <t>KALMAR LÄN</t>
        </is>
      </c>
      <c r="G121" t="inlineStr">
        <is>
          <t>HÖGSBY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46291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57006-2024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46291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46058</v>
      </c>
      <c r="E124" s="1" t="n">
        <v>46291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7443-2026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46059</v>
      </c>
      <c r="E125" s="1" t="n">
        <v>46291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46291</v>
      </c>
      <c r="F126" t="inlineStr">
        <is>
          <t>KALMAR LÄN</t>
        </is>
      </c>
      <c r="G126" t="inlineStr">
        <is>
          <t>HÖGSBY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46291</v>
      </c>
      <c r="F127" t="inlineStr">
        <is>
          <t>KALMAR LÄN</t>
        </is>
      </c>
      <c r="G127" t="inlineStr">
        <is>
          <t>HÖGSBY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46291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46291</v>
      </c>
      <c r="F129" t="inlineStr">
        <is>
          <t>KALMAR LÄN</t>
        </is>
      </c>
      <c r="G129" t="inlineStr">
        <is>
          <t>HÖGSBY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46291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46291</v>
      </c>
      <c r="F131" t="inlineStr">
        <is>
          <t>KALMAR LÄN</t>
        </is>
      </c>
      <c r="G131" t="inlineStr">
        <is>
          <t>HÖGSBY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46291</v>
      </c>
      <c r="F132" t="inlineStr">
        <is>
          <t>KALMAR LÄN</t>
        </is>
      </c>
      <c r="G132" t="inlineStr">
        <is>
          <t>HÖGSBY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46291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45743</v>
      </c>
      <c r="E134" s="1" t="n">
        <v>46291</v>
      </c>
      <c r="F134" t="inlineStr">
        <is>
          <t>KALMAR LÄN</t>
        </is>
      </c>
      <c r="G134" t="inlineStr">
        <is>
          <t>HÖGSBY</t>
        </is>
      </c>
      <c r="H134" t="inlineStr">
        <is>
          <t>Kommuner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46291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46291</v>
      </c>
      <c r="F136" t="inlineStr">
        <is>
          <t>KALMAR LÄN</t>
        </is>
      </c>
      <c r="G136" t="inlineStr">
        <is>
          <t>HÖGSBY</t>
        </is>
      </c>
      <c r="I136" t="n">
        <v>12.8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46107</v>
      </c>
      <c r="E137" s="1" t="n">
        <v>46291</v>
      </c>
      <c r="F137" t="inlineStr">
        <is>
          <t>KALMAR LÄN</t>
        </is>
      </c>
      <c r="G137" t="inlineStr">
        <is>
          <t>HÖGSBY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46291</v>
      </c>
      <c r="F138" t="inlineStr">
        <is>
          <t>KALMAR LÄN</t>
        </is>
      </c>
      <c r="G138" t="inlineStr">
        <is>
          <t>HÖGSBY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46291</v>
      </c>
      <c r="F139" t="inlineStr">
        <is>
          <t>KALMAR LÄN</t>
        </is>
      </c>
      <c r="G139" t="inlineStr">
        <is>
          <t>HÖGSBY</t>
        </is>
      </c>
      <c r="H139" t="inlineStr">
        <is>
          <t>Kyrkan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46291</v>
      </c>
      <c r="F140" t="inlineStr">
        <is>
          <t>KALMAR LÄN</t>
        </is>
      </c>
      <c r="G140" t="inlineStr">
        <is>
          <t>HÖGSBY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46291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46291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46291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65130-2023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45288</v>
      </c>
      <c r="E144" s="1" t="n">
        <v>46291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46291</v>
      </c>
      <c r="F145" t="inlineStr">
        <is>
          <t>KALMAR LÄN</t>
        </is>
      </c>
      <c r="G145" t="inlineStr">
        <is>
          <t>HÖGSBY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46291</v>
      </c>
      <c r="F146" t="inlineStr">
        <is>
          <t>KALMAR LÄN</t>
        </is>
      </c>
      <c r="G146" t="inlineStr">
        <is>
          <t>HÖGSBY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46291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57000-2024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45626</v>
      </c>
      <c r="E148" s="1" t="n">
        <v>46291</v>
      </c>
      <c r="F148" t="inlineStr">
        <is>
          <t>KALMAR LÄN</t>
        </is>
      </c>
      <c r="G148" t="inlineStr">
        <is>
          <t>HÖGSBY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46114</v>
      </c>
      <c r="E149" s="1" t="n">
        <v>46291</v>
      </c>
      <c r="F149" t="inlineStr">
        <is>
          <t>KALMAR LÄN</t>
        </is>
      </c>
      <c r="G149" t="inlineStr">
        <is>
          <t>HÖGSBY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46291</v>
      </c>
      <c r="F150" t="inlineStr">
        <is>
          <t>KALMAR LÄN</t>
        </is>
      </c>
      <c r="G150" t="inlineStr">
        <is>
          <t>HÖGSBY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44496</v>
      </c>
      <c r="E151" s="1" t="n">
        <v>46291</v>
      </c>
      <c r="F151" t="inlineStr">
        <is>
          <t>KALMAR LÄN</t>
        </is>
      </c>
      <c r="G151" t="inlineStr">
        <is>
          <t>HÖGSBY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46122</v>
      </c>
      <c r="E152" s="1" t="n">
        <v>46291</v>
      </c>
      <c r="F152" t="inlineStr">
        <is>
          <t>KALMAR LÄN</t>
        </is>
      </c>
      <c r="G152" t="inlineStr">
        <is>
          <t>HÖGSBY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46291</v>
      </c>
      <c r="F153" t="inlineStr">
        <is>
          <t>KALMAR LÄN</t>
        </is>
      </c>
      <c r="G153" t="inlineStr">
        <is>
          <t>HÖGSBY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46291</v>
      </c>
      <c r="F154" t="inlineStr">
        <is>
          <t>KALMAR LÄN</t>
        </is>
      </c>
      <c r="G154" t="inlineStr">
        <is>
          <t>HÖGSBY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46291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32049-2023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45119</v>
      </c>
      <c r="E156" s="1" t="n">
        <v>46291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46291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46291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46291</v>
      </c>
      <c r="F159" t="inlineStr">
        <is>
          <t>KALMAR LÄN</t>
        </is>
      </c>
      <c r="G159" t="inlineStr">
        <is>
          <t>HÖGSBY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46291</v>
      </c>
      <c r="F160" t="inlineStr">
        <is>
          <t>KALMAR LÄN</t>
        </is>
      </c>
      <c r="G160" t="inlineStr">
        <is>
          <t>HÖGSBY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46291</v>
      </c>
      <c r="F161" t="inlineStr">
        <is>
          <t>KALMAR LÄN</t>
        </is>
      </c>
      <c r="G161" t="inlineStr">
        <is>
          <t>HÖGSBY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46291</v>
      </c>
      <c r="F162" t="inlineStr">
        <is>
          <t>KALMAR LÄN</t>
        </is>
      </c>
      <c r="G162" t="inlineStr">
        <is>
          <t>HÖGSBY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46291</v>
      </c>
      <c r="F163" t="inlineStr">
        <is>
          <t>KALMAR LÄN</t>
        </is>
      </c>
      <c r="G163" t="inlineStr">
        <is>
          <t>HÖGSBY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46291</v>
      </c>
      <c r="F164" t="inlineStr">
        <is>
          <t>KALMAR LÄN</t>
        </is>
      </c>
      <c r="G164" t="inlineStr">
        <is>
          <t>HÖGSBY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46291</v>
      </c>
      <c r="F165" t="inlineStr">
        <is>
          <t>KALMAR LÄN</t>
        </is>
      </c>
      <c r="G165" t="inlineStr">
        <is>
          <t>HÖGSBY</t>
        </is>
      </c>
      <c r="H165" t="inlineStr">
        <is>
          <t>Kommuner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46291</v>
      </c>
      <c r="F166" t="inlineStr">
        <is>
          <t>KALMAR LÄN</t>
        </is>
      </c>
      <c r="G166" t="inlineStr">
        <is>
          <t>HÖGSBY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46291</v>
      </c>
      <c r="F167" t="inlineStr">
        <is>
          <t>KALMAR LÄN</t>
        </is>
      </c>
      <c r="G167" t="inlineStr">
        <is>
          <t>HÖGSBY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46291</v>
      </c>
      <c r="F168" t="inlineStr">
        <is>
          <t>KALMAR LÄN</t>
        </is>
      </c>
      <c r="G168" t="inlineStr">
        <is>
          <t>HÖGSBY</t>
        </is>
      </c>
      <c r="H168" t="inlineStr">
        <is>
          <t>Kommuner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46291</v>
      </c>
      <c r="F169" t="inlineStr">
        <is>
          <t>KALMAR LÄN</t>
        </is>
      </c>
      <c r="G169" t="inlineStr">
        <is>
          <t>HÖGSBY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46291</v>
      </c>
      <c r="F170" t="inlineStr">
        <is>
          <t>KALMAR LÄN</t>
        </is>
      </c>
      <c r="G170" t="inlineStr">
        <is>
          <t>HÖGSBY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46291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46291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46291</v>
      </c>
      <c r="F173" t="inlineStr">
        <is>
          <t>KALMAR LÄN</t>
        </is>
      </c>
      <c r="G173" t="inlineStr">
        <is>
          <t>HÖGSBY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46291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46291</v>
      </c>
      <c r="F175" t="inlineStr">
        <is>
          <t>KALMAR LÄN</t>
        </is>
      </c>
      <c r="G175" t="inlineStr">
        <is>
          <t>HÖGSBY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46291</v>
      </c>
      <c r="F176" t="inlineStr">
        <is>
          <t>KALMAR LÄN</t>
        </is>
      </c>
      <c r="G176" t="inlineStr">
        <is>
          <t>HÖGSBY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46291</v>
      </c>
      <c r="F177" t="inlineStr">
        <is>
          <t>KALMAR LÄN</t>
        </is>
      </c>
      <c r="G177" t="inlineStr">
        <is>
          <t>HÖGSBY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46291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46291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46291</v>
      </c>
      <c r="F180" t="inlineStr">
        <is>
          <t>KALMAR LÄN</t>
        </is>
      </c>
      <c r="G180" t="inlineStr">
        <is>
          <t>HÖGSBY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46291</v>
      </c>
      <c r="F181" t="inlineStr">
        <is>
          <t>KALMAR LÄN</t>
        </is>
      </c>
      <c r="G181" t="inlineStr">
        <is>
          <t>HÖGSBY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46291</v>
      </c>
      <c r="F182" t="inlineStr">
        <is>
          <t>KALMAR LÄN</t>
        </is>
      </c>
      <c r="G182" t="inlineStr">
        <is>
          <t>HÖGSBY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46291</v>
      </c>
      <c r="F183" t="inlineStr">
        <is>
          <t>KALMAR LÄN</t>
        </is>
      </c>
      <c r="G183" t="inlineStr">
        <is>
          <t>HÖGSBY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46291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46291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46291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46291</v>
      </c>
      <c r="F187" t="inlineStr">
        <is>
          <t>KALMAR LÄN</t>
        </is>
      </c>
      <c r="G187" t="inlineStr">
        <is>
          <t>HÖGSBY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46291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62720-2025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46008</v>
      </c>
      <c r="E189" s="1" t="n">
        <v>46291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62722-2025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46008</v>
      </c>
      <c r="E190" s="1" t="n">
        <v>46291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46291</v>
      </c>
      <c r="F191" t="inlineStr">
        <is>
          <t>KALMAR LÄN</t>
        </is>
      </c>
      <c r="G191" t="inlineStr">
        <is>
          <t>HÖGSBY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46291</v>
      </c>
      <c r="F192" t="inlineStr">
        <is>
          <t>KALMAR LÄN</t>
        </is>
      </c>
      <c r="G192" t="inlineStr">
        <is>
          <t>HÖGSBY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46291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46291</v>
      </c>
      <c r="F194" t="inlineStr">
        <is>
          <t>KALMAR LÄN</t>
        </is>
      </c>
      <c r="G194" t="inlineStr">
        <is>
          <t>HÖGSBY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46291</v>
      </c>
      <c r="F195" t="inlineStr">
        <is>
          <t>KALMAR LÄN</t>
        </is>
      </c>
      <c r="G195" t="inlineStr">
        <is>
          <t>HÖGSBY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46291</v>
      </c>
      <c r="F196" t="inlineStr">
        <is>
          <t>KALMAR LÄN</t>
        </is>
      </c>
      <c r="G196" t="inlineStr">
        <is>
          <t>HÖGSBY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46291</v>
      </c>
      <c r="F197" t="inlineStr">
        <is>
          <t>KALMAR LÄN</t>
        </is>
      </c>
      <c r="G197" t="inlineStr">
        <is>
          <t>HÖGSBY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46291</v>
      </c>
      <c r="F198" t="inlineStr">
        <is>
          <t>KALMAR LÄN</t>
        </is>
      </c>
      <c r="G198" t="inlineStr">
        <is>
          <t>HÖGSBY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46291</v>
      </c>
      <c r="F199" t="inlineStr">
        <is>
          <t>KALMAR LÄN</t>
        </is>
      </c>
      <c r="G199" t="inlineStr">
        <is>
          <t>HÖGSBY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46291</v>
      </c>
      <c r="F200" t="inlineStr">
        <is>
          <t>KALMAR LÄN</t>
        </is>
      </c>
      <c r="G200" t="inlineStr">
        <is>
          <t>HÖGSBY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46291</v>
      </c>
      <c r="F201" t="inlineStr">
        <is>
          <t>KALMAR LÄN</t>
        </is>
      </c>
      <c r="G201" t="inlineStr">
        <is>
          <t>HÖGSBY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46291</v>
      </c>
      <c r="F202" t="inlineStr">
        <is>
          <t>KALMAR LÄN</t>
        </is>
      </c>
      <c r="G202" t="inlineStr">
        <is>
          <t>HÖGSBY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45247</v>
      </c>
      <c r="E203" s="1" t="n">
        <v>46291</v>
      </c>
      <c r="F203" t="inlineStr">
        <is>
          <t>KALMAR LÄN</t>
        </is>
      </c>
      <c r="G203" t="inlineStr">
        <is>
          <t>HÖGSBY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46291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46291</v>
      </c>
      <c r="F205" t="inlineStr">
        <is>
          <t>KALMAR LÄN</t>
        </is>
      </c>
      <c r="G205" t="inlineStr">
        <is>
          <t>HÖGSBY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46291</v>
      </c>
      <c r="F206" t="inlineStr">
        <is>
          <t>KALMAR LÄN</t>
        </is>
      </c>
      <c r="G206" t="inlineStr">
        <is>
          <t>HÖGSBY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44924</v>
      </c>
      <c r="E207" s="1" t="n">
        <v>46291</v>
      </c>
      <c r="F207" t="inlineStr">
        <is>
          <t>KALMAR LÄN</t>
        </is>
      </c>
      <c r="G207" t="inlineStr">
        <is>
          <t>HÖGSBY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46291</v>
      </c>
      <c r="F208" t="inlineStr">
        <is>
          <t>KALMAR LÄN</t>
        </is>
      </c>
      <c r="G208" t="inlineStr">
        <is>
          <t>HÖGSBY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46291</v>
      </c>
      <c r="F209" t="inlineStr">
        <is>
          <t>KALMAR LÄN</t>
        </is>
      </c>
      <c r="G209" t="inlineStr">
        <is>
          <t>HÖGSBY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44586</v>
      </c>
      <c r="E210" s="1" t="n">
        <v>46291</v>
      </c>
      <c r="F210" t="inlineStr">
        <is>
          <t>KALMAR LÄN</t>
        </is>
      </c>
      <c r="G210" t="inlineStr">
        <is>
          <t>HÖGSBY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46291</v>
      </c>
      <c r="F211" t="inlineStr">
        <is>
          <t>KALMAR LÄN</t>
        </is>
      </c>
      <c r="G211" t="inlineStr">
        <is>
          <t>HÖGSBY</t>
        </is>
      </c>
      <c r="H211" t="inlineStr">
        <is>
          <t>Övriga Aktiebolag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46291</v>
      </c>
      <c r="F212" t="inlineStr">
        <is>
          <t>KALMAR LÄN</t>
        </is>
      </c>
      <c r="G212" t="inlineStr">
        <is>
          <t>HÖGSBY</t>
        </is>
      </c>
      <c r="H212" t="inlineStr">
        <is>
          <t>Kommuner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46291</v>
      </c>
      <c r="F213" t="inlineStr">
        <is>
          <t>KALMAR LÄN</t>
        </is>
      </c>
      <c r="G213" t="inlineStr">
        <is>
          <t>HÖGSBY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59281-2022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44904</v>
      </c>
      <c r="E214" s="1" t="n">
        <v>46291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46291</v>
      </c>
      <c r="F215" t="inlineStr">
        <is>
          <t>KALMAR LÄN</t>
        </is>
      </c>
      <c r="G215" t="inlineStr">
        <is>
          <t>HÖGSBY</t>
        </is>
      </c>
      <c r="H215" t="inlineStr">
        <is>
          <t>Kyrkan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46291</v>
      </c>
      <c r="F216" t="inlineStr">
        <is>
          <t>KALMAR LÄN</t>
        </is>
      </c>
      <c r="G216" t="inlineStr">
        <is>
          <t>HÖGSBY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22562-2026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46155</v>
      </c>
      <c r="E217" s="1" t="n">
        <v>46291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22564-2026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46155</v>
      </c>
      <c r="E218" s="1" t="n">
        <v>46291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46291</v>
      </c>
      <c r="F219" t="inlineStr">
        <is>
          <t>KALMAR LÄN</t>
        </is>
      </c>
      <c r="G219" t="inlineStr">
        <is>
          <t>HÖGSBY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45544</v>
      </c>
      <c r="E220" s="1" t="n">
        <v>46291</v>
      </c>
      <c r="F220" t="inlineStr">
        <is>
          <t>KALMAR LÄN</t>
        </is>
      </c>
      <c r="G220" t="inlineStr">
        <is>
          <t>HÖGSBY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46291</v>
      </c>
      <c r="F221" t="inlineStr">
        <is>
          <t>KALMAR LÄN</t>
        </is>
      </c>
      <c r="G221" t="inlineStr">
        <is>
          <t>HÖGSBY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28648-2023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45103</v>
      </c>
      <c r="E222" s="1" t="n">
        <v>46291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46291</v>
      </c>
      <c r="F223" t="inlineStr">
        <is>
          <t>KALMAR LÄN</t>
        </is>
      </c>
      <c r="G223" t="inlineStr">
        <is>
          <t>HÖGSBY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45111</v>
      </c>
      <c r="E224" s="1" t="n">
        <v>46291</v>
      </c>
      <c r="F224" t="inlineStr">
        <is>
          <t>KALMAR LÄN</t>
        </is>
      </c>
      <c r="G224" t="inlineStr">
        <is>
          <t>HÖGSBY</t>
        </is>
      </c>
      <c r="I224" t="n">
        <v>12.1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45341</v>
      </c>
      <c r="E225" s="1" t="n">
        <v>46291</v>
      </c>
      <c r="F225" t="inlineStr">
        <is>
          <t>KALMAR LÄN</t>
        </is>
      </c>
      <c r="G225" t="inlineStr">
        <is>
          <t>HÖGSBY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46161</v>
      </c>
      <c r="E226" s="1" t="n">
        <v>46291</v>
      </c>
      <c r="F226" t="inlineStr">
        <is>
          <t>KALMAR LÄN</t>
        </is>
      </c>
      <c r="G226" t="inlineStr">
        <is>
          <t>HÖGSBY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46291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46291</v>
      </c>
      <c r="F228" t="inlineStr">
        <is>
          <t>KALMAR LÄN</t>
        </is>
      </c>
      <c r="G228" t="inlineStr">
        <is>
          <t>HÖGSBY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46291</v>
      </c>
      <c r="F229" t="inlineStr">
        <is>
          <t>KALMAR LÄN</t>
        </is>
      </c>
      <c r="G229" t="inlineStr">
        <is>
          <t>HÖGSBY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23937-2026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46167</v>
      </c>
      <c r="E230" s="1" t="n">
        <v>46291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46291</v>
      </c>
      <c r="F231" t="inlineStr">
        <is>
          <t>KALMAR LÄN</t>
        </is>
      </c>
      <c r="G231" t="inlineStr">
        <is>
          <t>HÖGSBY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46291</v>
      </c>
      <c r="F232" t="inlineStr">
        <is>
          <t>KALMAR LÄN</t>
        </is>
      </c>
      <c r="G232" t="inlineStr">
        <is>
          <t>HÖGSBY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46291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46291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46291</v>
      </c>
      <c r="F235" t="inlineStr">
        <is>
          <t>KALMAR LÄN</t>
        </is>
      </c>
      <c r="G235" t="inlineStr">
        <is>
          <t>HÖGSBY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46291</v>
      </c>
      <c r="F236" t="inlineStr">
        <is>
          <t>KALMAR LÄN</t>
        </is>
      </c>
      <c r="G236" t="inlineStr">
        <is>
          <t>HÖGSBY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46291</v>
      </c>
      <c r="F237" t="inlineStr">
        <is>
          <t>KALMAR LÄN</t>
        </is>
      </c>
      <c r="G237" t="inlineStr">
        <is>
          <t>HÖGSBY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60555-2021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46291</v>
      </c>
      <c r="F238" t="inlineStr">
        <is>
          <t>KALMAR LÄN</t>
        </is>
      </c>
      <c r="G238" t="inlineStr">
        <is>
          <t>HÖGSBY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24601-2024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45460</v>
      </c>
      <c r="E239" s="1" t="n">
        <v>46291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14.7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46291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46291</v>
      </c>
      <c r="F241" t="inlineStr">
        <is>
          <t>KALMAR LÄN</t>
        </is>
      </c>
      <c r="G241" t="inlineStr">
        <is>
          <t>HÖGSBY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46291</v>
      </c>
      <c r="F242" t="inlineStr">
        <is>
          <t>KALMAR LÄN</t>
        </is>
      </c>
      <c r="G242" t="inlineStr">
        <is>
          <t>HÖGSBY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73709-2021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46291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45393</v>
      </c>
      <c r="E244" s="1" t="n">
        <v>46291</v>
      </c>
      <c r="F244" t="inlineStr">
        <is>
          <t>KALMAR LÄN</t>
        </is>
      </c>
      <c r="G244" t="inlineStr">
        <is>
          <t>HÖGSBY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46291</v>
      </c>
      <c r="F245" t="inlineStr">
        <is>
          <t>KALMAR LÄN</t>
        </is>
      </c>
      <c r="G245" t="inlineStr">
        <is>
          <t>HÖGSBY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46291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45348</v>
      </c>
      <c r="E247" s="1" t="n">
        <v>46291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46176</v>
      </c>
      <c r="E248" s="1" t="n">
        <v>46291</v>
      </c>
      <c r="F248" t="inlineStr">
        <is>
          <t>KALMAR LÄN</t>
        </is>
      </c>
      <c r="G248" t="inlineStr">
        <is>
          <t>HÖGSBY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46291</v>
      </c>
      <c r="F249" t="inlineStr">
        <is>
          <t>KALMAR LÄN</t>
        </is>
      </c>
      <c r="G249" t="inlineStr">
        <is>
          <t>HÖGSBY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46291</v>
      </c>
      <c r="F250" t="inlineStr">
        <is>
          <t>KALMAR LÄN</t>
        </is>
      </c>
      <c r="G250" t="inlineStr">
        <is>
          <t>HÖGSBY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46291</v>
      </c>
      <c r="F251" t="inlineStr">
        <is>
          <t>KALMAR LÄN</t>
        </is>
      </c>
      <c r="G251" t="inlineStr">
        <is>
          <t>HÖGSBY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46291</v>
      </c>
      <c r="F252" t="inlineStr">
        <is>
          <t>KALMAR LÄN</t>
        </is>
      </c>
      <c r="G252" t="inlineStr">
        <is>
          <t>HÖGSBY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45360</v>
      </c>
      <c r="E253" s="1" t="n">
        <v>46291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46291</v>
      </c>
      <c r="F254" t="inlineStr">
        <is>
          <t>KALMAR LÄN</t>
        </is>
      </c>
      <c r="G254" t="inlineStr">
        <is>
          <t>HÖGSBY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46291</v>
      </c>
      <c r="F255" t="inlineStr">
        <is>
          <t>KALMAR LÄN</t>
        </is>
      </c>
      <c r="G255" t="inlineStr">
        <is>
          <t>HÖGSBY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46291</v>
      </c>
      <c r="F256" t="inlineStr">
        <is>
          <t>KALMAR LÄN</t>
        </is>
      </c>
      <c r="G256" t="inlineStr">
        <is>
          <t>HÖGSBY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46291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46291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45175</v>
      </c>
      <c r="E259" s="1" t="n">
        <v>46291</v>
      </c>
      <c r="F259" t="inlineStr">
        <is>
          <t>KALMAR LÄN</t>
        </is>
      </c>
      <c r="G259" t="inlineStr">
        <is>
          <t>HÖGSBY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46291</v>
      </c>
      <c r="F260" t="inlineStr">
        <is>
          <t>KALMAR LÄN</t>
        </is>
      </c>
      <c r="G260" t="inlineStr">
        <is>
          <t>HÖGSBY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46291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8.699999999999999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46291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46291</v>
      </c>
      <c r="F263" t="inlineStr">
        <is>
          <t>KALMAR LÄN</t>
        </is>
      </c>
      <c r="G263" t="inlineStr">
        <is>
          <t>HÖGSBY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46291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46291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46291</v>
      </c>
      <c r="F266" t="inlineStr">
        <is>
          <t>KALMAR LÄN</t>
        </is>
      </c>
      <c r="G266" t="inlineStr">
        <is>
          <t>HÖGSBY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46291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46291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46291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46291</v>
      </c>
      <c r="F270" t="inlineStr">
        <is>
          <t>KALMAR LÄN</t>
        </is>
      </c>
      <c r="G270" t="inlineStr">
        <is>
          <t>HÖGSBY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45348</v>
      </c>
      <c r="E271" s="1" t="n">
        <v>46291</v>
      </c>
      <c r="F271" t="inlineStr">
        <is>
          <t>KALMAR LÄN</t>
        </is>
      </c>
      <c r="G271" t="inlineStr">
        <is>
          <t>HÖGSBY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46291</v>
      </c>
      <c r="F272" t="inlineStr">
        <is>
          <t>KALMAR LÄN</t>
        </is>
      </c>
      <c r="G272" t="inlineStr">
        <is>
          <t>HÖGSBY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46291</v>
      </c>
      <c r="F273" t="inlineStr">
        <is>
          <t>KALMAR LÄN</t>
        </is>
      </c>
      <c r="G273" t="inlineStr">
        <is>
          <t>HÖGSBY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46291</v>
      </c>
      <c r="F274" t="inlineStr">
        <is>
          <t>KALMAR LÄN</t>
        </is>
      </c>
      <c r="G274" t="inlineStr">
        <is>
          <t>HÖGSBY</t>
        </is>
      </c>
      <c r="H274" t="inlineStr">
        <is>
          <t>Kommuner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46291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46197</v>
      </c>
      <c r="E276" s="1" t="n">
        <v>46291</v>
      </c>
      <c r="F276" t="inlineStr">
        <is>
          <t>KALMAR LÄN</t>
        </is>
      </c>
      <c r="G276" t="inlineStr">
        <is>
          <t>HÖGSBY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46197</v>
      </c>
      <c r="E277" s="1" t="n">
        <v>46291</v>
      </c>
      <c r="F277" t="inlineStr">
        <is>
          <t>KALMAR LÄN</t>
        </is>
      </c>
      <c r="G277" t="inlineStr">
        <is>
          <t>HÖGSBY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46291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46291</v>
      </c>
      <c r="F279" t="inlineStr">
        <is>
          <t>KALMAR LÄN</t>
        </is>
      </c>
      <c r="G279" t="inlineStr">
        <is>
          <t>HÖGSBY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46291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28702-2026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46198</v>
      </c>
      <c r="E281" s="1" t="n">
        <v>46291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28692-2026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46198</v>
      </c>
      <c r="E282" s="1" t="n">
        <v>46291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28713-2026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46291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45702</v>
      </c>
      <c r="E284" s="1" t="n">
        <v>46291</v>
      </c>
      <c r="F284" t="inlineStr">
        <is>
          <t>KALMAR LÄN</t>
        </is>
      </c>
      <c r="G284" t="inlineStr">
        <is>
          <t>HÖGSBY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46199</v>
      </c>
      <c r="E285" s="1" t="n">
        <v>46291</v>
      </c>
      <c r="F285" t="inlineStr">
        <is>
          <t>KALMAR LÄN</t>
        </is>
      </c>
      <c r="G285" t="inlineStr">
        <is>
          <t>HÖGSBY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44625</v>
      </c>
      <c r="E286" s="1" t="n">
        <v>46291</v>
      </c>
      <c r="F286" t="inlineStr">
        <is>
          <t>KALMAR LÄN</t>
        </is>
      </c>
      <c r="G286" t="inlineStr">
        <is>
          <t>HÖGSBY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46291</v>
      </c>
      <c r="F287" t="inlineStr">
        <is>
          <t>KALMAR LÄN</t>
        </is>
      </c>
      <c r="G287" t="inlineStr">
        <is>
          <t>HÖGSBY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44625</v>
      </c>
      <c r="E288" s="1" t="n">
        <v>46291</v>
      </c>
      <c r="F288" t="inlineStr">
        <is>
          <t>KALMAR LÄN</t>
        </is>
      </c>
      <c r="G288" t="inlineStr">
        <is>
          <t>HÖGSBY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46199</v>
      </c>
      <c r="E289" s="1" t="n">
        <v>46291</v>
      </c>
      <c r="F289" t="inlineStr">
        <is>
          <t>KALMAR LÄN</t>
        </is>
      </c>
      <c r="G289" t="inlineStr">
        <is>
          <t>HÖGSBY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46291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28691-2026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46198</v>
      </c>
      <c r="E291" s="1" t="n">
        <v>46291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28697-2026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46291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46291</v>
      </c>
      <c r="F293" t="inlineStr">
        <is>
          <t>KALMAR LÄN</t>
        </is>
      </c>
      <c r="G293" t="inlineStr">
        <is>
          <t>HÖGSBY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38068-2025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45882</v>
      </c>
      <c r="E294" s="1" t="n">
        <v>46291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46291</v>
      </c>
      <c r="F295" t="inlineStr">
        <is>
          <t>KALMAR LÄN</t>
        </is>
      </c>
      <c r="G295" t="inlineStr">
        <is>
          <t>HÖGSBY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46291</v>
      </c>
      <c r="F296" t="inlineStr">
        <is>
          <t>KALMAR LÄN</t>
        </is>
      </c>
      <c r="G296" t="inlineStr">
        <is>
          <t>HÖGSBY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46291</v>
      </c>
      <c r="F297" t="inlineStr">
        <is>
          <t>KALMAR LÄN</t>
        </is>
      </c>
      <c r="G297" t="inlineStr">
        <is>
          <t>HÖGSBY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46291</v>
      </c>
      <c r="F298" t="inlineStr">
        <is>
          <t>KALMAR LÄN</t>
        </is>
      </c>
      <c r="G298" t="inlineStr">
        <is>
          <t>HÖGSBY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46291</v>
      </c>
      <c r="F299" t="inlineStr">
        <is>
          <t>KALMAR LÄN</t>
        </is>
      </c>
      <c r="G299" t="inlineStr">
        <is>
          <t>HÖGSBY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40990-2023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46291</v>
      </c>
      <c r="F300" t="inlineStr">
        <is>
          <t>KALMAR LÄN</t>
        </is>
      </c>
      <c r="G300" t="inlineStr">
        <is>
          <t>HÖGSBY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46291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46291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46291</v>
      </c>
      <c r="F303" t="inlineStr">
        <is>
          <t>KALMAR LÄN</t>
        </is>
      </c>
      <c r="G303" t="inlineStr">
        <is>
          <t>HÖGSBY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46291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46291</v>
      </c>
      <c r="F305" t="inlineStr">
        <is>
          <t>KALMAR LÄN</t>
        </is>
      </c>
      <c r="G305" t="inlineStr">
        <is>
          <t>HÖGSBY</t>
        </is>
      </c>
      <c r="H305" t="inlineStr">
        <is>
          <t>Kommuner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46291</v>
      </c>
      <c r="F306" t="inlineStr">
        <is>
          <t>KALMAR LÄN</t>
        </is>
      </c>
      <c r="G306" t="inlineStr">
        <is>
          <t>HÖGSBY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33788-2026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46251</v>
      </c>
      <c r="E307" s="1" t="n">
        <v>46291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30156-2026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46291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46291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38797-2024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45547</v>
      </c>
      <c r="E310" s="1" t="n">
        <v>46291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46291</v>
      </c>
      <c r="F311" t="inlineStr">
        <is>
          <t>KALMAR LÄN</t>
        </is>
      </c>
      <c r="G311" t="inlineStr">
        <is>
          <t>HÖGSBY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45090</v>
      </c>
      <c r="E312" s="1" t="n">
        <v>46291</v>
      </c>
      <c r="F312" t="inlineStr">
        <is>
          <t>KALMAR LÄN</t>
        </is>
      </c>
      <c r="G312" t="inlineStr">
        <is>
          <t>HÖGSBY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46291</v>
      </c>
      <c r="F313" t="inlineStr">
        <is>
          <t>KALMAR LÄN</t>
        </is>
      </c>
      <c r="G313" t="inlineStr">
        <is>
          <t>HÖGSBY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46291</v>
      </c>
      <c r="F314" t="inlineStr">
        <is>
          <t>KALMAR LÄN</t>
        </is>
      </c>
      <c r="G314" t="inlineStr">
        <is>
          <t>HÖGSBY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44677</v>
      </c>
      <c r="E315" s="1" t="n">
        <v>46291</v>
      </c>
      <c r="F315" t="inlineStr">
        <is>
          <t>KALMAR LÄN</t>
        </is>
      </c>
      <c r="G315" t="inlineStr">
        <is>
          <t>HÖGSBY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46291</v>
      </c>
      <c r="F316" t="inlineStr">
        <is>
          <t>KALMAR LÄN</t>
        </is>
      </c>
      <c r="G316" t="inlineStr">
        <is>
          <t>HÖGSBY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46291</v>
      </c>
      <c r="F317" t="inlineStr">
        <is>
          <t>KALMAR LÄN</t>
        </is>
      </c>
      <c r="G317" t="inlineStr">
        <is>
          <t>HÖGSBY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46291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46291</v>
      </c>
      <c r="F319" t="inlineStr">
        <is>
          <t>KALMAR LÄN</t>
        </is>
      </c>
      <c r="G319" t="inlineStr">
        <is>
          <t>HÖGSBY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54483-2022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46291</v>
      </c>
      <c r="F320" t="inlineStr">
        <is>
          <t>KALMAR LÄN</t>
        </is>
      </c>
      <c r="G320" t="inlineStr">
        <is>
          <t>HÖGSBY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46291</v>
      </c>
      <c r="F321" t="inlineStr">
        <is>
          <t>KALMAR LÄN</t>
        </is>
      </c>
      <c r="G321" t="inlineStr">
        <is>
          <t>HÖGSBY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45145</v>
      </c>
      <c r="E322" s="1" t="n">
        <v>46291</v>
      </c>
      <c r="F322" t="inlineStr">
        <is>
          <t>KALMAR LÄN</t>
        </is>
      </c>
      <c r="G322" t="inlineStr">
        <is>
          <t>HÖGSBY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63379-2023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46291</v>
      </c>
      <c r="F323" t="inlineStr">
        <is>
          <t>KALMAR LÄN</t>
        </is>
      </c>
      <c r="G323" t="inlineStr">
        <is>
          <t>HÖGSBY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46291</v>
      </c>
      <c r="F324" t="inlineStr">
        <is>
          <t>KALMAR LÄN</t>
        </is>
      </c>
      <c r="G324" t="inlineStr">
        <is>
          <t>HÖGSBY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30294-2022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44760</v>
      </c>
      <c r="E325" s="1" t="n">
        <v>46291</v>
      </c>
      <c r="F325" t="inlineStr">
        <is>
          <t>KALMAR LÄN</t>
        </is>
      </c>
      <c r="G325" t="inlineStr">
        <is>
          <t>HÖGSBY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46291</v>
      </c>
      <c r="F326" t="inlineStr">
        <is>
          <t>KALMAR LÄN</t>
        </is>
      </c>
      <c r="G326" t="inlineStr">
        <is>
          <t>HÖGSBY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46291</v>
      </c>
      <c r="F327" t="inlineStr">
        <is>
          <t>KALMAR LÄN</t>
        </is>
      </c>
      <c r="G327" t="inlineStr">
        <is>
          <t>HÖGSBY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46266</v>
      </c>
      <c r="E328" s="1" t="n">
        <v>46291</v>
      </c>
      <c r="F328" t="inlineStr">
        <is>
          <t>KALMAR LÄN</t>
        </is>
      </c>
      <c r="G328" t="inlineStr">
        <is>
          <t>HÖGSBY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46266</v>
      </c>
      <c r="E329" s="1" t="n">
        <v>46291</v>
      </c>
      <c r="F329" t="inlineStr">
        <is>
          <t>KALMAR LÄN</t>
        </is>
      </c>
      <c r="G329" t="inlineStr">
        <is>
          <t>HÖGSBY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46291</v>
      </c>
      <c r="F330" t="inlineStr">
        <is>
          <t>KALMAR LÄN</t>
        </is>
      </c>
      <c r="G330" t="inlineStr">
        <is>
          <t>HÖGSBY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46291</v>
      </c>
      <c r="F331" t="inlineStr">
        <is>
          <t>KALMAR LÄN</t>
        </is>
      </c>
      <c r="G331" t="inlineStr">
        <is>
          <t>HÖGSBY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46291</v>
      </c>
      <c r="F332" t="inlineStr">
        <is>
          <t>KALMAR LÄN</t>
        </is>
      </c>
      <c r="G332" t="inlineStr">
        <is>
          <t>HÖGSBY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36258-2026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46291</v>
      </c>
      <c r="F333" t="inlineStr">
        <is>
          <t>KALMAR LÄN</t>
        </is>
      </c>
      <c r="G333" t="inlineStr">
        <is>
          <t>HÖGSBY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46266</v>
      </c>
      <c r="E334" s="1" t="n">
        <v>46291</v>
      </c>
      <c r="F334" t="inlineStr">
        <is>
          <t>KALMAR LÄN</t>
        </is>
      </c>
      <c r="G334" t="inlineStr">
        <is>
          <t>HÖGSBY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46291</v>
      </c>
      <c r="F335" t="inlineStr">
        <is>
          <t>KALMAR LÄN</t>
        </is>
      </c>
      <c r="G335" t="inlineStr">
        <is>
          <t>HÖGSBY</t>
        </is>
      </c>
      <c r="H335" t="inlineStr">
        <is>
          <t>Övriga Aktiebolag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46269</v>
      </c>
      <c r="E336" s="1" t="n">
        <v>46291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46269</v>
      </c>
      <c r="E337" s="1" t="n">
        <v>46291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46274</v>
      </c>
      <c r="E338" s="1" t="n">
        <v>46291</v>
      </c>
      <c r="F338" t="inlineStr">
        <is>
          <t>KALMAR LÄN</t>
        </is>
      </c>
      <c r="G338" t="inlineStr">
        <is>
          <t>HÖGSBY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74478-2021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44559</v>
      </c>
      <c r="E339" s="1" t="n">
        <v>46291</v>
      </c>
      <c r="F339" t="inlineStr">
        <is>
          <t>KALMAR LÄN</t>
        </is>
      </c>
      <c r="G339" t="inlineStr">
        <is>
          <t>HÖGSBY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46291</v>
      </c>
      <c r="F340" t="inlineStr">
        <is>
          <t>KALMAR LÄN</t>
        </is>
      </c>
      <c r="G340" t="inlineStr">
        <is>
          <t>HÖGSBY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46291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46275</v>
      </c>
      <c r="E342" s="1" t="n">
        <v>46291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46291</v>
      </c>
      <c r="F343" t="inlineStr">
        <is>
          <t>KALMAR LÄN</t>
        </is>
      </c>
      <c r="G343" t="inlineStr">
        <is>
          <t>HÖGSBY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46291</v>
      </c>
      <c r="F344" t="inlineStr">
        <is>
          <t>KALMAR LÄN</t>
        </is>
      </c>
      <c r="G344" t="inlineStr">
        <is>
          <t>HÖGSBY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38824-2024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45547</v>
      </c>
      <c r="E345" s="1" t="n">
        <v>46291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46291</v>
      </c>
      <c r="F346" t="inlineStr">
        <is>
          <t>KALMAR LÄN</t>
        </is>
      </c>
      <c r="G346" t="inlineStr">
        <is>
          <t>HÖGSBY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45329</v>
      </c>
      <c r="E347" s="1" t="n">
        <v>46291</v>
      </c>
      <c r="F347" t="inlineStr">
        <is>
          <t>KALMAR LÄN</t>
        </is>
      </c>
      <c r="G347" t="inlineStr">
        <is>
          <t>HÖGSBY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46291</v>
      </c>
      <c r="F348" t="inlineStr">
        <is>
          <t>KALMAR LÄN</t>
        </is>
      </c>
      <c r="G348" t="inlineStr">
        <is>
          <t>HÖGSBY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49486-2022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46291</v>
      </c>
      <c r="F349" t="inlineStr">
        <is>
          <t>KALMAR LÄN</t>
        </is>
      </c>
      <c r="G349" t="inlineStr">
        <is>
          <t>HÖGSBY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46291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46287</v>
      </c>
      <c r="E351" s="1" t="n">
        <v>46291</v>
      </c>
      <c r="F351" t="inlineStr">
        <is>
          <t>KALMAR LÄN</t>
        </is>
      </c>
      <c r="G351" t="inlineStr">
        <is>
          <t>HÖGSBY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71635-2021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46291</v>
      </c>
      <c r="F352" t="inlineStr">
        <is>
          <t>KALMAR LÄN</t>
        </is>
      </c>
      <c r="G352" t="inlineStr">
        <is>
          <t>HÖGSBY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44613</v>
      </c>
      <c r="E353" s="1" t="n">
        <v>46291</v>
      </c>
      <c r="F353" t="inlineStr">
        <is>
          <t>KALMAR LÄN</t>
        </is>
      </c>
      <c r="G353" t="inlineStr">
        <is>
          <t>HÖGSBY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46291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15.2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46291</v>
      </c>
      <c r="F355" t="inlineStr">
        <is>
          <t>KALMAR LÄN</t>
        </is>
      </c>
      <c r="G355" t="inlineStr">
        <is>
          <t>HÖGSBY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46291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45447</v>
      </c>
      <c r="E357" s="1" t="n">
        <v>46291</v>
      </c>
      <c r="F357" t="inlineStr">
        <is>
          <t>KALMAR LÄN</t>
        </is>
      </c>
      <c r="G357" t="inlineStr">
        <is>
          <t>HÖGSBY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46291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45015</v>
      </c>
      <c r="E359" s="1" t="n">
        <v>46291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58753-2022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46291</v>
      </c>
      <c r="F360" t="inlineStr">
        <is>
          <t>KALMAR LÄN</t>
        </is>
      </c>
      <c r="G360" t="inlineStr">
        <is>
          <t>HÖGSBY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46291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46291</v>
      </c>
      <c r="F362" t="inlineStr">
        <is>
          <t>KALMAR LÄN</t>
        </is>
      </c>
      <c r="G362" t="inlineStr">
        <is>
          <t>HÖGSBY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46291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44725</v>
      </c>
      <c r="E364" s="1" t="n">
        <v>46291</v>
      </c>
      <c r="F364" t="inlineStr">
        <is>
          <t>KALMAR LÄN</t>
        </is>
      </c>
      <c r="G364" t="inlineStr">
        <is>
          <t>HÖGSBY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44981</v>
      </c>
      <c r="E365" s="1" t="n">
        <v>46291</v>
      </c>
      <c r="F365" t="inlineStr">
        <is>
          <t>KALMAR LÄN</t>
        </is>
      </c>
      <c r="G365" t="inlineStr">
        <is>
          <t>HÖGSBY</t>
        </is>
      </c>
      <c r="H365" t="inlineStr">
        <is>
          <t>Övriga Aktiebolag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46291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46291</v>
      </c>
      <c r="F367" t="inlineStr">
        <is>
          <t>KALMAR LÄN</t>
        </is>
      </c>
      <c r="G367" t="inlineStr">
        <is>
          <t>HÖGSBY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46291</v>
      </c>
      <c r="F368" t="inlineStr">
        <is>
          <t>KALMAR LÄN</t>
        </is>
      </c>
      <c r="G368" t="inlineStr">
        <is>
          <t>HÖGSBY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46291</v>
      </c>
      <c r="F369" t="inlineStr">
        <is>
          <t>KALMAR LÄN</t>
        </is>
      </c>
      <c r="G369" t="inlineStr">
        <is>
          <t>HÖGSBY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46291</v>
      </c>
      <c r="F370" t="inlineStr">
        <is>
          <t>KALMAR LÄN</t>
        </is>
      </c>
      <c r="G370" t="inlineStr">
        <is>
          <t>HÖGSBY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44981</v>
      </c>
      <c r="E371" s="1" t="n">
        <v>46291</v>
      </c>
      <c r="F371" t="inlineStr">
        <is>
          <t>KALMAR LÄN</t>
        </is>
      </c>
      <c r="G371" t="inlineStr">
        <is>
          <t>HÖGSBY</t>
        </is>
      </c>
      <c r="H371" t="inlineStr">
        <is>
          <t>Övriga Aktiebolag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46291</v>
      </c>
      <c r="F372" t="inlineStr">
        <is>
          <t>KALMAR LÄN</t>
        </is>
      </c>
      <c r="G372" t="inlineStr">
        <is>
          <t>HÖGSBY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46291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46291</v>
      </c>
      <c r="F374" t="inlineStr">
        <is>
          <t>KALMAR LÄN</t>
        </is>
      </c>
      <c r="G374" t="inlineStr">
        <is>
          <t>HÖGSBY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46291</v>
      </c>
      <c r="F375" t="inlineStr">
        <is>
          <t>KALMAR LÄN</t>
        </is>
      </c>
      <c r="G375" t="inlineStr">
        <is>
          <t>HÖGSBY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46291</v>
      </c>
      <c r="F376" t="inlineStr">
        <is>
          <t>KALMAR LÄN</t>
        </is>
      </c>
      <c r="G376" t="inlineStr">
        <is>
          <t>HÖGSBY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46291</v>
      </c>
      <c r="F377" t="inlineStr">
        <is>
          <t>KALMAR LÄN</t>
        </is>
      </c>
      <c r="G377" t="inlineStr">
        <is>
          <t>HÖGSBY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45153</v>
      </c>
      <c r="E378" s="1" t="n">
        <v>46291</v>
      </c>
      <c r="F378" t="inlineStr">
        <is>
          <t>KALMAR LÄN</t>
        </is>
      </c>
      <c r="G378" t="inlineStr">
        <is>
          <t>HÖGSBY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44623</v>
      </c>
      <c r="E379" s="1" t="n">
        <v>46291</v>
      </c>
      <c r="F379" t="inlineStr">
        <is>
          <t>KALMAR LÄN</t>
        </is>
      </c>
      <c r="G379" t="inlineStr">
        <is>
          <t>HÖGSBY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46291</v>
      </c>
      <c r="F380" t="inlineStr">
        <is>
          <t>KALMAR LÄN</t>
        </is>
      </c>
      <c r="G380" t="inlineStr">
        <is>
          <t>HÖGSBY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46291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44907</v>
      </c>
      <c r="E382" s="1" t="n">
        <v>46291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46291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46291</v>
      </c>
      <c r="F384" t="inlineStr">
        <is>
          <t>KALMAR LÄN</t>
        </is>
      </c>
      <c r="G384" t="inlineStr">
        <is>
          <t>HÖGSBY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46291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55902-2024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46291</v>
      </c>
      <c r="F386" t="inlineStr">
        <is>
          <t>KALMAR LÄN</t>
        </is>
      </c>
      <c r="G386" t="inlineStr">
        <is>
          <t>HÖGSBY</t>
        </is>
      </c>
      <c r="I386" t="n">
        <v>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46291</v>
      </c>
      <c r="F387" t="inlineStr">
        <is>
          <t>KALMAR LÄN</t>
        </is>
      </c>
      <c r="G387" t="inlineStr">
        <is>
          <t>HÖGSBY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34078-2024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45523</v>
      </c>
      <c r="E388" s="1" t="n">
        <v>46291</v>
      </c>
      <c r="F388" t="inlineStr">
        <is>
          <t>KALMAR LÄN</t>
        </is>
      </c>
      <c r="G388" t="inlineStr">
        <is>
          <t>HÖGSBY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45782</v>
      </c>
      <c r="E389" s="1" t="n">
        <v>46291</v>
      </c>
      <c r="F389" t="inlineStr">
        <is>
          <t>KALMAR LÄN</t>
        </is>
      </c>
      <c r="G389" t="inlineStr">
        <is>
          <t>HÖGSBY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40464-2023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46291</v>
      </c>
      <c r="F390" t="inlineStr">
        <is>
          <t>KALMAR LÄN</t>
        </is>
      </c>
      <c r="G390" t="inlineStr">
        <is>
          <t>HÖGSBY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46291</v>
      </c>
      <c r="F391" t="inlineStr">
        <is>
          <t>KALMAR LÄN</t>
        </is>
      </c>
      <c r="G391" t="inlineStr">
        <is>
          <t>HÖGSBY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  <c r="Z391">
        <f>HYPERLINK("https://klasma.github.io/Logging_0821/knärot/A 40137-2024 karta knärot.png", "A 40137-2024")</f>
        <v/>
      </c>
      <c r="AA391">
        <f>HYPERLINK("https://klasma.github.io/Logging_0821/klagomål/A 40137-2024 FSC-klagomål.docx", "A 40137-2024")</f>
        <v/>
      </c>
      <c r="AB391">
        <f>HYPERLINK("https://klasma.github.io/Logging_0821/klagomålsmail/A 40137-2024 FSC-klagomål mail.docx", "A 40137-2024")</f>
        <v/>
      </c>
      <c r="AC391">
        <f>HYPERLINK("https://klasma.github.io/Logging_0821/tillsyn/A 40137-2024 tillsynsbegäran.docx", "A 40137-2024")</f>
        <v/>
      </c>
      <c r="AD391">
        <f>HYPERLINK("https://klasma.github.io/Logging_0821/tillsynsmail/A 40137-2024 tillsynsbegäran mail.docx", "A 40137-2024")</f>
        <v/>
      </c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46291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46291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46291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46291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46291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46291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46291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46291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46291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46291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46291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46291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46291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46291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46291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46291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46291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46291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46291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46291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46291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46291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46291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46291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2026-09-26T02:04:12Z</dcterms:created>
  <dcterms:modified xmlns:dcterms="http://purl.org/dc/terms/" xmlns:xsi="http://www.w3.org/2001/XMLSchema-instance" xsi:type="dcterms:W3CDTF">2026-09-26T02:04:12Z</dcterms:modified>
</cp:coreProperties>
</file>