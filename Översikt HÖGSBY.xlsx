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46326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46326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46326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46326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46326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46326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46326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46326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46326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46326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46326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46326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46326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46326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46326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46326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46326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46326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46326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46326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46326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46326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46326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46326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46326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A 42286-2026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46307</v>
      </c>
      <c r="E27" s="1" t="n">
        <v>46326</v>
      </c>
      <c r="F27" t="inlineStr">
        <is>
          <t>KALMAR LÄN</t>
        </is>
      </c>
      <c r="G27" t="inlineStr">
        <is>
          <t>HÖGSBY</t>
        </is>
      </c>
      <c r="I27" t="n">
        <v>2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Backsippa
Backklöver
Gullviva</t>
        </is>
      </c>
      <c r="W27">
        <f>HYPERLINK("https://klasma.github.io/Logging_0821/artfynd/A 42286-2026 artfynd.xlsx", "A 42286-2026")</f>
        <v/>
      </c>
      <c r="X27">
        <f>HYPERLINK("https://klasma.github.io/Logging_0821/kartor/A 42286-2026 karta.png", "A 42286-2026")</f>
        <v/>
      </c>
      <c r="Y27">
        <f>HYPERLINK("https://klasma.github.io/Logging_0821/kartor_geotiff/A 42286-2026 georefererad karta.tif", "A 42286-2026")</f>
        <v/>
      </c>
      <c r="AA27">
        <f>HYPERLINK("https://klasma.github.io/Logging_0821/klagomål/A 42286-2026 FSC-klagomål.docx", "A 42286-2026")</f>
        <v/>
      </c>
      <c r="AB27">
        <f>HYPERLINK("https://klasma.github.io/Logging_0821/klagomålsmail/A 42286-2026 FSC-klagomål mail.docx", "A 42286-2026")</f>
        <v/>
      </c>
      <c r="AC27">
        <f>HYPERLINK("https://klasma.github.io/Logging_0821/tillsyn/A 42286-2026 tillsynsbegäran.docx", "A 42286-2026")</f>
        <v/>
      </c>
      <c r="AD27">
        <f>HYPERLINK("https://klasma.github.io/Logging_0821/tillsynsmail/A 42286-2026 tillsynsbegäran mail.docx", "A 42286-2026")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46326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46326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46326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46326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46326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46326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46326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46326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46326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46326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46326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46326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46326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46326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46326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35075-2023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46326</v>
      </c>
      <c r="F43" t="inlineStr">
        <is>
          <t>KALMAR LÄN</t>
        </is>
      </c>
      <c r="G43" t="inlineStr">
        <is>
          <t>HÖGSBY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HYPERLINK("https://klasma.github.io/Logging_0821/artfynd/A 35075-2023 artfynd.xlsx", "A 35075-2023")</f>
        <v/>
      </c>
      <c r="X43">
        <f>HYPERLINK("https://klasma.github.io/Logging_0821/kartor/A 35075-2023 karta.png", "A 35075-2023")</f>
        <v/>
      </c>
      <c r="Y43">
        <f>HYPERLINK("https://klasma.github.io/Logging_0821/kartor_geotiff/A 35075-2023 georefererad karta.tif", "A 35075-2023")</f>
        <v/>
      </c>
      <c r="AA43">
        <f>HYPERLINK("https://klasma.github.io/Logging_0821/klagomål/A 35075-2023 FSC-klagomål.docx", "A 35075-2023")</f>
        <v/>
      </c>
      <c r="AB43">
        <f>HYPERLINK("https://klasma.github.io/Logging_0821/klagomålsmail/A 35075-2023 FSC-klagomål mail.docx", "A 35075-2023")</f>
        <v/>
      </c>
      <c r="AC43">
        <f>HYPERLINK("https://klasma.github.io/Logging_0821/tillsyn/A 35075-2023 tillsynsbegäran.docx", "A 35075-2023")</f>
        <v/>
      </c>
      <c r="AD43">
        <f>HYPERLINK("https://klasma.github.io/Logging_0821/tillsynsmail/A 35075-2023 tillsynsbegäran mail.docx", "A 35075-2023")</f>
        <v/>
      </c>
    </row>
    <row r="44" ht="15" customHeight="1">
      <c r="A44" t="inlineStr">
        <is>
          <t>A 19463-2026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46326</v>
      </c>
      <c r="F44" t="inlineStr">
        <is>
          <t>KALMAR LÄN</t>
        </is>
      </c>
      <c r="G44" t="inlineStr">
        <is>
          <t>HÖGSBY</t>
        </is>
      </c>
      <c r="I44" t="n">
        <v>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HYPERLINK("https://klasma.github.io/Logging_0821/artfynd/A 19463-2026 artfynd.xlsx", "A 19463-2026")</f>
        <v/>
      </c>
      <c r="X44">
        <f>HYPERLINK("https://klasma.github.io/Logging_0821/kartor/A 19463-2026 karta.png", "A 19463-2026")</f>
        <v/>
      </c>
      <c r="Y44">
        <f>HYPERLINK("https://klasma.github.io/Logging_0821/kartor_geotiff/A 19463-2026 georefererad karta.tif", "A 19463-2026")</f>
        <v/>
      </c>
      <c r="AA44">
        <f>HYPERLINK("https://klasma.github.io/Logging_0821/klagomål/A 19463-2026 FSC-klagomål.docx", "A 19463-2026")</f>
        <v/>
      </c>
      <c r="AB44">
        <f>HYPERLINK("https://klasma.github.io/Logging_0821/klagomålsmail/A 19463-2026 FSC-klagomål mail.docx", "A 19463-2026")</f>
        <v/>
      </c>
      <c r="AC44">
        <f>HYPERLINK("https://klasma.github.io/Logging_0821/tillsyn/A 19463-2026 tillsynsbegäran.docx", "A 19463-2026")</f>
        <v/>
      </c>
      <c r="AD44">
        <f>HYPERLINK("https://klasma.github.io/Logging_0821/tillsynsmail/A 19463-2026 tillsynsbegäran mail.docx", "A 19463-2026")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46326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46326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24911-2023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46326</v>
      </c>
      <c r="F47" t="inlineStr">
        <is>
          <t>KALMAR LÄN</t>
        </is>
      </c>
      <c r="G47" t="inlineStr">
        <is>
          <t>HÖGSBY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Sotlav</t>
        </is>
      </c>
      <c r="W47">
        <f>HYPERLINK("https://klasma.github.io/Logging_0821/artfynd/A 24911-2023 artfynd.xlsx", "A 24911-2023")</f>
        <v/>
      </c>
      <c r="X47">
        <f>HYPERLINK("https://klasma.github.io/Logging_0821/kartor/A 24911-2023 karta.png", "A 24911-2023")</f>
        <v/>
      </c>
      <c r="Y47">
        <f>HYPERLINK("https://klasma.github.io/Logging_0821/kartor_geotiff/A 24911-2023 georefererad karta.tif", "A 24911-2023")</f>
        <v/>
      </c>
      <c r="AA47">
        <f>HYPERLINK("https://klasma.github.io/Logging_0821/klagomål/A 24911-2023 FSC-klagomål.docx", "A 24911-2023")</f>
        <v/>
      </c>
      <c r="AB47">
        <f>HYPERLINK("https://klasma.github.io/Logging_0821/klagomålsmail/A 24911-2023 FSC-klagomål mail.docx", "A 24911-2023")</f>
        <v/>
      </c>
      <c r="AC47">
        <f>HYPERLINK("https://klasma.github.io/Logging_0821/tillsyn/A 24911-2023 tillsynsbegäran.docx", "A 24911-2023")</f>
        <v/>
      </c>
      <c r="AD47">
        <f>HYPERLINK("https://klasma.github.io/Logging_0821/tillsynsmail/A 24911-2023 tillsynsbegäran mail.docx", "A 24911-2023")</f>
        <v/>
      </c>
    </row>
    <row r="48" ht="15" customHeight="1">
      <c r="A48" t="inlineStr">
        <is>
          <t>A 22757-2026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46326</v>
      </c>
      <c r="F48" t="inlineStr">
        <is>
          <t>KALMAR LÄN</t>
        </is>
      </c>
      <c r="G48" t="inlineStr">
        <is>
          <t>HÖGSBY</t>
        </is>
      </c>
      <c r="I48" t="n">
        <v>1.1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Blåsippa</t>
        </is>
      </c>
      <c r="W48">
        <f>HYPERLINK("https://klasma.github.io/Logging_0821/artfynd/A 22757-2026 artfynd.xlsx", "A 22757-2026")</f>
        <v/>
      </c>
      <c r="X48">
        <f>HYPERLINK("https://klasma.github.io/Logging_0821/kartor/A 22757-2026 karta.png", "A 22757-2026")</f>
        <v/>
      </c>
      <c r="Y48">
        <f>HYPERLINK("https://klasma.github.io/Logging_0821/kartor_geotiff/A 22757-2026 georefererad karta.tif", "A 22757-2026")</f>
        <v/>
      </c>
      <c r="AA48">
        <f>HYPERLINK("https://klasma.github.io/Logging_0821/klagomål/A 22757-2026 FSC-klagomål.docx", "A 22757-2026")</f>
        <v/>
      </c>
      <c r="AB48">
        <f>HYPERLINK("https://klasma.github.io/Logging_0821/klagomålsmail/A 22757-2026 FSC-klagomål mail.docx", "A 22757-2026")</f>
        <v/>
      </c>
      <c r="AC48">
        <f>HYPERLINK("https://klasma.github.io/Logging_0821/tillsyn/A 22757-2026 tillsynsbegäran.docx", "A 22757-2026")</f>
        <v/>
      </c>
      <c r="AD48">
        <f>HYPERLINK("https://klasma.github.io/Logging_0821/tillsynsmail/A 22757-2026 tillsynsbegäran mail.docx", "A 22757-2026")</f>
        <v/>
      </c>
    </row>
    <row r="49" ht="15" customHeight="1">
      <c r="A49" t="inlineStr">
        <is>
          <t>A 59700-2023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45256</v>
      </c>
      <c r="E49" s="1" t="n">
        <v>46326</v>
      </c>
      <c r="F49" t="inlineStr">
        <is>
          <t>KALMAR LÄN</t>
        </is>
      </c>
      <c r="G49" t="inlineStr">
        <is>
          <t>HÖGSBY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HYPERLINK("https://klasma.github.io/Logging_0821/artfynd/A 59700-2023 artfynd.xlsx", "A 59700-2023")</f>
        <v/>
      </c>
      <c r="X49">
        <f>HYPERLINK("https://klasma.github.io/Logging_0821/kartor/A 59700-2023 karta.png", "A 59700-2023")</f>
        <v/>
      </c>
      <c r="Y49">
        <f>HYPERLINK("https://klasma.github.io/Logging_0821/kartor_geotiff/A 59700-2023 georefererad karta.tif", "A 59700-2023")</f>
        <v/>
      </c>
      <c r="AA49">
        <f>HYPERLINK("https://klasma.github.io/Logging_0821/klagomål/A 59700-2023 FSC-klagomål.docx", "A 59700-2023")</f>
        <v/>
      </c>
      <c r="AB49">
        <f>HYPERLINK("https://klasma.github.io/Logging_0821/klagomålsmail/A 59700-2023 FSC-klagomål mail.docx", "A 59700-2023")</f>
        <v/>
      </c>
      <c r="AC49">
        <f>HYPERLINK("https://klasma.github.io/Logging_0821/tillsyn/A 59700-2023 tillsynsbegäran.docx", "A 59700-2023")</f>
        <v/>
      </c>
      <c r="AD49">
        <f>HYPERLINK("https://klasma.github.io/Logging_0821/tillsynsmail/A 59700-2023 tillsynsbegäran mail.docx", "A 59700-2023")</f>
        <v/>
      </c>
      <c r="AE49">
        <f>HYPERLINK("https://klasma.github.io/Logging_0821/fåglar/A 59700-2023 prioriterade fågelarter.docx", "A 59700-2023")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46326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46326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38802-2024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45547</v>
      </c>
      <c r="E52" s="1" t="n">
        <v>46326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Brandticka</t>
        </is>
      </c>
      <c r="W52">
        <f>HYPERLINK("https://klasma.github.io/Logging_0821/artfynd/A 38802-2024 artfynd.xlsx", "A 38802-2024")</f>
        <v/>
      </c>
      <c r="X52">
        <f>HYPERLINK("https://klasma.github.io/Logging_0821/kartor/A 38802-2024 karta.png", "A 38802-2024")</f>
        <v/>
      </c>
      <c r="Y52">
        <f>HYPERLINK("https://klasma.github.io/Logging_0821/kartor_geotiff/A 38802-2024 georefererad karta.tif", "A 38802-2024")</f>
        <v/>
      </c>
      <c r="AA52">
        <f>HYPERLINK("https://klasma.github.io/Logging_0821/klagomål/A 38802-2024 FSC-klagomål.docx", "A 38802-2024")</f>
        <v/>
      </c>
      <c r="AB52">
        <f>HYPERLINK("https://klasma.github.io/Logging_0821/klagomålsmail/A 38802-2024 FSC-klagomål mail.docx", "A 38802-2024")</f>
        <v/>
      </c>
      <c r="AC52">
        <f>HYPERLINK("https://klasma.github.io/Logging_0821/tillsyn/A 38802-2024 tillsynsbegäran.docx", "A 38802-2024")</f>
        <v/>
      </c>
      <c r="AD52">
        <f>HYPERLINK("https://klasma.github.io/Logging_0821/tillsynsmail/A 38802-2024 tillsynsbegäran mail.docx", "A 38802-2024")</f>
        <v/>
      </c>
    </row>
    <row r="53" ht="15" customHeight="1">
      <c r="A53" t="inlineStr">
        <is>
          <t>A 26145-2026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46326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Gullviva</t>
        </is>
      </c>
      <c r="W53">
        <f>HYPERLINK("https://klasma.github.io/Logging_0821/artfynd/A 26145-2026 artfynd.xlsx", "A 26145-2026")</f>
        <v/>
      </c>
      <c r="X53">
        <f>HYPERLINK("https://klasma.github.io/Logging_0821/kartor/A 26145-2026 karta.png", "A 26145-2026")</f>
        <v/>
      </c>
      <c r="Y53">
        <f>HYPERLINK("https://klasma.github.io/Logging_0821/kartor_geotiff/A 26145-2026 georefererad karta.tif", "A 26145-2026")</f>
        <v/>
      </c>
      <c r="AA53">
        <f>HYPERLINK("https://klasma.github.io/Logging_0821/klagomål/A 26145-2026 FSC-klagomål.docx", "A 26145-2026")</f>
        <v/>
      </c>
      <c r="AB53">
        <f>HYPERLINK("https://klasma.github.io/Logging_0821/klagomålsmail/A 26145-2026 FSC-klagomål mail.docx", "A 26145-2026")</f>
        <v/>
      </c>
      <c r="AC53">
        <f>HYPERLINK("https://klasma.github.io/Logging_0821/tillsyn/A 26145-2026 tillsynsbegäran.docx", "A 26145-2026")</f>
        <v/>
      </c>
      <c r="AD53">
        <f>HYPERLINK("https://klasma.github.io/Logging_0821/tillsynsmail/A 26145-2026 tillsynsbegäran mail.docx", "A 26145-2026")</f>
        <v/>
      </c>
    </row>
    <row r="54" ht="15" customHeight="1">
      <c r="A54" t="inlineStr">
        <is>
          <t>A 58792-2022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44903</v>
      </c>
      <c r="E54" s="1" t="n">
        <v>46326</v>
      </c>
      <c r="F54" t="inlineStr">
        <is>
          <t>KALMAR LÄN</t>
        </is>
      </c>
      <c r="G54" t="inlineStr">
        <is>
          <t>HÖGSBY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58792-2022 artfynd.xlsx", "A 58792-2022")</f>
        <v/>
      </c>
      <c r="X54">
        <f>HYPERLINK("https://klasma.github.io/Logging_0821/kartor/A 58792-2022 karta.png", "A 58792-2022")</f>
        <v/>
      </c>
      <c r="Y54">
        <f>HYPERLINK("https://klasma.github.io/Logging_0821/kartor_geotiff/A 58792-2022 georefererad karta.tif", "A 58792-2022")</f>
        <v/>
      </c>
      <c r="AA54">
        <f>HYPERLINK("https://klasma.github.io/Logging_0821/klagomål/A 58792-2022 FSC-klagomål.docx", "A 58792-2022")</f>
        <v/>
      </c>
      <c r="AB54">
        <f>HYPERLINK("https://klasma.github.io/Logging_0821/klagomålsmail/A 58792-2022 FSC-klagomål mail.docx", "A 58792-2022")</f>
        <v/>
      </c>
      <c r="AC54">
        <f>HYPERLINK("https://klasma.github.io/Logging_0821/tillsyn/A 58792-2022 tillsynsbegäran.docx", "A 58792-2022")</f>
        <v/>
      </c>
      <c r="AD54">
        <f>HYPERLINK("https://klasma.github.io/Logging_0821/tillsynsmail/A 58792-2022 tillsynsbegäran mail.docx", "A 58792-2022")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46326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52177-2022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46326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Nordfladdermus</t>
        </is>
      </c>
      <c r="W56">
        <f>HYPERLINK("https://klasma.github.io/Logging_0821/artfynd/A 52177-2022 artfynd.xlsx", "A 52177-2022")</f>
        <v/>
      </c>
      <c r="X56">
        <f>HYPERLINK("https://klasma.github.io/Logging_0821/kartor/A 52177-2022 karta.png", "A 52177-2022")</f>
        <v/>
      </c>
      <c r="Y56">
        <f>HYPERLINK("https://klasma.github.io/Logging_0821/kartor_geotiff/A 52177-2022 georefererad karta.tif", "A 52177-2022")</f>
        <v/>
      </c>
      <c r="AA56">
        <f>HYPERLINK("https://klasma.github.io/Logging_0821/klagomål/A 52177-2022 FSC-klagomål.docx", "A 52177-2022")</f>
        <v/>
      </c>
      <c r="AB56">
        <f>HYPERLINK("https://klasma.github.io/Logging_0821/klagomålsmail/A 52177-2022 FSC-klagomål mail.docx", "A 52177-2022")</f>
        <v/>
      </c>
      <c r="AC56">
        <f>HYPERLINK("https://klasma.github.io/Logging_0821/tillsyn/A 52177-2022 tillsynsbegäran.docx", "A 52177-2022")</f>
        <v/>
      </c>
      <c r="AD56">
        <f>HYPERLINK("https://klasma.github.io/Logging_0821/tillsynsmail/A 52177-2022 tillsynsbegäran mail.docx", "A 52177-2022")</f>
        <v/>
      </c>
    </row>
    <row r="57" ht="15" customHeight="1">
      <c r="A57" t="inlineStr">
        <is>
          <t>A 28894-2026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46199</v>
      </c>
      <c r="E57" s="1" t="n">
        <v>46326</v>
      </c>
      <c r="F57" t="inlineStr">
        <is>
          <t>KALMAR LÄN</t>
        </is>
      </c>
      <c r="G57" t="inlineStr">
        <is>
          <t>HÖGSBY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HYPERLINK("https://klasma.github.io/Logging_0821/artfynd/A 28894-2026 artfynd.xlsx", "A 28894-2026")</f>
        <v/>
      </c>
      <c r="X57">
        <f>HYPERLINK("https://klasma.github.io/Logging_0821/kartor/A 28894-2026 karta.png", "A 28894-2026")</f>
        <v/>
      </c>
      <c r="Y57">
        <f>HYPERLINK("https://klasma.github.io/Logging_0821/kartor_geotiff/A 28894-2026 georefererad karta.tif", "A 28894-2026")</f>
        <v/>
      </c>
      <c r="AA57">
        <f>HYPERLINK("https://klasma.github.io/Logging_0821/klagomål/A 28894-2026 FSC-klagomål.docx", "A 28894-2026")</f>
        <v/>
      </c>
      <c r="AB57">
        <f>HYPERLINK("https://klasma.github.io/Logging_0821/klagomålsmail/A 28894-2026 FSC-klagomål mail.docx", "A 28894-2026")</f>
        <v/>
      </c>
      <c r="AC57">
        <f>HYPERLINK("https://klasma.github.io/Logging_0821/tillsyn/A 28894-2026 tillsynsbegäran.docx", "A 28894-2026")</f>
        <v/>
      </c>
      <c r="AD57">
        <f>HYPERLINK("https://klasma.github.io/Logging_0821/tillsynsmail/A 28894-2026 tillsynsbegäran mail.docx", "A 28894-2026")</f>
        <v/>
      </c>
      <c r="AE57">
        <f>HYPERLINK("https://klasma.github.io/Logging_0821/fåglar/A 28894-2026 prioriterade fågelarter.docx", "A 28894-2026")</f>
        <v/>
      </c>
    </row>
    <row r="58" ht="15" customHeight="1">
      <c r="A58" t="inlineStr">
        <is>
          <t>A 30186-2026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46206</v>
      </c>
      <c r="E58" s="1" t="n">
        <v>46326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Gullklöver</t>
        </is>
      </c>
      <c r="W58">
        <f>HYPERLINK("https://klasma.github.io/Logging_0821/artfynd/A 30186-2026 artfynd.xlsx", "A 30186-2026")</f>
        <v/>
      </c>
      <c r="X58">
        <f>HYPERLINK("https://klasma.github.io/Logging_0821/kartor/A 30186-2026 karta.png", "A 30186-2026")</f>
        <v/>
      </c>
      <c r="Y58">
        <f>HYPERLINK("https://klasma.github.io/Logging_0821/kartor_geotiff/A 30186-2026 georefererad karta.tif", "A 30186-2026")</f>
        <v/>
      </c>
      <c r="AA58">
        <f>HYPERLINK("https://klasma.github.io/Logging_0821/klagomål/A 30186-2026 FSC-klagomål.docx", "A 30186-2026")</f>
        <v/>
      </c>
      <c r="AB58">
        <f>HYPERLINK("https://klasma.github.io/Logging_0821/klagomålsmail/A 30186-2026 FSC-klagomål mail.docx", "A 30186-2026")</f>
        <v/>
      </c>
      <c r="AC58">
        <f>HYPERLINK("https://klasma.github.io/Logging_0821/tillsyn/A 30186-2026 tillsynsbegäran.docx", "A 30186-2026")</f>
        <v/>
      </c>
      <c r="AD58">
        <f>HYPERLINK("https://klasma.github.io/Logging_0821/tillsynsmail/A 30186-2026 tillsynsbegäran mail.docx", "A 30186-2026")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46326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A 59407-2022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44907</v>
      </c>
      <c r="E60" s="1" t="n">
        <v>46326</v>
      </c>
      <c r="F60" t="inlineStr">
        <is>
          <t>KALMAR LÄN</t>
        </is>
      </c>
      <c r="G60" t="inlineStr">
        <is>
          <t>HÖGSBY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Blåsippa</t>
        </is>
      </c>
      <c r="W60">
        <f>HYPERLINK("https://klasma.github.io/Logging_0821/artfynd/A 59407-2022 artfynd.xlsx", "A 59407-2022")</f>
        <v/>
      </c>
      <c r="X60">
        <f>HYPERLINK("https://klasma.github.io/Logging_0821/kartor/A 59407-2022 karta.png", "A 59407-2022")</f>
        <v/>
      </c>
      <c r="Y60">
        <f>HYPERLINK("https://klasma.github.io/Logging_0821/kartor_geotiff/A 59407-2022 georefererad karta.tif", "A 59407-2022")</f>
        <v/>
      </c>
      <c r="AA60">
        <f>HYPERLINK("https://klasma.github.io/Logging_0821/klagomål/A 59407-2022 FSC-klagomål.docx", "A 59407-2022")</f>
        <v/>
      </c>
      <c r="AB60">
        <f>HYPERLINK("https://klasma.github.io/Logging_0821/klagomålsmail/A 59407-2022 FSC-klagomål mail.docx", "A 59407-2022")</f>
        <v/>
      </c>
      <c r="AC60">
        <f>HYPERLINK("https://klasma.github.io/Logging_0821/tillsyn/A 59407-2022 tillsynsbegäran.docx", "A 59407-2022")</f>
        <v/>
      </c>
      <c r="AD60">
        <f>HYPERLINK("https://klasma.github.io/Logging_0821/tillsynsmail/A 59407-2022 tillsynsbegäran mail.docx", "A 59407-2022")</f>
        <v/>
      </c>
    </row>
    <row r="61" ht="15" customHeight="1">
      <c r="A61" t="inlineStr">
        <is>
          <t>A 39491-2026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46289</v>
      </c>
      <c r="E61" s="1" t="n">
        <v>46326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HYPERLINK("https://klasma.github.io/Logging_0821/artfynd/A 39491-2026 artfynd.xlsx", "A 39491-2026")</f>
        <v/>
      </c>
      <c r="X61">
        <f>HYPERLINK("https://klasma.github.io/Logging_0821/kartor/A 39491-2026 karta.png", "A 39491-2026")</f>
        <v/>
      </c>
      <c r="Y61">
        <f>HYPERLINK("https://klasma.github.io/Logging_0821/kartor_geotiff/A 39491-2026 georefererad karta.tif", "A 39491-2026")</f>
        <v/>
      </c>
      <c r="AA61">
        <f>HYPERLINK("https://klasma.github.io/Logging_0821/klagomål/A 39491-2026 FSC-klagomål.docx", "A 39491-2026")</f>
        <v/>
      </c>
      <c r="AB61">
        <f>HYPERLINK("https://klasma.github.io/Logging_0821/klagomålsmail/A 39491-2026 FSC-klagomål mail.docx", "A 39491-2026")</f>
        <v/>
      </c>
      <c r="AC61">
        <f>HYPERLINK("https://klasma.github.io/Logging_0821/tillsyn/A 39491-2026 tillsynsbegäran.docx", "A 39491-2026")</f>
        <v/>
      </c>
      <c r="AD61">
        <f>HYPERLINK("https://klasma.github.io/Logging_0821/tillsynsmail/A 39491-2026 tillsynsbegäran mail.docx", "A 39491-2026")</f>
        <v/>
      </c>
    </row>
    <row r="62" ht="15" customHeight="1">
      <c r="A62" t="inlineStr">
        <is>
          <t>A 19519-2025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45770</v>
      </c>
      <c r="E62" s="1" t="n">
        <v>46326</v>
      </c>
      <c r="F62" t="inlineStr">
        <is>
          <t>KALMAR LÄN</t>
        </is>
      </c>
      <c r="G62" t="inlineStr">
        <is>
          <t>HÖGSBY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HYPERLINK("https://klasma.github.io/Logging_0821/artfynd/A 19519-2025 artfynd.xlsx", "A 19519-2025")</f>
        <v/>
      </c>
      <c r="X62">
        <f>HYPERLINK("https://klasma.github.io/Logging_0821/kartor/A 19519-2025 karta.png", "A 19519-2025")</f>
        <v/>
      </c>
      <c r="Y62">
        <f>HYPERLINK("https://klasma.github.io/Logging_0821/kartor_geotiff/A 19519-2025 georefererad karta.tif", "A 19519-2025")</f>
        <v/>
      </c>
      <c r="AA62">
        <f>HYPERLINK("https://klasma.github.io/Logging_0821/klagomål/A 19519-2025 FSC-klagomål.docx", "A 19519-2025")</f>
        <v/>
      </c>
      <c r="AB62">
        <f>HYPERLINK("https://klasma.github.io/Logging_0821/klagomålsmail/A 19519-2025 FSC-klagomål mail.docx", "A 19519-2025")</f>
        <v/>
      </c>
      <c r="AC62">
        <f>HYPERLINK("https://klasma.github.io/Logging_0821/tillsyn/A 19519-2025 tillsynsbegäran.docx", "A 19519-2025")</f>
        <v/>
      </c>
      <c r="AD62">
        <f>HYPERLINK("https://klasma.github.io/Logging_0821/tillsynsmail/A 19519-2025 tillsynsbegäran mail.docx", "A 19519-2025")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46326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46326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46326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46326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46326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46326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46326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46326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46326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46326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46326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46326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46326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46326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46326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46326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46326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46326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46326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46326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46326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46326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46326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46326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46326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46326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46326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46326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46326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46326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46326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46326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46326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46326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46326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46326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46326</v>
      </c>
      <c r="F99" t="inlineStr">
        <is>
          <t>KALMAR LÄN</t>
        </is>
      </c>
      <c r="G99" t="inlineStr">
        <is>
          <t>HÖGSBY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45244</v>
      </c>
      <c r="E100" s="1" t="n">
        <v>46326</v>
      </c>
      <c r="F100" t="inlineStr">
        <is>
          <t>KALMAR LÄN</t>
        </is>
      </c>
      <c r="G100" t="inlineStr">
        <is>
          <t>HÖGSBY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46326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46326</v>
      </c>
      <c r="F102" t="inlineStr">
        <is>
          <t>KALMAR LÄN</t>
        </is>
      </c>
      <c r="G102" t="inlineStr">
        <is>
          <t>HÖGSBY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45040</v>
      </c>
      <c r="E103" s="1" t="n">
        <v>46326</v>
      </c>
      <c r="F103" t="inlineStr">
        <is>
          <t>KALMAR LÄN</t>
        </is>
      </c>
      <c r="G103" t="inlineStr">
        <is>
          <t>HÖGSBY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46326</v>
      </c>
      <c r="F104" t="inlineStr">
        <is>
          <t>KALMAR LÄN</t>
        </is>
      </c>
      <c r="G104" t="inlineStr">
        <is>
          <t>HÖGSBY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46326</v>
      </c>
      <c r="F105" t="inlineStr">
        <is>
          <t>KALMAR LÄN</t>
        </is>
      </c>
      <c r="G105" t="inlineStr">
        <is>
          <t>HÖGSBY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46326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46326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46326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46326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46326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59281-2022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44904</v>
      </c>
      <c r="E111" s="1" t="n">
        <v>46326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46326</v>
      </c>
      <c r="F112" t="inlineStr">
        <is>
          <t>KALMAR LÄN</t>
        </is>
      </c>
      <c r="G112" t="inlineStr">
        <is>
          <t>HÖGSBY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46326</v>
      </c>
      <c r="F113" t="inlineStr">
        <is>
          <t>KALMAR LÄN</t>
        </is>
      </c>
      <c r="G113" t="inlineStr">
        <is>
          <t>HÖGSBY</t>
        </is>
      </c>
      <c r="H113" t="inlineStr">
        <is>
          <t>Övriga Aktiebolag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37811-2024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45544</v>
      </c>
      <c r="E114" s="1" t="n">
        <v>46326</v>
      </c>
      <c r="F114" t="inlineStr">
        <is>
          <t>KALMAR LÄN</t>
        </is>
      </c>
      <c r="G114" t="inlineStr">
        <is>
          <t>HÖGSBY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46326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46326</v>
      </c>
      <c r="F116" t="inlineStr">
        <is>
          <t>KALMAR LÄN</t>
        </is>
      </c>
      <c r="G116" t="inlineStr">
        <is>
          <t>HÖGSBY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46326</v>
      </c>
      <c r="F117" t="inlineStr">
        <is>
          <t>KALMAR LÄN</t>
        </is>
      </c>
      <c r="G117" t="inlineStr">
        <is>
          <t>HÖGSBY</t>
        </is>
      </c>
      <c r="H117" t="inlineStr">
        <is>
          <t>Övriga Aktiebolag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46326</v>
      </c>
      <c r="F118" t="inlineStr">
        <is>
          <t>KALMAR LÄN</t>
        </is>
      </c>
      <c r="G118" t="inlineStr">
        <is>
          <t>HÖGSBY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44987</v>
      </c>
      <c r="E119" s="1" t="n">
        <v>46326</v>
      </c>
      <c r="F119" t="inlineStr">
        <is>
          <t>KALMAR LÄN</t>
        </is>
      </c>
      <c r="G119" t="inlineStr">
        <is>
          <t>HÖGSBY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49338-2022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44861</v>
      </c>
      <c r="E120" s="1" t="n">
        <v>46326</v>
      </c>
      <c r="F120" t="inlineStr">
        <is>
          <t>KALMAR LÄN</t>
        </is>
      </c>
      <c r="G120" t="inlineStr">
        <is>
          <t>HÖGSBY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57000-2024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45626</v>
      </c>
      <c r="E121" s="1" t="n">
        <v>46326</v>
      </c>
      <c r="F121" t="inlineStr">
        <is>
          <t>KALMAR LÄN</t>
        </is>
      </c>
      <c r="G121" t="inlineStr">
        <is>
          <t>HÖGSBY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44729</v>
      </c>
      <c r="E122" s="1" t="n">
        <v>46326</v>
      </c>
      <c r="F122" t="inlineStr">
        <is>
          <t>KALMAR LÄN</t>
        </is>
      </c>
      <c r="G122" t="inlineStr">
        <is>
          <t>HÖGSBY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46326</v>
      </c>
      <c r="F123" t="inlineStr">
        <is>
          <t>KALMAR LÄN</t>
        </is>
      </c>
      <c r="G123" t="inlineStr">
        <is>
          <t>HÖGSBY</t>
        </is>
      </c>
      <c r="H123" t="inlineStr">
        <is>
          <t>Kommuner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46326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45688</v>
      </c>
      <c r="E125" s="1" t="n">
        <v>46326</v>
      </c>
      <c r="F125" t="inlineStr">
        <is>
          <t>KALMAR LÄN</t>
        </is>
      </c>
      <c r="G125" t="inlineStr">
        <is>
          <t>HÖGSBY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46326</v>
      </c>
      <c r="F126" t="inlineStr">
        <is>
          <t>KALMAR LÄN</t>
        </is>
      </c>
      <c r="G126" t="inlineStr">
        <is>
          <t>HÖGSBY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44991</v>
      </c>
      <c r="E127" s="1" t="n">
        <v>46326</v>
      </c>
      <c r="F127" t="inlineStr">
        <is>
          <t>KALMAR LÄN</t>
        </is>
      </c>
      <c r="G127" t="inlineStr">
        <is>
          <t>HÖGSBY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10412-2022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46326</v>
      </c>
      <c r="F128" t="inlineStr">
        <is>
          <t>KALMAR LÄN</t>
        </is>
      </c>
      <c r="G128" t="inlineStr">
        <is>
          <t>HÖGSBY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46326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46326</v>
      </c>
      <c r="F130" t="inlineStr">
        <is>
          <t>KALMAR LÄN</t>
        </is>
      </c>
      <c r="G130" t="inlineStr">
        <is>
          <t>HÖGSBY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46326</v>
      </c>
      <c r="F131" t="inlineStr">
        <is>
          <t>KALMAR LÄN</t>
        </is>
      </c>
      <c r="G131" t="inlineStr">
        <is>
          <t>HÖGSBY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46326</v>
      </c>
      <c r="F132" t="inlineStr">
        <is>
          <t>KALMAR LÄN</t>
        </is>
      </c>
      <c r="G132" t="inlineStr">
        <is>
          <t>HÖGSBY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44677</v>
      </c>
      <c r="E133" s="1" t="n">
        <v>46326</v>
      </c>
      <c r="F133" t="inlineStr">
        <is>
          <t>KALMAR LÄN</t>
        </is>
      </c>
      <c r="G133" t="inlineStr">
        <is>
          <t>HÖGSBY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46326</v>
      </c>
      <c r="F134" t="inlineStr">
        <is>
          <t>KALMAR LÄN</t>
        </is>
      </c>
      <c r="G134" t="inlineStr">
        <is>
          <t>HÖGSBY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46326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45749</v>
      </c>
      <c r="E136" s="1" t="n">
        <v>46326</v>
      </c>
      <c r="F136" t="inlineStr">
        <is>
          <t>KALMAR LÄN</t>
        </is>
      </c>
      <c r="G136" t="inlineStr">
        <is>
          <t>HÖGSBY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46326</v>
      </c>
      <c r="F137" t="inlineStr">
        <is>
          <t>KALMAR LÄN</t>
        </is>
      </c>
      <c r="G137" t="inlineStr">
        <is>
          <t>HÖGSBY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46326</v>
      </c>
      <c r="F138" t="inlineStr">
        <is>
          <t>KALMAR LÄN</t>
        </is>
      </c>
      <c r="G138" t="inlineStr">
        <is>
          <t>HÖGSBY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25861-2023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46326</v>
      </c>
      <c r="F139" t="inlineStr">
        <is>
          <t>KALMAR LÄN</t>
        </is>
      </c>
      <c r="G139" t="inlineStr">
        <is>
          <t>HÖGSBY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46326</v>
      </c>
      <c r="F140" t="inlineStr">
        <is>
          <t>KALMAR LÄN</t>
        </is>
      </c>
      <c r="G140" t="inlineStr">
        <is>
          <t>HÖGSBY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45532</v>
      </c>
      <c r="E141" s="1" t="n">
        <v>46326</v>
      </c>
      <c r="F141" t="inlineStr">
        <is>
          <t>KALMAR LÄN</t>
        </is>
      </c>
      <c r="G141" t="inlineStr">
        <is>
          <t>HÖGSBY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46326</v>
      </c>
      <c r="F142" t="inlineStr">
        <is>
          <t>KALMAR LÄN</t>
        </is>
      </c>
      <c r="G142" t="inlineStr">
        <is>
          <t>HÖGSBY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46326</v>
      </c>
      <c r="F143" t="inlineStr">
        <is>
          <t>KALMAR LÄN</t>
        </is>
      </c>
      <c r="G143" t="inlineStr">
        <is>
          <t>HÖGSBY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45847</v>
      </c>
      <c r="E144" s="1" t="n">
        <v>46326</v>
      </c>
      <c r="F144" t="inlineStr">
        <is>
          <t>KALMAR LÄN</t>
        </is>
      </c>
      <c r="G144" t="inlineStr">
        <is>
          <t>HÖGSBY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45154</v>
      </c>
      <c r="E145" s="1" t="n">
        <v>46326</v>
      </c>
      <c r="F145" t="inlineStr">
        <is>
          <t>KALMAR LÄN</t>
        </is>
      </c>
      <c r="G145" t="inlineStr">
        <is>
          <t>HÖGSBY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46326</v>
      </c>
      <c r="F146" t="inlineStr">
        <is>
          <t>KALMAR LÄN</t>
        </is>
      </c>
      <c r="G146" t="inlineStr">
        <is>
          <t>HÖGSBY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34579-2025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45847</v>
      </c>
      <c r="E147" s="1" t="n">
        <v>46326</v>
      </c>
      <c r="F147" t="inlineStr">
        <is>
          <t>KALMAR LÄN</t>
        </is>
      </c>
      <c r="G147" t="inlineStr">
        <is>
          <t>HÖGSBY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46326</v>
      </c>
      <c r="F148" t="inlineStr">
        <is>
          <t>KALMAR LÄN</t>
        </is>
      </c>
      <c r="G148" t="inlineStr">
        <is>
          <t>HÖGSBY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45554</v>
      </c>
      <c r="E149" s="1" t="n">
        <v>46326</v>
      </c>
      <c r="F149" t="inlineStr">
        <is>
          <t>KALMAR LÄN</t>
        </is>
      </c>
      <c r="G149" t="inlineStr">
        <is>
          <t>HÖGSBY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46326</v>
      </c>
      <c r="F150" t="inlineStr">
        <is>
          <t>KALMAR LÄN</t>
        </is>
      </c>
      <c r="G150" t="inlineStr">
        <is>
          <t>HÖGSBY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32049-2023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45119</v>
      </c>
      <c r="E151" s="1" t="n">
        <v>46326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45348</v>
      </c>
      <c r="E152" s="1" t="n">
        <v>46326</v>
      </c>
      <c r="F152" t="inlineStr">
        <is>
          <t>KALMAR LÄN</t>
        </is>
      </c>
      <c r="G152" t="inlineStr">
        <is>
          <t>HÖGSBY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38824-2024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45547</v>
      </c>
      <c r="E153" s="1" t="n">
        <v>46326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7.7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45176</v>
      </c>
      <c r="E154" s="1" t="n">
        <v>46326</v>
      </c>
      <c r="F154" t="inlineStr">
        <is>
          <t>KALMAR LÄN</t>
        </is>
      </c>
      <c r="G154" t="inlineStr">
        <is>
          <t>HÖGSBY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28648-2023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45103</v>
      </c>
      <c r="E155" s="1" t="n">
        <v>46326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38068-2025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45882</v>
      </c>
      <c r="E156" s="1" t="n">
        <v>46326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46058</v>
      </c>
      <c r="E157" s="1" t="n">
        <v>46326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45946</v>
      </c>
      <c r="E158" s="1" t="n">
        <v>46326</v>
      </c>
      <c r="F158" t="inlineStr">
        <is>
          <t>KALMAR LÄN</t>
        </is>
      </c>
      <c r="G158" t="inlineStr">
        <is>
          <t>HÖGSBY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46326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46326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45950</v>
      </c>
      <c r="E161" s="1" t="n">
        <v>46326</v>
      </c>
      <c r="F161" t="inlineStr">
        <is>
          <t>KALMAR LÄN</t>
        </is>
      </c>
      <c r="G161" t="inlineStr">
        <is>
          <t>HÖGSBY</t>
        </is>
      </c>
      <c r="I161" t="n">
        <v>12.8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7443-2026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46059</v>
      </c>
      <c r="E162" s="1" t="n">
        <v>46326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73709-2021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46326</v>
      </c>
      <c r="F163" t="inlineStr">
        <is>
          <t>KALMAR LÄN</t>
        </is>
      </c>
      <c r="G163" t="inlineStr">
        <is>
          <t>HÖGSBY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46326</v>
      </c>
      <c r="F164" t="inlineStr">
        <is>
          <t>KALMAR LÄN</t>
        </is>
      </c>
      <c r="G164" t="inlineStr">
        <is>
          <t>HÖGSBY</t>
        </is>
      </c>
      <c r="H164" t="inlineStr">
        <is>
          <t>Kyrkan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46326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46326</v>
      </c>
      <c r="F166" t="inlineStr">
        <is>
          <t>KALMAR LÄN</t>
        </is>
      </c>
      <c r="G166" t="inlineStr">
        <is>
          <t>HÖGSBY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46326</v>
      </c>
      <c r="F167" t="inlineStr">
        <is>
          <t>KALMAR LÄN</t>
        </is>
      </c>
      <c r="G167" t="inlineStr">
        <is>
          <t>HÖGSBY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46326</v>
      </c>
      <c r="F168" t="inlineStr">
        <is>
          <t>KALMAR LÄN</t>
        </is>
      </c>
      <c r="G168" t="inlineStr">
        <is>
          <t>HÖGSBY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22688-2025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45789</v>
      </c>
      <c r="E169" s="1" t="n">
        <v>46326</v>
      </c>
      <c r="F169" t="inlineStr">
        <is>
          <t>KALMAR LÄN</t>
        </is>
      </c>
      <c r="G169" t="inlineStr">
        <is>
          <t>HÖGSBY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60446-2023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45259</v>
      </c>
      <c r="E170" s="1" t="n">
        <v>46326</v>
      </c>
      <c r="F170" t="inlineStr">
        <is>
          <t>KALMAR LÄN</t>
        </is>
      </c>
      <c r="G170" t="inlineStr">
        <is>
          <t>HÖGSBY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46326</v>
      </c>
      <c r="F171" t="inlineStr">
        <is>
          <t>KALMAR LÄN</t>
        </is>
      </c>
      <c r="G171" t="inlineStr">
        <is>
          <t>HÖGSBY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46326</v>
      </c>
      <c r="F172" t="inlineStr">
        <is>
          <t>KALMAR LÄN</t>
        </is>
      </c>
      <c r="G172" t="inlineStr">
        <is>
          <t>HÖGSBY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46326</v>
      </c>
      <c r="F173" t="inlineStr">
        <is>
          <t>KALMAR LÄN</t>
        </is>
      </c>
      <c r="G173" t="inlineStr">
        <is>
          <t>HÖGSBY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46326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44586</v>
      </c>
      <c r="E175" s="1" t="n">
        <v>46326</v>
      </c>
      <c r="F175" t="inlineStr">
        <is>
          <t>KALMAR LÄN</t>
        </is>
      </c>
      <c r="G175" t="inlineStr">
        <is>
          <t>HÖGSBY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44991</v>
      </c>
      <c r="E176" s="1" t="n">
        <v>46326</v>
      </c>
      <c r="F176" t="inlineStr">
        <is>
          <t>KALMAR LÄN</t>
        </is>
      </c>
      <c r="G176" t="inlineStr">
        <is>
          <t>HÖGSBY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46326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46079</v>
      </c>
      <c r="E178" s="1" t="n">
        <v>46326</v>
      </c>
      <c r="F178" t="inlineStr">
        <is>
          <t>KALMAR LÄN</t>
        </is>
      </c>
      <c r="G178" t="inlineStr">
        <is>
          <t>HÖGSBY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46326</v>
      </c>
      <c r="F179" t="inlineStr">
        <is>
          <t>KALMAR LÄN</t>
        </is>
      </c>
      <c r="G179" t="inlineStr">
        <is>
          <t>HÖGSBY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40990-2023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45173</v>
      </c>
      <c r="E180" s="1" t="n">
        <v>46326</v>
      </c>
      <c r="F180" t="inlineStr">
        <is>
          <t>KALMAR LÄN</t>
        </is>
      </c>
      <c r="G180" t="inlineStr">
        <is>
          <t>HÖGSBY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71635-2021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44543</v>
      </c>
      <c r="E181" s="1" t="n">
        <v>46326</v>
      </c>
      <c r="F181" t="inlineStr">
        <is>
          <t>KALMAR LÄN</t>
        </is>
      </c>
      <c r="G181" t="inlineStr">
        <is>
          <t>HÖGSBY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45228</v>
      </c>
      <c r="E182" s="1" t="n">
        <v>46326</v>
      </c>
      <c r="F182" t="inlineStr">
        <is>
          <t>KALMAR LÄN</t>
        </is>
      </c>
      <c r="G182" t="inlineStr">
        <is>
          <t>HÖGSBY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46326</v>
      </c>
      <c r="F183" t="inlineStr">
        <is>
          <t>KALMAR LÄN</t>
        </is>
      </c>
      <c r="G183" t="inlineStr">
        <is>
          <t>HÖGSBY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46326</v>
      </c>
      <c r="F184" t="inlineStr">
        <is>
          <t>KALMAR LÄN</t>
        </is>
      </c>
      <c r="G184" t="inlineStr">
        <is>
          <t>HÖGSBY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46326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44993</v>
      </c>
      <c r="E186" s="1" t="n">
        <v>46326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45702</v>
      </c>
      <c r="E187" s="1" t="n">
        <v>46326</v>
      </c>
      <c r="F187" t="inlineStr">
        <is>
          <t>KALMAR LÄN</t>
        </is>
      </c>
      <c r="G187" t="inlineStr">
        <is>
          <t>HÖGSBY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13098-2026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46093</v>
      </c>
      <c r="E188" s="1" t="n">
        <v>46326</v>
      </c>
      <c r="F188" t="inlineStr">
        <is>
          <t>KALMAR LÄN</t>
        </is>
      </c>
      <c r="G188" t="inlineStr">
        <is>
          <t>HÖGSBY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46326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46326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46326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46326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18.4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46326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46326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44725</v>
      </c>
      <c r="E195" s="1" t="n">
        <v>46326</v>
      </c>
      <c r="F195" t="inlineStr">
        <is>
          <t>KALMAR LÄN</t>
        </is>
      </c>
      <c r="G195" t="inlineStr">
        <is>
          <t>HÖGSBY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46326</v>
      </c>
      <c r="F196" t="inlineStr">
        <is>
          <t>KALMAR LÄN</t>
        </is>
      </c>
      <c r="G196" t="inlineStr">
        <is>
          <t>HÖGSBY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62720-2025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46008</v>
      </c>
      <c r="E197" s="1" t="n">
        <v>46326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62722-2025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46008</v>
      </c>
      <c r="E198" s="1" t="n">
        <v>46326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44625</v>
      </c>
      <c r="E199" s="1" t="n">
        <v>46326</v>
      </c>
      <c r="F199" t="inlineStr">
        <is>
          <t>KALMAR LÄN</t>
        </is>
      </c>
      <c r="G199" t="inlineStr">
        <is>
          <t>HÖGSBY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44625</v>
      </c>
      <c r="E200" s="1" t="n">
        <v>46326</v>
      </c>
      <c r="F200" t="inlineStr">
        <is>
          <t>KALMAR LÄN</t>
        </is>
      </c>
      <c r="G200" t="inlineStr">
        <is>
          <t>HÖGSBY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45204</v>
      </c>
      <c r="E201" s="1" t="n">
        <v>46326</v>
      </c>
      <c r="F201" t="inlineStr">
        <is>
          <t>KALMAR LÄN</t>
        </is>
      </c>
      <c r="G201" t="inlineStr">
        <is>
          <t>HÖGSBY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46326</v>
      </c>
      <c r="F202" t="inlineStr">
        <is>
          <t>KALMAR LÄN</t>
        </is>
      </c>
      <c r="G202" t="inlineStr">
        <is>
          <t>HÖGSBY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50727-2023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45217</v>
      </c>
      <c r="E203" s="1" t="n">
        <v>46326</v>
      </c>
      <c r="F203" t="inlineStr">
        <is>
          <t>KALMAR LÄN</t>
        </is>
      </c>
      <c r="G203" t="inlineStr">
        <is>
          <t>HÖGSBY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45393</v>
      </c>
      <c r="E204" s="1" t="n">
        <v>46326</v>
      </c>
      <c r="F204" t="inlineStr">
        <is>
          <t>KALMAR LÄN</t>
        </is>
      </c>
      <c r="G204" t="inlineStr">
        <is>
          <t>HÖGSBY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37320-2022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46326</v>
      </c>
      <c r="F205" t="inlineStr">
        <is>
          <t>KALMAR LÄN</t>
        </is>
      </c>
      <c r="G205" t="inlineStr">
        <is>
          <t>HÖGSBY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14894-2025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45743</v>
      </c>
      <c r="E206" s="1" t="n">
        <v>46326</v>
      </c>
      <c r="F206" t="inlineStr">
        <is>
          <t>KALMAR LÄN</t>
        </is>
      </c>
      <c r="G206" t="inlineStr">
        <is>
          <t>HÖGSBY</t>
        </is>
      </c>
      <c r="H206" t="inlineStr">
        <is>
          <t>Kommuner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46326</v>
      </c>
      <c r="F207" t="inlineStr">
        <is>
          <t>KALMAR LÄN</t>
        </is>
      </c>
      <c r="G207" t="inlineStr">
        <is>
          <t>HÖGSBY</t>
        </is>
      </c>
      <c r="H207" t="inlineStr">
        <is>
          <t>Övriga Aktiebolag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17216-2023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46326</v>
      </c>
      <c r="F208" t="inlineStr">
        <is>
          <t>KALMAR LÄN</t>
        </is>
      </c>
      <c r="G208" t="inlineStr">
        <is>
          <t>HÖGSBY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45337</v>
      </c>
      <c r="E209" s="1" t="n">
        <v>46326</v>
      </c>
      <c r="F209" t="inlineStr">
        <is>
          <t>KALMAR LÄN</t>
        </is>
      </c>
      <c r="G209" t="inlineStr">
        <is>
          <t>HÖGSBY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46326</v>
      </c>
      <c r="F210" t="inlineStr">
        <is>
          <t>KALMAR LÄN</t>
        </is>
      </c>
      <c r="G210" t="inlineStr">
        <is>
          <t>HÖGSBY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45247</v>
      </c>
      <c r="E211" s="1" t="n">
        <v>46326</v>
      </c>
      <c r="F211" t="inlineStr">
        <is>
          <t>KALMAR LÄN</t>
        </is>
      </c>
      <c r="G211" t="inlineStr">
        <is>
          <t>HÖGSBY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44861</v>
      </c>
      <c r="E212" s="1" t="n">
        <v>46326</v>
      </c>
      <c r="F212" t="inlineStr">
        <is>
          <t>KALMAR LÄN</t>
        </is>
      </c>
      <c r="G212" t="inlineStr">
        <is>
          <t>HÖGSBY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46326</v>
      </c>
      <c r="F213" t="inlineStr">
        <is>
          <t>KALMAR LÄN</t>
        </is>
      </c>
      <c r="G213" t="inlineStr">
        <is>
          <t>HÖGSBY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46111</v>
      </c>
      <c r="E214" s="1" t="n">
        <v>46326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17090-2026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46114</v>
      </c>
      <c r="E215" s="1" t="n">
        <v>46326</v>
      </c>
      <c r="F215" t="inlineStr">
        <is>
          <t>KALMAR LÄN</t>
        </is>
      </c>
      <c r="G215" t="inlineStr">
        <is>
          <t>HÖGSBY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45414</v>
      </c>
      <c r="E216" s="1" t="n">
        <v>46326</v>
      </c>
      <c r="F216" t="inlineStr">
        <is>
          <t>KALMAR LÄN</t>
        </is>
      </c>
      <c r="G216" t="inlineStr">
        <is>
          <t>HÖGSBY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46122</v>
      </c>
      <c r="E217" s="1" t="n">
        <v>46326</v>
      </c>
      <c r="F217" t="inlineStr">
        <is>
          <t>KALMAR LÄN</t>
        </is>
      </c>
      <c r="G217" t="inlineStr">
        <is>
          <t>HÖGSBY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46326</v>
      </c>
      <c r="F218" t="inlineStr">
        <is>
          <t>KALMAR LÄN</t>
        </is>
      </c>
      <c r="G218" t="inlineStr">
        <is>
          <t>HÖGSBY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46122</v>
      </c>
      <c r="E219" s="1" t="n">
        <v>46326</v>
      </c>
      <c r="F219" t="inlineStr">
        <is>
          <t>KALMAR LÄN</t>
        </is>
      </c>
      <c r="G219" t="inlineStr">
        <is>
          <t>HÖGSBY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46326</v>
      </c>
      <c r="F220" t="inlineStr">
        <is>
          <t>KALMAR LÄN</t>
        </is>
      </c>
      <c r="G220" t="inlineStr">
        <is>
          <t>HÖGSBY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46326</v>
      </c>
      <c r="F221" t="inlineStr">
        <is>
          <t>KALMAR LÄN</t>
        </is>
      </c>
      <c r="G221" t="inlineStr">
        <is>
          <t>HÖGSBY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46326</v>
      </c>
      <c r="F222" t="inlineStr">
        <is>
          <t>KALMAR LÄN</t>
        </is>
      </c>
      <c r="G222" t="inlineStr">
        <is>
          <t>HÖGSBY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45071</v>
      </c>
      <c r="E223" s="1" t="n">
        <v>46326</v>
      </c>
      <c r="F223" t="inlineStr">
        <is>
          <t>KALMAR LÄN</t>
        </is>
      </c>
      <c r="G223" t="inlineStr">
        <is>
          <t>HÖGSBY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53413-2024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46326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45320</v>
      </c>
      <c r="E225" s="1" t="n">
        <v>46326</v>
      </c>
      <c r="F225" t="inlineStr">
        <is>
          <t>KALMAR LÄN</t>
        </is>
      </c>
      <c r="G225" t="inlineStr">
        <is>
          <t>HÖGSBY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46134</v>
      </c>
      <c r="E226" s="1" t="n">
        <v>46326</v>
      </c>
      <c r="F226" t="inlineStr">
        <is>
          <t>KALMAR LÄN</t>
        </is>
      </c>
      <c r="G226" t="inlineStr">
        <is>
          <t>HÖGSBY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31707-2023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45105</v>
      </c>
      <c r="E227" s="1" t="n">
        <v>46326</v>
      </c>
      <c r="F227" t="inlineStr">
        <is>
          <t>KALMAR LÄN</t>
        </is>
      </c>
      <c r="G227" t="inlineStr">
        <is>
          <t>HÖGSBY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46326</v>
      </c>
      <c r="F228" t="inlineStr">
        <is>
          <t>KALMAR LÄN</t>
        </is>
      </c>
      <c r="G228" t="inlineStr">
        <is>
          <t>HÖGSBY</t>
        </is>
      </c>
      <c r="H228" t="inlineStr">
        <is>
          <t>Kommuner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57006-2024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45626</v>
      </c>
      <c r="E229" s="1" t="n">
        <v>46326</v>
      </c>
      <c r="F229" t="inlineStr">
        <is>
          <t>KALMAR LÄN</t>
        </is>
      </c>
      <c r="G229" t="inlineStr">
        <is>
          <t>HÖGSBY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45754</v>
      </c>
      <c r="E230" s="1" t="n">
        <v>46326</v>
      </c>
      <c r="F230" t="inlineStr">
        <is>
          <t>KALMAR LÄN</t>
        </is>
      </c>
      <c r="G230" t="inlineStr">
        <is>
          <t>HÖGSBY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45608</v>
      </c>
      <c r="E231" s="1" t="n">
        <v>46326</v>
      </c>
      <c r="F231" t="inlineStr">
        <is>
          <t>KALMAR LÄN</t>
        </is>
      </c>
      <c r="G231" t="inlineStr">
        <is>
          <t>HÖGSBY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53129-2022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44876</v>
      </c>
      <c r="E232" s="1" t="n">
        <v>46326</v>
      </c>
      <c r="F232" t="inlineStr">
        <is>
          <t>KALMAR LÄN</t>
        </is>
      </c>
      <c r="G232" t="inlineStr">
        <is>
          <t>HÖGSBY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17864-2025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45758</v>
      </c>
      <c r="E233" s="1" t="n">
        <v>46326</v>
      </c>
      <c r="F233" t="inlineStr">
        <is>
          <t>KALMAR LÄN</t>
        </is>
      </c>
      <c r="G233" t="inlineStr">
        <is>
          <t>HÖGSBY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46326</v>
      </c>
      <c r="F234" t="inlineStr">
        <is>
          <t>KALMAR LÄN</t>
        </is>
      </c>
      <c r="G234" t="inlineStr">
        <is>
          <t>HÖGSBY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63379-2023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45274</v>
      </c>
      <c r="E235" s="1" t="n">
        <v>46326</v>
      </c>
      <c r="F235" t="inlineStr">
        <is>
          <t>KALMAR LÄN</t>
        </is>
      </c>
      <c r="G235" t="inlineStr">
        <is>
          <t>HÖGSBY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45793</v>
      </c>
      <c r="E236" s="1" t="n">
        <v>46326</v>
      </c>
      <c r="F236" t="inlineStr">
        <is>
          <t>KALMAR LÄN</t>
        </is>
      </c>
      <c r="G236" t="inlineStr">
        <is>
          <t>HÖGSBY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46326</v>
      </c>
      <c r="F237" t="inlineStr">
        <is>
          <t>KALMAR LÄN</t>
        </is>
      </c>
      <c r="G237" t="inlineStr">
        <is>
          <t>HÖGSBY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46048</v>
      </c>
      <c r="E238" s="1" t="n">
        <v>46326</v>
      </c>
      <c r="F238" t="inlineStr">
        <is>
          <t>KALMAR LÄN</t>
        </is>
      </c>
      <c r="G238" t="inlineStr">
        <is>
          <t>HÖGSBY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46326</v>
      </c>
      <c r="F239" t="inlineStr">
        <is>
          <t>KALMAR LÄN</t>
        </is>
      </c>
      <c r="G239" t="inlineStr">
        <is>
          <t>HÖGSBY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46326</v>
      </c>
      <c r="F240" t="inlineStr">
        <is>
          <t>KALMAR LÄN</t>
        </is>
      </c>
      <c r="G240" t="inlineStr">
        <is>
          <t>HÖGSBY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44809</v>
      </c>
      <c r="E241" s="1" t="n">
        <v>46326</v>
      </c>
      <c r="F241" t="inlineStr">
        <is>
          <t>KALMAR LÄN</t>
        </is>
      </c>
      <c r="G241" t="inlineStr">
        <is>
          <t>HÖGSBY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46326</v>
      </c>
      <c r="F242" t="inlineStr">
        <is>
          <t>KALMAR LÄN</t>
        </is>
      </c>
      <c r="G242" t="inlineStr">
        <is>
          <t>HÖGSBY</t>
        </is>
      </c>
      <c r="H242" t="inlineStr">
        <is>
          <t>Kommuner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45190</v>
      </c>
      <c r="E243" s="1" t="n">
        <v>46326</v>
      </c>
      <c r="F243" t="inlineStr">
        <is>
          <t>KALMAR LÄN</t>
        </is>
      </c>
      <c r="G243" t="inlineStr">
        <is>
          <t>HÖGSBY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45901</v>
      </c>
      <c r="E244" s="1" t="n">
        <v>46326</v>
      </c>
      <c r="F244" t="inlineStr">
        <is>
          <t>KALMAR LÄN</t>
        </is>
      </c>
      <c r="G244" t="inlineStr">
        <is>
          <t>HÖGSBY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29646-2025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45825</v>
      </c>
      <c r="E245" s="1" t="n">
        <v>46326</v>
      </c>
      <c r="F245" t="inlineStr">
        <is>
          <t>KALMAR LÄN</t>
        </is>
      </c>
      <c r="G245" t="inlineStr">
        <is>
          <t>HÖGSBY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50414-2024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46326</v>
      </c>
      <c r="F246" t="inlineStr">
        <is>
          <t>KALMAR LÄN</t>
        </is>
      </c>
      <c r="G246" t="inlineStr">
        <is>
          <t>HÖGSBY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46326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45391</v>
      </c>
      <c r="E248" s="1" t="n">
        <v>46326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46326</v>
      </c>
      <c r="F249" t="inlineStr">
        <is>
          <t>KALMAR LÄN</t>
        </is>
      </c>
      <c r="G249" t="inlineStr">
        <is>
          <t>HÖGSBY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46326</v>
      </c>
      <c r="F250" t="inlineStr">
        <is>
          <t>KALMAR LÄN</t>
        </is>
      </c>
      <c r="G250" t="inlineStr">
        <is>
          <t>HÖGSBY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45365</v>
      </c>
      <c r="E251" s="1" t="n">
        <v>46326</v>
      </c>
      <c r="F251" t="inlineStr">
        <is>
          <t>KALMAR LÄN</t>
        </is>
      </c>
      <c r="G251" t="inlineStr">
        <is>
          <t>HÖGSBY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8613-2022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44613</v>
      </c>
      <c r="E252" s="1" t="n">
        <v>46326</v>
      </c>
      <c r="F252" t="inlineStr">
        <is>
          <t>KALMAR LÄN</t>
        </is>
      </c>
      <c r="G252" t="inlineStr">
        <is>
          <t>HÖGSBY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26545-2024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45469</v>
      </c>
      <c r="E253" s="1" t="n">
        <v>46326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7680-2024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45348</v>
      </c>
      <c r="E254" s="1" t="n">
        <v>46326</v>
      </c>
      <c r="F254" t="inlineStr">
        <is>
          <t>KALMAR LÄN</t>
        </is>
      </c>
      <c r="G254" t="inlineStr">
        <is>
          <t>HÖGSBY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45194</v>
      </c>
      <c r="E255" s="1" t="n">
        <v>46326</v>
      </c>
      <c r="F255" t="inlineStr">
        <is>
          <t>KALMAR LÄN</t>
        </is>
      </c>
      <c r="G255" t="inlineStr">
        <is>
          <t>HÖGSBY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45348</v>
      </c>
      <c r="E256" s="1" t="n">
        <v>46326</v>
      </c>
      <c r="F256" t="inlineStr">
        <is>
          <t>KALMAR LÄN</t>
        </is>
      </c>
      <c r="G256" t="inlineStr">
        <is>
          <t>HÖGSBY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44972</v>
      </c>
      <c r="E257" s="1" t="n">
        <v>46326</v>
      </c>
      <c r="F257" t="inlineStr">
        <is>
          <t>KALMAR LÄN</t>
        </is>
      </c>
      <c r="G257" t="inlineStr">
        <is>
          <t>HÖGSBY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45113</v>
      </c>
      <c r="E258" s="1" t="n">
        <v>46326</v>
      </c>
      <c r="F258" t="inlineStr">
        <is>
          <t>KALMAR LÄN</t>
        </is>
      </c>
      <c r="G258" t="inlineStr">
        <is>
          <t>HÖGSBY</t>
        </is>
      </c>
      <c r="I258" t="n">
        <v>11.6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44879</v>
      </c>
      <c r="E259" s="1" t="n">
        <v>46326</v>
      </c>
      <c r="F259" t="inlineStr">
        <is>
          <t>KALMAR LÄN</t>
        </is>
      </c>
      <c r="G259" t="inlineStr">
        <is>
          <t>HÖGSBY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45360</v>
      </c>
      <c r="E260" s="1" t="n">
        <v>46326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59409-2022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44907</v>
      </c>
      <c r="E261" s="1" t="n">
        <v>46326</v>
      </c>
      <c r="F261" t="inlineStr">
        <is>
          <t>KALMAR LÄN</t>
        </is>
      </c>
      <c r="G261" t="inlineStr">
        <is>
          <t>HÖGSBY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22562-2026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46155</v>
      </c>
      <c r="E262" s="1" t="n">
        <v>46326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22564-2026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46155</v>
      </c>
      <c r="E263" s="1" t="n">
        <v>46326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45588</v>
      </c>
      <c r="E264" s="1" t="n">
        <v>46326</v>
      </c>
      <c r="F264" t="inlineStr">
        <is>
          <t>KALMAR LÄN</t>
        </is>
      </c>
      <c r="G264" t="inlineStr">
        <is>
          <t>HÖGSBY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45447</v>
      </c>
      <c r="E265" s="1" t="n">
        <v>46326</v>
      </c>
      <c r="F265" t="inlineStr">
        <is>
          <t>KALMAR LÄN</t>
        </is>
      </c>
      <c r="G265" t="inlineStr">
        <is>
          <t>HÖGSBY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47443-2025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46326</v>
      </c>
      <c r="F266" t="inlineStr">
        <is>
          <t>KALMAR LÄN</t>
        </is>
      </c>
      <c r="G266" t="inlineStr">
        <is>
          <t>HÖGSBY</t>
        </is>
      </c>
      <c r="H266" t="inlineStr">
        <is>
          <t>Kyrkan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45126</v>
      </c>
      <c r="E267" s="1" t="n">
        <v>46326</v>
      </c>
      <c r="F267" t="inlineStr">
        <is>
          <t>KALMAR LÄN</t>
        </is>
      </c>
      <c r="G267" t="inlineStr">
        <is>
          <t>HÖGSBY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31429-2023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46326</v>
      </c>
      <c r="F268" t="inlineStr">
        <is>
          <t>KALMAR LÄN</t>
        </is>
      </c>
      <c r="G268" t="inlineStr">
        <is>
          <t>HÖGSBY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22755-2026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46157</v>
      </c>
      <c r="E269" s="1" t="n">
        <v>46326</v>
      </c>
      <c r="F269" t="inlineStr">
        <is>
          <t>KALMAR LÄN</t>
        </is>
      </c>
      <c r="G269" t="inlineStr">
        <is>
          <t>HÖGSBY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45624</v>
      </c>
      <c r="E270" s="1" t="n">
        <v>46326</v>
      </c>
      <c r="F270" t="inlineStr">
        <is>
          <t>KALMAR LÄN</t>
        </is>
      </c>
      <c r="G270" t="inlineStr">
        <is>
          <t>HÖGSBY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44601</v>
      </c>
      <c r="E271" s="1" t="n">
        <v>46326</v>
      </c>
      <c r="F271" t="inlineStr">
        <is>
          <t>KALMAR LÄN</t>
        </is>
      </c>
      <c r="G271" t="inlineStr">
        <is>
          <t>HÖGSBY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45160</v>
      </c>
      <c r="E272" s="1" t="n">
        <v>46326</v>
      </c>
      <c r="F272" t="inlineStr">
        <is>
          <t>KALMAR LÄN</t>
        </is>
      </c>
      <c r="G272" t="inlineStr">
        <is>
          <t>HÖGSBY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23209-2026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46162</v>
      </c>
      <c r="E273" s="1" t="n">
        <v>46326</v>
      </c>
      <c r="F273" t="inlineStr">
        <is>
          <t>KALMAR LÄN</t>
        </is>
      </c>
      <c r="G273" t="inlineStr">
        <is>
          <t>HÖGSBY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23937-2026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46167</v>
      </c>
      <c r="E274" s="1" t="n">
        <v>46326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45203</v>
      </c>
      <c r="E275" s="1" t="n">
        <v>46326</v>
      </c>
      <c r="F275" t="inlineStr">
        <is>
          <t>KALMAR LÄN</t>
        </is>
      </c>
      <c r="G275" t="inlineStr">
        <is>
          <t>HÖGSBY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45175</v>
      </c>
      <c r="E276" s="1" t="n">
        <v>46326</v>
      </c>
      <c r="F276" t="inlineStr">
        <is>
          <t>KALMAR LÄN</t>
        </is>
      </c>
      <c r="G276" t="inlineStr">
        <is>
          <t>HÖGSBY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46169</v>
      </c>
      <c r="E277" s="1" t="n">
        <v>46326</v>
      </c>
      <c r="F277" t="inlineStr">
        <is>
          <t>KALMAR LÄN</t>
        </is>
      </c>
      <c r="G277" t="inlineStr">
        <is>
          <t>HÖGSBY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50458-2022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44866</v>
      </c>
      <c r="E278" s="1" t="n">
        <v>46326</v>
      </c>
      <c r="F278" t="inlineStr">
        <is>
          <t>KALMAR LÄN</t>
        </is>
      </c>
      <c r="G278" t="inlineStr">
        <is>
          <t>HÖGSBY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24601-2024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45460</v>
      </c>
      <c r="E279" s="1" t="n">
        <v>46326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14.7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45700</v>
      </c>
      <c r="E280" s="1" t="n">
        <v>46326</v>
      </c>
      <c r="F280" t="inlineStr">
        <is>
          <t>KALMAR LÄN</t>
        </is>
      </c>
      <c r="G280" t="inlineStr">
        <is>
          <t>HÖGSBY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46326</v>
      </c>
      <c r="F281" t="inlineStr">
        <is>
          <t>KALMAR LÄN</t>
        </is>
      </c>
      <c r="G281" t="inlineStr">
        <is>
          <t>HÖGSBY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44760</v>
      </c>
      <c r="E282" s="1" t="n">
        <v>46326</v>
      </c>
      <c r="F282" t="inlineStr">
        <is>
          <t>KALMAR LÄN</t>
        </is>
      </c>
      <c r="G282" t="inlineStr">
        <is>
          <t>HÖGSBY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26151-2026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46181</v>
      </c>
      <c r="E283" s="1" t="n">
        <v>46326</v>
      </c>
      <c r="F283" t="inlineStr">
        <is>
          <t>KALMAR LÄN</t>
        </is>
      </c>
      <c r="G283" t="inlineStr">
        <is>
          <t>HÖGSBY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53328-2022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44879</v>
      </c>
      <c r="E284" s="1" t="n">
        <v>46326</v>
      </c>
      <c r="F284" t="inlineStr">
        <is>
          <t>KALMAR LÄN</t>
        </is>
      </c>
      <c r="G284" t="inlineStr">
        <is>
          <t>HÖGSBY</t>
        </is>
      </c>
      <c r="I284" t="n">
        <v>8.699999999999999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26109-2026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46326</v>
      </c>
      <c r="F285" t="inlineStr">
        <is>
          <t>KALMAR LÄN</t>
        </is>
      </c>
      <c r="G285" t="inlineStr">
        <is>
          <t>HÖGSBY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46326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46326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26764-2026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46326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46326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10409-2023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44987</v>
      </c>
      <c r="E290" s="1" t="n">
        <v>46326</v>
      </c>
      <c r="F290" t="inlineStr">
        <is>
          <t>KALMAR LÄN</t>
        </is>
      </c>
      <c r="G290" t="inlineStr">
        <is>
          <t>HÖGSBY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46326</v>
      </c>
      <c r="F291" t="inlineStr">
        <is>
          <t>KALMAR LÄN</t>
        </is>
      </c>
      <c r="G291" t="inlineStr">
        <is>
          <t>HÖGSBY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27367-2026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46184</v>
      </c>
      <c r="E292" s="1" t="n">
        <v>46326</v>
      </c>
      <c r="F292" t="inlineStr">
        <is>
          <t>KALMAR LÄN</t>
        </is>
      </c>
      <c r="G292" t="inlineStr">
        <is>
          <t>HÖGSBY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46326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62562-2022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44924</v>
      </c>
      <c r="E294" s="1" t="n">
        <v>46326</v>
      </c>
      <c r="F294" t="inlineStr">
        <is>
          <t>KALMAR LÄN</t>
        </is>
      </c>
      <c r="G294" t="inlineStr">
        <is>
          <t>HÖGSBY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46326</v>
      </c>
      <c r="F295" t="inlineStr">
        <is>
          <t>KALMAR LÄN</t>
        </is>
      </c>
      <c r="G295" t="inlineStr">
        <is>
          <t>HÖGSBY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45254</v>
      </c>
      <c r="E296" s="1" t="n">
        <v>46326</v>
      </c>
      <c r="F296" t="inlineStr">
        <is>
          <t>KALMAR LÄN</t>
        </is>
      </c>
      <c r="G296" t="inlineStr">
        <is>
          <t>HÖGSBY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27812-2026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46191</v>
      </c>
      <c r="E297" s="1" t="n">
        <v>46326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54735-2025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46326</v>
      </c>
      <c r="F298" t="inlineStr">
        <is>
          <t>KALMAR LÄN</t>
        </is>
      </c>
      <c r="G298" t="inlineStr">
        <is>
          <t>HÖGSBY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45552</v>
      </c>
      <c r="E299" s="1" t="n">
        <v>46326</v>
      </c>
      <c r="F299" t="inlineStr">
        <is>
          <t>KALMAR LÄN</t>
        </is>
      </c>
      <c r="G299" t="inlineStr">
        <is>
          <t>HÖGSBY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44999</v>
      </c>
      <c r="E300" s="1" t="n">
        <v>46326</v>
      </c>
      <c r="F300" t="inlineStr">
        <is>
          <t>KALMAR LÄN</t>
        </is>
      </c>
      <c r="G300" t="inlineStr">
        <is>
          <t>HÖGSBY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44981</v>
      </c>
      <c r="E301" s="1" t="n">
        <v>46326</v>
      </c>
      <c r="F301" t="inlineStr">
        <is>
          <t>KALMAR LÄN</t>
        </is>
      </c>
      <c r="G301" t="inlineStr">
        <is>
          <t>HÖGSBY</t>
        </is>
      </c>
      <c r="H301" t="inlineStr">
        <is>
          <t>Övriga Aktiebolag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28265-2026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46326</v>
      </c>
      <c r="F302" t="inlineStr">
        <is>
          <t>KALMAR LÄN</t>
        </is>
      </c>
      <c r="G302" t="inlineStr">
        <is>
          <t>HÖGSBY</t>
        </is>
      </c>
      <c r="H302" t="inlineStr">
        <is>
          <t>Kommuner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28702-2026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46198</v>
      </c>
      <c r="E303" s="1" t="n">
        <v>46326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28692-2026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46198</v>
      </c>
      <c r="E304" s="1" t="n">
        <v>46326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28691-2026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46198</v>
      </c>
      <c r="E305" s="1" t="n">
        <v>46326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28697-2026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46198</v>
      </c>
      <c r="E306" s="1" t="n">
        <v>46326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46197</v>
      </c>
      <c r="E307" s="1" t="n">
        <v>46326</v>
      </c>
      <c r="F307" t="inlineStr">
        <is>
          <t>KALMAR LÄN</t>
        </is>
      </c>
      <c r="G307" t="inlineStr">
        <is>
          <t>HÖGSBY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46326</v>
      </c>
      <c r="F308" t="inlineStr">
        <is>
          <t>KALMAR LÄN</t>
        </is>
      </c>
      <c r="G308" t="inlineStr">
        <is>
          <t>HÖGSBY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28713-2026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46198</v>
      </c>
      <c r="E309" s="1" t="n">
        <v>46326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46198</v>
      </c>
      <c r="E310" s="1" t="n">
        <v>46326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46326</v>
      </c>
      <c r="F311" t="inlineStr">
        <is>
          <t>KALMAR LÄN</t>
        </is>
      </c>
      <c r="G311" t="inlineStr">
        <is>
          <t>HÖGSBY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38600-2024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45546</v>
      </c>
      <c r="E312" s="1" t="n">
        <v>46326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46326</v>
      </c>
      <c r="F313" t="inlineStr">
        <is>
          <t>KALMAR LÄN</t>
        </is>
      </c>
      <c r="G313" t="inlineStr">
        <is>
          <t>HÖGSBY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58050-2023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46326</v>
      </c>
      <c r="F314" t="inlineStr">
        <is>
          <t>KALMAR LÄN</t>
        </is>
      </c>
      <c r="G314" t="inlineStr">
        <is>
          <t>HÖGSBY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46326</v>
      </c>
      <c r="F315" t="inlineStr">
        <is>
          <t>KALMAR LÄN</t>
        </is>
      </c>
      <c r="G315" t="inlineStr">
        <is>
          <t>HÖGSBY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46326</v>
      </c>
      <c r="F316" t="inlineStr">
        <is>
          <t>KALMAR LÄN</t>
        </is>
      </c>
      <c r="G316" t="inlineStr">
        <is>
          <t>HÖGSBY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65130-2023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45288</v>
      </c>
      <c r="E317" s="1" t="n">
        <v>46326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45341</v>
      </c>
      <c r="E318" s="1" t="n">
        <v>46326</v>
      </c>
      <c r="F318" t="inlineStr">
        <is>
          <t>KALMAR LÄN</t>
        </is>
      </c>
      <c r="G318" t="inlineStr">
        <is>
          <t>HÖGSBY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49486-2022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44861</v>
      </c>
      <c r="E319" s="1" t="n">
        <v>46326</v>
      </c>
      <c r="F319" t="inlineStr">
        <is>
          <t>KALMAR LÄN</t>
        </is>
      </c>
      <c r="G319" t="inlineStr">
        <is>
          <t>HÖGSBY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46326</v>
      </c>
      <c r="F320" t="inlineStr">
        <is>
          <t>KALMAR LÄN</t>
        </is>
      </c>
      <c r="G320" t="inlineStr">
        <is>
          <t>HÖGSBY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46326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26927-2023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45093</v>
      </c>
      <c r="E322" s="1" t="n">
        <v>46326</v>
      </c>
      <c r="F322" t="inlineStr">
        <is>
          <t>KALMAR LÄN</t>
        </is>
      </c>
      <c r="G322" t="inlineStr">
        <is>
          <t>HÖGSBY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46326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46326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46206</v>
      </c>
      <c r="E325" s="1" t="n">
        <v>46326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12.7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45183</v>
      </c>
      <c r="E326" s="1" t="n">
        <v>46326</v>
      </c>
      <c r="F326" t="inlineStr">
        <is>
          <t>KALMAR LÄN</t>
        </is>
      </c>
      <c r="G326" t="inlineStr">
        <is>
          <t>HÖGSBY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46326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55697-2023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45239</v>
      </c>
      <c r="E328" s="1" t="n">
        <v>46326</v>
      </c>
      <c r="F328" t="inlineStr">
        <is>
          <t>KALMAR LÄN</t>
        </is>
      </c>
      <c r="G328" t="inlineStr">
        <is>
          <t>HÖGSBY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59408-2022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44907</v>
      </c>
      <c r="E329" s="1" t="n">
        <v>46326</v>
      </c>
      <c r="F329" t="inlineStr">
        <is>
          <t>KALMAR LÄN</t>
        </is>
      </c>
      <c r="G329" t="inlineStr">
        <is>
          <t>HÖGSBY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52116-2024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45608</v>
      </c>
      <c r="E330" s="1" t="n">
        <v>46326</v>
      </c>
      <c r="F330" t="inlineStr">
        <is>
          <t>KALMAR LÄN</t>
        </is>
      </c>
      <c r="G330" t="inlineStr">
        <is>
          <t>HÖGSBY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51624-2023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46326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56339-2024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45624</v>
      </c>
      <c r="E332" s="1" t="n">
        <v>46326</v>
      </c>
      <c r="F332" t="inlineStr">
        <is>
          <t>KALMAR LÄN</t>
        </is>
      </c>
      <c r="G332" t="inlineStr">
        <is>
          <t>HÖGSBY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46326</v>
      </c>
      <c r="F333" t="inlineStr">
        <is>
          <t>KALMAR LÄN</t>
        </is>
      </c>
      <c r="G333" t="inlineStr">
        <is>
          <t>HÖGSBY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44953</v>
      </c>
      <c r="E334" s="1" t="n">
        <v>46326</v>
      </c>
      <c r="F334" t="inlineStr">
        <is>
          <t>KALMAR LÄN</t>
        </is>
      </c>
      <c r="G334" t="inlineStr">
        <is>
          <t>HÖGSBY</t>
        </is>
      </c>
      <c r="H334" t="inlineStr">
        <is>
          <t>Övriga Aktiebolag</t>
        </is>
      </c>
      <c r="I334" t="n">
        <v>15.2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45203</v>
      </c>
      <c r="E335" s="1" t="n">
        <v>46326</v>
      </c>
      <c r="F335" t="inlineStr">
        <is>
          <t>KALMAR LÄN</t>
        </is>
      </c>
      <c r="G335" t="inlineStr">
        <is>
          <t>HÖGSBY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47571-2023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46326</v>
      </c>
      <c r="F336" t="inlineStr">
        <is>
          <t>KALMAR LÄN</t>
        </is>
      </c>
      <c r="G336" t="inlineStr">
        <is>
          <t>HÖGSBY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32228-2026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46237</v>
      </c>
      <c r="E337" s="1" t="n">
        <v>46326</v>
      </c>
      <c r="F337" t="inlineStr">
        <is>
          <t>KALMAR LÄN</t>
        </is>
      </c>
      <c r="G337" t="inlineStr">
        <is>
          <t>HÖGSBY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44939</v>
      </c>
      <c r="E338" s="1" t="n">
        <v>46326</v>
      </c>
      <c r="F338" t="inlineStr">
        <is>
          <t>KALMAR LÄN</t>
        </is>
      </c>
      <c r="G338" t="inlineStr">
        <is>
          <t>HÖGSBY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53501-2024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45614</v>
      </c>
      <c r="E339" s="1" t="n">
        <v>46326</v>
      </c>
      <c r="F339" t="inlineStr">
        <is>
          <t>KALMAR LÄN</t>
        </is>
      </c>
      <c r="G339" t="inlineStr">
        <is>
          <t>HÖGSBY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46329-2024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45581</v>
      </c>
      <c r="E340" s="1" t="n">
        <v>46326</v>
      </c>
      <c r="F340" t="inlineStr">
        <is>
          <t>KALMAR LÄN</t>
        </is>
      </c>
      <c r="G340" t="inlineStr">
        <is>
          <t>HÖGSBY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45692</v>
      </c>
      <c r="E341" s="1" t="n">
        <v>46326</v>
      </c>
      <c r="F341" t="inlineStr">
        <is>
          <t>KALMAR LÄN</t>
        </is>
      </c>
      <c r="G341" t="inlineStr">
        <is>
          <t>HÖGSBY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44866</v>
      </c>
      <c r="E342" s="1" t="n">
        <v>46326</v>
      </c>
      <c r="F342" t="inlineStr">
        <is>
          <t>KALMAR LÄN</t>
        </is>
      </c>
      <c r="G342" t="inlineStr">
        <is>
          <t>HÖGSBY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39035-2026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46287</v>
      </c>
      <c r="E343" s="1" t="n">
        <v>46326</v>
      </c>
      <c r="F343" t="inlineStr">
        <is>
          <t>KALMAR LÄN</t>
        </is>
      </c>
      <c r="G343" t="inlineStr">
        <is>
          <t>HÖGSBY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46286</v>
      </c>
      <c r="E344" s="1" t="n">
        <v>46326</v>
      </c>
      <c r="F344" t="inlineStr">
        <is>
          <t>KALMAR LÄN</t>
        </is>
      </c>
      <c r="G344" t="inlineStr">
        <is>
          <t>HÖGSBY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59581-2024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45638</v>
      </c>
      <c r="E345" s="1" t="n">
        <v>46326</v>
      </c>
      <c r="F345" t="inlineStr">
        <is>
          <t>KALMAR LÄN</t>
        </is>
      </c>
      <c r="G345" t="inlineStr">
        <is>
          <t>HÖGSBY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46326</v>
      </c>
      <c r="F346" t="inlineStr">
        <is>
          <t>KALMAR LÄN</t>
        </is>
      </c>
      <c r="G346" t="inlineStr">
        <is>
          <t>HÖGSBY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34078-2024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45523</v>
      </c>
      <c r="E347" s="1" t="n">
        <v>46326</v>
      </c>
      <c r="F347" t="inlineStr">
        <is>
          <t>KALMAR LÄN</t>
        </is>
      </c>
      <c r="G347" t="inlineStr">
        <is>
          <t>HÖGSBY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45782</v>
      </c>
      <c r="E348" s="1" t="n">
        <v>46326</v>
      </c>
      <c r="F348" t="inlineStr">
        <is>
          <t>KALMAR LÄN</t>
        </is>
      </c>
      <c r="G348" t="inlineStr">
        <is>
          <t>HÖGSBY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46326</v>
      </c>
      <c r="F349" t="inlineStr">
        <is>
          <t>KALMAR LÄN</t>
        </is>
      </c>
      <c r="G349" t="inlineStr">
        <is>
          <t>HÖGSBY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40137-2024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46326</v>
      </c>
      <c r="F350" t="inlineStr">
        <is>
          <t>KALMAR LÄN</t>
        </is>
      </c>
      <c r="G350" t="inlineStr">
        <is>
          <t>HÖGSBY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  <c r="Z350">
        <f>HYPERLINK("https://klasma.github.io/Logging_0821/knärot/A 40137-2024 karta knärot.png", "A 40137-2024")</f>
        <v/>
      </c>
      <c r="AA350">
        <f>HYPERLINK("https://klasma.github.io/Logging_0821/klagomål/A 40137-2024 FSC-klagomål.docx", "A 40137-2024")</f>
        <v/>
      </c>
      <c r="AB350">
        <f>HYPERLINK("https://klasma.github.io/Logging_0821/klagomålsmail/A 40137-2024 FSC-klagomål mail.docx", "A 40137-2024")</f>
        <v/>
      </c>
      <c r="AC350">
        <f>HYPERLINK("https://klasma.github.io/Logging_0821/tillsyn/A 40137-2024 tillsynsbegäran.docx", "A 40137-2024")</f>
        <v/>
      </c>
      <c r="AD350">
        <f>HYPERLINK("https://klasma.github.io/Logging_0821/tillsynsmail/A 40137-2024 tillsynsbegäran mail.docx", "A 40137-2024")</f>
        <v/>
      </c>
    </row>
    <row r="351" ht="15" customHeight="1">
      <c r="A351" t="inlineStr">
        <is>
          <t>A 33788-2026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46251</v>
      </c>
      <c r="E351" s="1" t="n">
        <v>46326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24378-2025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45797</v>
      </c>
      <c r="E352" s="1" t="n">
        <v>46326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41018-2026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46297</v>
      </c>
      <c r="E353" s="1" t="n">
        <v>46326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25352-2026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46176</v>
      </c>
      <c r="E354" s="1" t="n">
        <v>46326</v>
      </c>
      <c r="F354" t="inlineStr">
        <is>
          <t>KALMAR LÄN</t>
        </is>
      </c>
      <c r="G354" t="inlineStr">
        <is>
          <t>HÖGSBY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41021-2026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46297</v>
      </c>
      <c r="E355" s="1" t="n">
        <v>46326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41019-2026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46297</v>
      </c>
      <c r="E356" s="1" t="n">
        <v>46326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50428-2024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45600</v>
      </c>
      <c r="E357" s="1" t="n">
        <v>46326</v>
      </c>
      <c r="F357" t="inlineStr">
        <is>
          <t>KALMAR LÄN</t>
        </is>
      </c>
      <c r="G357" t="inlineStr">
        <is>
          <t>HÖGSBY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46326</v>
      </c>
      <c r="F358" t="inlineStr">
        <is>
          <t>KALMAR LÄN</t>
        </is>
      </c>
      <c r="G358" t="inlineStr">
        <is>
          <t>HÖGSBY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46293</v>
      </c>
      <c r="E359" s="1" t="n">
        <v>46326</v>
      </c>
      <c r="F359" t="inlineStr">
        <is>
          <t>KALMAR LÄN</t>
        </is>
      </c>
      <c r="G359" t="inlineStr">
        <is>
          <t>HÖGSBY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46195</v>
      </c>
      <c r="E360" s="1" t="n">
        <v>46326</v>
      </c>
      <c r="F360" t="inlineStr">
        <is>
          <t>KALMAR LÄN</t>
        </is>
      </c>
      <c r="G360" t="inlineStr">
        <is>
          <t>HÖGSBY</t>
        </is>
      </c>
      <c r="H360" t="inlineStr">
        <is>
          <t>Kommuner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46185</v>
      </c>
      <c r="E361" s="1" t="n">
        <v>46326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25355-2026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46176</v>
      </c>
      <c r="E362" s="1" t="n">
        <v>46326</v>
      </c>
      <c r="F362" t="inlineStr">
        <is>
          <t>KALMAR LÄN</t>
        </is>
      </c>
      <c r="G362" t="inlineStr">
        <is>
          <t>HÖGSBY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46150</v>
      </c>
      <c r="E363" s="1" t="n">
        <v>46326</v>
      </c>
      <c r="F363" t="inlineStr">
        <is>
          <t>KALMAR LÄN</t>
        </is>
      </c>
      <c r="G363" t="inlineStr">
        <is>
          <t>HÖGSBY</t>
        </is>
      </c>
      <c r="H363" t="inlineStr">
        <is>
          <t>Kommuner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46198</v>
      </c>
      <c r="E364" s="1" t="n">
        <v>46326</v>
      </c>
      <c r="F364" t="inlineStr">
        <is>
          <t>KALMAR LÄN</t>
        </is>
      </c>
      <c r="G364" t="inlineStr">
        <is>
          <t>HÖGSBY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63483-2025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46326</v>
      </c>
      <c r="F365" t="inlineStr">
        <is>
          <t>KALMAR LÄN</t>
        </is>
      </c>
      <c r="G365" t="inlineStr">
        <is>
          <t>HÖGSBY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41118-2026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46300</v>
      </c>
      <c r="E366" s="1" t="n">
        <v>46326</v>
      </c>
      <c r="F366" t="inlineStr">
        <is>
          <t>KALMAR LÄN</t>
        </is>
      </c>
      <c r="G366" t="inlineStr">
        <is>
          <t>HÖGSBY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46309</v>
      </c>
      <c r="E367" s="1" t="n">
        <v>46326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46326</v>
      </c>
      <c r="F368" t="inlineStr">
        <is>
          <t>KALMAR LÄN</t>
        </is>
      </c>
      <c r="G368" t="inlineStr">
        <is>
          <t>HÖGSBY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46309</v>
      </c>
      <c r="E369" s="1" t="n">
        <v>46326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46266</v>
      </c>
      <c r="E370" s="1" t="n">
        <v>46326</v>
      </c>
      <c r="F370" t="inlineStr">
        <is>
          <t>KALMAR LÄN</t>
        </is>
      </c>
      <c r="G370" t="inlineStr">
        <is>
          <t>HÖGSBY</t>
        </is>
      </c>
      <c r="I370" t="n">
        <v>9.6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35910-2026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46266</v>
      </c>
      <c r="E371" s="1" t="n">
        <v>46326</v>
      </c>
      <c r="F371" t="inlineStr">
        <is>
          <t>KALMAR LÄN</t>
        </is>
      </c>
      <c r="G371" t="inlineStr">
        <is>
          <t>HÖGSBY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42710-2026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46326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46309</v>
      </c>
      <c r="E373" s="1" t="n">
        <v>46326</v>
      </c>
      <c r="F373" t="inlineStr">
        <is>
          <t>KALMAR LÄN</t>
        </is>
      </c>
      <c r="G373" t="inlineStr">
        <is>
          <t>HÖGSBY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46309</v>
      </c>
      <c r="E374" s="1" t="n">
        <v>46326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46310</v>
      </c>
      <c r="E375" s="1" t="n">
        <v>46326</v>
      </c>
      <c r="F375" t="inlineStr">
        <is>
          <t>KALMAR LÄN</t>
        </is>
      </c>
      <c r="G375" t="inlineStr">
        <is>
          <t>HÖGSBY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36258-2026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46268</v>
      </c>
      <c r="E376" s="1" t="n">
        <v>46326</v>
      </c>
      <c r="F376" t="inlineStr">
        <is>
          <t>KALMAR LÄN</t>
        </is>
      </c>
      <c r="G376" t="inlineStr">
        <is>
          <t>HÖGSBY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36200-2026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46267</v>
      </c>
      <c r="E377" s="1" t="n">
        <v>46326</v>
      </c>
      <c r="F377" t="inlineStr">
        <is>
          <t>KALMAR LÄN</t>
        </is>
      </c>
      <c r="G377" t="inlineStr">
        <is>
          <t>HÖGSBY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43057-2026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46311</v>
      </c>
      <c r="E378" s="1" t="n">
        <v>46326</v>
      </c>
      <c r="F378" t="inlineStr">
        <is>
          <t>KALMAR LÄN</t>
        </is>
      </c>
      <c r="G378" t="inlineStr">
        <is>
          <t>HÖGSBY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36189-2026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46267</v>
      </c>
      <c r="E379" s="1" t="n">
        <v>46326</v>
      </c>
      <c r="F379" t="inlineStr">
        <is>
          <t>KALMAR LÄN</t>
        </is>
      </c>
      <c r="G379" t="inlineStr">
        <is>
          <t>HÖGSBY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46268</v>
      </c>
      <c r="E380" s="1" t="n">
        <v>46326</v>
      </c>
      <c r="F380" t="inlineStr">
        <is>
          <t>KALMAR LÄN</t>
        </is>
      </c>
      <c r="G380" t="inlineStr">
        <is>
          <t>HÖGSBY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46311</v>
      </c>
      <c r="E381" s="1" t="n">
        <v>46326</v>
      </c>
      <c r="F381" t="inlineStr">
        <is>
          <t>KALMAR LÄN</t>
        </is>
      </c>
      <c r="G381" t="inlineStr">
        <is>
          <t>HÖGSBY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43054-2026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46311</v>
      </c>
      <c r="E382" s="1" t="n">
        <v>46326</v>
      </c>
      <c r="F382" t="inlineStr">
        <is>
          <t>KALMAR LÄN</t>
        </is>
      </c>
      <c r="G382" t="inlineStr">
        <is>
          <t>HÖGSBY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43092-2026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46311</v>
      </c>
      <c r="E383" s="1" t="n">
        <v>46326</v>
      </c>
      <c r="F383" t="inlineStr">
        <is>
          <t>KALMAR LÄN</t>
        </is>
      </c>
      <c r="G383" t="inlineStr">
        <is>
          <t>HÖGSBY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46310</v>
      </c>
      <c r="E384" s="1" t="n">
        <v>46326</v>
      </c>
      <c r="F384" t="inlineStr">
        <is>
          <t>KALMAR LÄN</t>
        </is>
      </c>
      <c r="G384" t="inlineStr">
        <is>
          <t>HÖGSBY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46326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46269</v>
      </c>
      <c r="E386" s="1" t="n">
        <v>46326</v>
      </c>
      <c r="F386" t="inlineStr">
        <is>
          <t>KALMAR LÄN</t>
        </is>
      </c>
      <c r="G386" t="inlineStr">
        <is>
          <t>HÖGSBY</t>
        </is>
      </c>
      <c r="H386" t="inlineStr">
        <is>
          <t>Sveaskog</t>
        </is>
      </c>
      <c r="I386" t="n">
        <v>24.4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46317</v>
      </c>
      <c r="E387" s="1" t="n">
        <v>46326</v>
      </c>
      <c r="F387" t="inlineStr">
        <is>
          <t>KALMAR LÄN</t>
        </is>
      </c>
      <c r="G387" t="inlineStr">
        <is>
          <t>HÖGSBY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46274</v>
      </c>
      <c r="E388" s="1" t="n">
        <v>46326</v>
      </c>
      <c r="F388" t="inlineStr">
        <is>
          <t>KALMAR LÄN</t>
        </is>
      </c>
      <c r="G388" t="inlineStr">
        <is>
          <t>HÖGSBY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43911-2026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46317</v>
      </c>
      <c r="E389" s="1" t="n">
        <v>46326</v>
      </c>
      <c r="F389" t="inlineStr">
        <is>
          <t>KALMAR LÄN</t>
        </is>
      </c>
      <c r="G389" t="inlineStr">
        <is>
          <t>HÖGSBY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37233-2026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46274</v>
      </c>
      <c r="E390" s="1" t="n">
        <v>46326</v>
      </c>
      <c r="F390" t="inlineStr">
        <is>
          <t>KALMAR LÄN</t>
        </is>
      </c>
      <c r="G390" t="inlineStr">
        <is>
          <t>HÖGSBY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46311</v>
      </c>
      <c r="E391" s="1" t="n">
        <v>46326</v>
      </c>
      <c r="F391" t="inlineStr">
        <is>
          <t>KALMAR LÄN</t>
        </is>
      </c>
      <c r="G391" t="inlineStr">
        <is>
          <t>HÖGSBY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46275</v>
      </c>
      <c r="E392" s="1" t="n">
        <v>46326</v>
      </c>
      <c r="F392" t="inlineStr">
        <is>
          <t>KALMAR LÄN</t>
        </is>
      </c>
      <c r="G392" t="inlineStr">
        <is>
          <t>HÖGSBY</t>
        </is>
      </c>
      <c r="H392" t="inlineStr">
        <is>
          <t>Sveaskog</t>
        </is>
      </c>
      <c r="I392" t="n">
        <v>11.2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37338-2026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46275</v>
      </c>
      <c r="E393" s="1" t="n">
        <v>46326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46326</v>
      </c>
      <c r="F394" t="inlineStr">
        <is>
          <t>KALMAR LÄN</t>
        </is>
      </c>
      <c r="G394" t="inlineStr">
        <is>
          <t>HÖGSBY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63508-2025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46013</v>
      </c>
      <c r="E395" s="1" t="n">
        <v>46326</v>
      </c>
      <c r="F395" t="inlineStr">
        <is>
          <t>KALMAR LÄN</t>
        </is>
      </c>
      <c r="G395" t="inlineStr">
        <is>
          <t>HÖGSBY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513-2023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46326</v>
      </c>
      <c r="F396" t="inlineStr">
        <is>
          <t>KALMAR LÄN</t>
        </is>
      </c>
      <c r="G396" t="inlineStr">
        <is>
          <t>HÖGSBY</t>
        </is>
      </c>
      <c r="I396" t="n">
        <v>12.4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4463-2022</t>
        </is>
      </c>
      <c r="B397" t="inlineStr">
        <is>
          <t>samrådsanmälan</t>
        </is>
      </c>
      <c r="C397" t="inlineStr">
        <is>
          <t>Åtgärd i nyckelbiotop</t>
        </is>
      </c>
      <c r="D397" s="1" t="n">
        <v>44788</v>
      </c>
      <c r="E397" s="1" t="n">
        <v>46326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3208-2024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45524</v>
      </c>
      <c r="E398" s="1" t="n">
        <v>46326</v>
      </c>
      <c r="F398" t="inlineStr">
        <is>
          <t>KALMAR LÄN</t>
        </is>
      </c>
      <c r="G398" t="inlineStr">
        <is>
          <t>HÖGSBY</t>
        </is>
      </c>
      <c r="I398" t="n">
        <v>23.3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7006-2022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44903</v>
      </c>
      <c r="E399" s="1" t="n">
        <v>46326</v>
      </c>
      <c r="F399" t="inlineStr">
        <is>
          <t>KALMAR LÄN</t>
        </is>
      </c>
      <c r="G399" t="inlineStr">
        <is>
          <t>HÖGSBY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514-2023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44966</v>
      </c>
      <c r="E400" s="1" t="n">
        <v>46326</v>
      </c>
      <c r="F400" t="inlineStr">
        <is>
          <t>KALMAR LÄN</t>
        </is>
      </c>
      <c r="G400" t="inlineStr">
        <is>
          <t>HÖGSBY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512-2023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44966</v>
      </c>
      <c r="E401" s="1" t="n">
        <v>46326</v>
      </c>
      <c r="F401" t="inlineStr">
        <is>
          <t>KALMAR LÄN</t>
        </is>
      </c>
      <c r="G401" t="inlineStr">
        <is>
          <t>HÖGSBY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2564-2023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45140</v>
      </c>
      <c r="E402" s="1" t="n">
        <v>46326</v>
      </c>
      <c r="F402" t="inlineStr">
        <is>
          <t>KALMAR LÄN</t>
        </is>
      </c>
      <c r="G402" t="inlineStr">
        <is>
          <t>HÖGSBY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2563-2023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45140</v>
      </c>
      <c r="E403" s="1" t="n">
        <v>46326</v>
      </c>
      <c r="F403" t="inlineStr">
        <is>
          <t>KALMAR LÄN</t>
        </is>
      </c>
      <c r="G403" t="inlineStr">
        <is>
          <t>HÖGSBY</t>
        </is>
      </c>
      <c r="I403" t="n">
        <v>28.7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566-2022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44592</v>
      </c>
      <c r="E404" s="1" t="n">
        <v>46326</v>
      </c>
      <c r="F404" t="inlineStr">
        <is>
          <t>KALMAR LÄN</t>
        </is>
      </c>
      <c r="G404" t="inlineStr">
        <is>
          <t>HÖGSBY</t>
        </is>
      </c>
      <c r="I404" t="n">
        <v>15.1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5035-2024</t>
        </is>
      </c>
      <c r="B405" t="inlineStr">
        <is>
          <t>samrådsanmälan</t>
        </is>
      </c>
      <c r="C405" t="inlineStr">
        <is>
          <t>Stubbskörd</t>
        </is>
      </c>
      <c r="D405" s="1" t="n">
        <v>45636</v>
      </c>
      <c r="E405" s="1" t="n">
        <v>46326</v>
      </c>
      <c r="F405" t="inlineStr">
        <is>
          <t>KALMAR LÄN</t>
        </is>
      </c>
      <c r="G405" t="inlineStr">
        <is>
          <t>HÖGSBY</t>
        </is>
      </c>
      <c r="I405" t="n">
        <v>14.2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561-2022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44592</v>
      </c>
      <c r="E406" s="1" t="n">
        <v>46326</v>
      </c>
      <c r="F406" t="inlineStr">
        <is>
          <t>KALMAR LÄN</t>
        </is>
      </c>
      <c r="G406" t="inlineStr">
        <is>
          <t>HÖGSBY</t>
        </is>
      </c>
      <c r="I406" t="n">
        <v>30.3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2021-2025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45835</v>
      </c>
      <c r="E407" s="1" t="n">
        <v>46326</v>
      </c>
      <c r="F407" t="inlineStr">
        <is>
          <t>KALMAR LÄN</t>
        </is>
      </c>
      <c r="G407" t="inlineStr">
        <is>
          <t>HÖGSBY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379-2023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44958</v>
      </c>
      <c r="E408" s="1" t="n">
        <v>46326</v>
      </c>
      <c r="F408" t="inlineStr">
        <is>
          <t>KALMAR LÄN</t>
        </is>
      </c>
      <c r="G408" t="inlineStr">
        <is>
          <t>HÖGSBY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351-2023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44958</v>
      </c>
      <c r="E409" s="1" t="n">
        <v>46326</v>
      </c>
      <c r="F409" t="inlineStr">
        <is>
          <t>KALMAR LÄN</t>
        </is>
      </c>
      <c r="G409" t="inlineStr">
        <is>
          <t>HÖGSBY</t>
        </is>
      </c>
      <c r="I409" t="n">
        <v>21.3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2809-2025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45938</v>
      </c>
      <c r="E410" s="1" t="n">
        <v>46326</v>
      </c>
      <c r="F410" t="inlineStr">
        <is>
          <t>KALMAR LÄN</t>
        </is>
      </c>
      <c r="G410" t="inlineStr">
        <is>
          <t>HÖGSBY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1031-2026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46125</v>
      </c>
      <c r="E411" s="1" t="n">
        <v>46326</v>
      </c>
      <c r="F411" t="inlineStr">
        <is>
          <t>KALMAR LÄN</t>
        </is>
      </c>
      <c r="G411" t="inlineStr">
        <is>
          <t>HÖGSBY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1417-2026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46155</v>
      </c>
      <c r="E412" s="1" t="n">
        <v>46326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1418-2026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46155</v>
      </c>
      <c r="E413" s="1" t="n">
        <v>46326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1846-2026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46198</v>
      </c>
      <c r="E414" s="1" t="n">
        <v>46326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1848-2026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46198</v>
      </c>
      <c r="E415" s="1" t="n">
        <v>46326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1847-2026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46198</v>
      </c>
      <c r="E416" s="1" t="n">
        <v>46326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1866-2026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46199</v>
      </c>
      <c r="E417" s="1" t="n">
        <v>46326</v>
      </c>
      <c r="F417" t="inlineStr">
        <is>
          <t>KALMAR LÄN</t>
        </is>
      </c>
      <c r="G417" t="inlineStr">
        <is>
          <t>HÖGSBY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1938-2026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46203</v>
      </c>
      <c r="E418" s="1" t="n">
        <v>46326</v>
      </c>
      <c r="F418" t="inlineStr">
        <is>
          <t>KALMAR LÄN</t>
        </is>
      </c>
      <c r="G418" t="inlineStr">
        <is>
          <t>HÖGSBY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2165-2026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46251</v>
      </c>
      <c r="E419" s="1" t="n">
        <v>46326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>
      <c r="A420" t="inlineStr">
        <is>
          <t>S 2589-2026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46297</v>
      </c>
      <c r="E420" s="1" t="n">
        <v>46326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2026-10-31T03:22:30Z</dcterms:created>
  <dcterms:modified xmlns:dcterms="http://purl.org/dc/terms/" xmlns:xsi="http://www.w3.org/2001/XMLSchema-instance" xsi:type="dcterms:W3CDTF">2026-10-31T03:22:31Z</dcterms:modified>
</cp:coreProperties>
</file>