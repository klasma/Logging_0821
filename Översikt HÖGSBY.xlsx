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46309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46309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46309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46309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46309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46309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46309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46309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46309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46309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46309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46309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46309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46309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46309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46309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46309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46309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46309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46309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46309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46309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46309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46309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46309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46309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46309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46309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46309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46309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46309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46309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46309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46309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46309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46309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46309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46309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46309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46309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38802-2024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45547</v>
      </c>
      <c r="E43" s="1" t="n">
        <v>46309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HYPERLINK("https://klasma.github.io/Logging_0821/artfynd/A 38802-2024 artfynd.xlsx", "A 38802-2024")</f>
        <v/>
      </c>
      <c r="X43">
        <f>HYPERLINK("https://klasma.github.io/Logging_0821/kartor/A 38802-2024 karta.png", "A 38802-2024")</f>
        <v/>
      </c>
      <c r="Y43">
        <f>HYPERLINK("https://klasma.github.io/Logging_0821/kartor_geotiff/A 38802-2024 georefererad karta.tif", "A 38802-2024")</f>
        <v/>
      </c>
      <c r="AA43">
        <f>HYPERLINK("https://klasma.github.io/Logging_0821/klagomål/A 38802-2024 FSC-klagomål.docx", "A 38802-2024")</f>
        <v/>
      </c>
      <c r="AB43">
        <f>HYPERLINK("https://klasma.github.io/Logging_0821/klagomålsmail/A 38802-2024 FSC-klagomål mail.docx", "A 38802-2024")</f>
        <v/>
      </c>
      <c r="AC43">
        <f>HYPERLINK("https://klasma.github.io/Logging_0821/tillsyn/A 38802-2024 tillsynsbegäran.docx", "A 38802-2024")</f>
        <v/>
      </c>
      <c r="AD43">
        <f>HYPERLINK("https://klasma.github.io/Logging_0821/tillsynsmail/A 38802-2024 tillsynsbegäran mail.docx", "A 38802-2024")</f>
        <v/>
      </c>
    </row>
    <row r="44" ht="15" customHeight="1">
      <c r="A44" t="inlineStr">
        <is>
          <t>A 19463-2026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46309</v>
      </c>
      <c r="F44" t="inlineStr">
        <is>
          <t>KALMAR LÄN</t>
        </is>
      </c>
      <c r="G44" t="inlineStr">
        <is>
          <t>HÖGSBY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HYPERLINK("https://klasma.github.io/Logging_0821/artfynd/A 19463-2026 artfynd.xlsx", "A 19463-2026")</f>
        <v/>
      </c>
      <c r="X44">
        <f>HYPERLINK("https://klasma.github.io/Logging_0821/kartor/A 19463-2026 karta.png", "A 19463-2026")</f>
        <v/>
      </c>
      <c r="Y44">
        <f>HYPERLINK("https://klasma.github.io/Logging_0821/kartor_geotiff/A 19463-2026 georefererad karta.tif", "A 19463-2026")</f>
        <v/>
      </c>
      <c r="AA44">
        <f>HYPERLINK("https://klasma.github.io/Logging_0821/klagomål/A 19463-2026 FSC-klagomål.docx", "A 19463-2026")</f>
        <v/>
      </c>
      <c r="AB44">
        <f>HYPERLINK("https://klasma.github.io/Logging_0821/klagomålsmail/A 19463-2026 FSC-klagomål mail.docx", "A 19463-2026")</f>
        <v/>
      </c>
      <c r="AC44">
        <f>HYPERLINK("https://klasma.github.io/Logging_0821/tillsyn/A 19463-2026 tillsynsbegäran.docx", "A 19463-2026")</f>
        <v/>
      </c>
      <c r="AD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46309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52177-2022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46309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Nordfladdermus</t>
        </is>
      </c>
      <c r="W46">
        <f>HYPERLINK("https://klasma.github.io/Logging_0821/artfynd/A 52177-2022 artfynd.xlsx", "A 52177-2022")</f>
        <v/>
      </c>
      <c r="X46">
        <f>HYPERLINK("https://klasma.github.io/Logging_0821/kartor/A 52177-2022 karta.png", "A 52177-2022")</f>
        <v/>
      </c>
      <c r="Y46">
        <f>HYPERLINK("https://klasma.github.io/Logging_0821/kartor_geotiff/A 52177-2022 georefererad karta.tif", "A 52177-2022")</f>
        <v/>
      </c>
      <c r="AA46">
        <f>HYPERLINK("https://klasma.github.io/Logging_0821/klagomål/A 52177-2022 FSC-klagomål.docx", "A 52177-2022")</f>
        <v/>
      </c>
      <c r="AB46">
        <f>HYPERLINK("https://klasma.github.io/Logging_0821/klagomålsmail/A 52177-2022 FSC-klagomål mail.docx", "A 52177-2022")</f>
        <v/>
      </c>
      <c r="AC46">
        <f>HYPERLINK("https://klasma.github.io/Logging_0821/tillsyn/A 52177-2022 tillsynsbegäran.docx", "A 52177-2022")</f>
        <v/>
      </c>
      <c r="AD46">
        <f>HYPERLINK("https://klasma.github.io/Logging_0821/tillsynsmail/A 52177-2022 tillsynsbegäran mail.docx", "A 52177-2022")</f>
        <v/>
      </c>
    </row>
    <row r="47" ht="15" customHeight="1">
      <c r="A47" t="inlineStr">
        <is>
          <t>A 38267-2025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46309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Flikig tallfibbla</t>
        </is>
      </c>
      <c r="W47">
        <f>HYPERLINK("https://klasma.github.io/Logging_0821/artfynd/A 38267-2025 artfynd.xlsx", "A 38267-2025")</f>
        <v/>
      </c>
      <c r="X47">
        <f>HYPERLINK("https://klasma.github.io/Logging_0821/kartor/A 38267-2025 karta.png", "A 38267-2025")</f>
        <v/>
      </c>
      <c r="Y47">
        <f>HYPERLINK("https://klasma.github.io/Logging_0821/kartor_geotiff/A 38267-2025 georefererad karta.tif", "A 38267-2025")</f>
        <v/>
      </c>
      <c r="AA47">
        <f>HYPERLINK("https://klasma.github.io/Logging_0821/klagomål/A 38267-2025 FSC-klagomål.docx", "A 38267-2025")</f>
        <v/>
      </c>
      <c r="AB47">
        <f>HYPERLINK("https://klasma.github.io/Logging_0821/klagomålsmail/A 38267-2025 FSC-klagomål mail.docx", "A 38267-2025")</f>
        <v/>
      </c>
      <c r="AC47">
        <f>HYPERLINK("https://klasma.github.io/Logging_0821/tillsyn/A 38267-2025 tillsynsbegäran.docx", "A 38267-2025")</f>
        <v/>
      </c>
      <c r="AD47">
        <f>HYPERLINK("https://klasma.github.io/Logging_0821/tillsynsmail/A 38267-2025 tillsynsbegäran mail.docx", "A 38267-2025")</f>
        <v/>
      </c>
    </row>
    <row r="48" ht="15" customHeight="1">
      <c r="A48" t="inlineStr">
        <is>
          <t>A 58792-2022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46309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58792-2022 artfynd.xlsx", "A 58792-2022")</f>
        <v/>
      </c>
      <c r="X48">
        <f>HYPERLINK("https://klasma.github.io/Logging_0821/kartor/A 58792-2022 karta.png", "A 58792-2022")</f>
        <v/>
      </c>
      <c r="Y48">
        <f>HYPERLINK("https://klasma.github.io/Logging_0821/kartor_geotiff/A 58792-2022 georefererad karta.tif", "A 58792-2022")</f>
        <v/>
      </c>
      <c r="AA48">
        <f>HYPERLINK("https://klasma.github.io/Logging_0821/klagomål/A 58792-2022 FSC-klagomål.docx", "A 58792-2022")</f>
        <v/>
      </c>
      <c r="AB48">
        <f>HYPERLINK("https://klasma.github.io/Logging_0821/klagomålsmail/A 58792-2022 FSC-klagomål mail.docx", "A 58792-2022")</f>
        <v/>
      </c>
      <c r="AC48">
        <f>HYPERLINK("https://klasma.github.io/Logging_0821/tillsyn/A 58792-2022 tillsynsbegäran.docx", "A 58792-2022")</f>
        <v/>
      </c>
      <c r="AD48">
        <f>HYPERLINK("https://klasma.github.io/Logging_0821/tillsynsmail/A 58792-2022 tillsynsbegäran mail.docx", "A 58792-2022")</f>
        <v/>
      </c>
    </row>
    <row r="49" ht="15" customHeight="1">
      <c r="A49" t="inlineStr">
        <is>
          <t>A 59407-2022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46309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HYPERLINK("https://klasma.github.io/Logging_0821/artfynd/A 59407-2022 artfynd.xlsx", "A 59407-2022")</f>
        <v/>
      </c>
      <c r="X49">
        <f>HYPERLINK("https://klasma.github.io/Logging_0821/kartor/A 59407-2022 karta.png", "A 59407-2022")</f>
        <v/>
      </c>
      <c r="Y49">
        <f>HYPERLINK("https://klasma.github.io/Logging_0821/kartor_geotiff/A 59407-2022 georefererad karta.tif", "A 59407-2022")</f>
        <v/>
      </c>
      <c r="AA49">
        <f>HYPERLINK("https://klasma.github.io/Logging_0821/klagomål/A 59407-2022 FSC-klagomål.docx", "A 59407-2022")</f>
        <v/>
      </c>
      <c r="AB49">
        <f>HYPERLINK("https://klasma.github.io/Logging_0821/klagomålsmail/A 59407-2022 FSC-klagomål mail.docx", "A 59407-2022")</f>
        <v/>
      </c>
      <c r="AC49">
        <f>HYPERLINK("https://klasma.github.io/Logging_0821/tillsyn/A 59407-2022 tillsynsbegäran.docx", "A 59407-2022")</f>
        <v/>
      </c>
      <c r="AD49">
        <f>HYPERLINK("https://klasma.github.io/Logging_0821/tillsynsmail/A 59407-2022 tillsynsbegäran mail.docx", "A 59407-2022")</f>
        <v/>
      </c>
    </row>
    <row r="50" ht="15" customHeight="1">
      <c r="A50" t="inlineStr">
        <is>
          <t>A 35075-2023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46309</v>
      </c>
      <c r="F50" t="inlineStr">
        <is>
          <t>KALMAR LÄN</t>
        </is>
      </c>
      <c r="G50" t="inlineStr">
        <is>
          <t>HÖGSBY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35075-2023 artfynd.xlsx", "A 35075-2023")</f>
        <v/>
      </c>
      <c r="X50">
        <f>HYPERLINK("https://klasma.github.io/Logging_0821/kartor/A 35075-2023 karta.png", "A 35075-2023")</f>
        <v/>
      </c>
      <c r="Y50">
        <f>HYPERLINK("https://klasma.github.io/Logging_0821/kartor_geotiff/A 35075-2023 georefererad karta.tif", "A 35075-2023")</f>
        <v/>
      </c>
      <c r="AA50">
        <f>HYPERLINK("https://klasma.github.io/Logging_0821/klagomål/A 35075-2023 FSC-klagomål.docx", "A 35075-2023")</f>
        <v/>
      </c>
      <c r="AB50">
        <f>HYPERLINK("https://klasma.github.io/Logging_0821/klagomålsmail/A 35075-2023 FSC-klagomål mail.docx", "A 35075-2023")</f>
        <v/>
      </c>
      <c r="AC50">
        <f>HYPERLINK("https://klasma.github.io/Logging_0821/tillsyn/A 35075-2023 tillsynsbegäran.docx", "A 35075-2023")</f>
        <v/>
      </c>
      <c r="AD50">
        <f>HYPERLINK("https://klasma.github.io/Logging_0821/tillsynsmail/A 35075-2023 tillsynsbegäran mail.docx", "A 35075-2023")</f>
        <v/>
      </c>
    </row>
    <row r="51" ht="15" customHeight="1">
      <c r="A51" t="inlineStr">
        <is>
          <t>A 1519-2022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46309</v>
      </c>
      <c r="F51" t="inlineStr">
        <is>
          <t>KALMAR LÄN</t>
        </is>
      </c>
      <c r="G51" t="inlineStr">
        <is>
          <t>HÖGSBY</t>
        </is>
      </c>
      <c r="I51" t="n">
        <v>2.6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HYPERLINK("https://klasma.github.io/Logging_0821/artfynd/A 1519-2022 artfynd.xlsx", "A 1519-2022")</f>
        <v/>
      </c>
      <c r="X51">
        <f>HYPERLINK("https://klasma.github.io/Logging_0821/kartor/A 1519-2022 karta.png", "A 1519-2022")</f>
        <v/>
      </c>
      <c r="Y51">
        <f>HYPERLINK("https://klasma.github.io/Logging_0821/kartor_geotiff/A 1519-2022 georefererad karta.tif", "A 1519-2022")</f>
        <v/>
      </c>
      <c r="AA51">
        <f>HYPERLINK("https://klasma.github.io/Logging_0821/klagomål/A 1519-2022 FSC-klagomål.docx", "A 1519-2022")</f>
        <v/>
      </c>
      <c r="AB51">
        <f>HYPERLINK("https://klasma.github.io/Logging_0821/klagomålsmail/A 1519-2022 FSC-klagomål mail.docx", "A 1519-2022")</f>
        <v/>
      </c>
      <c r="AC51">
        <f>HYPERLINK("https://klasma.github.io/Logging_0821/tillsyn/A 1519-2022 tillsynsbegäran.docx", "A 1519-2022")</f>
        <v/>
      </c>
      <c r="AD51">
        <f>HYPERLINK("https://klasma.github.io/Logging_0821/tillsynsmail/A 1519-2022 tillsynsbegäran mail.docx", "A 1519-2022")</f>
        <v/>
      </c>
    </row>
    <row r="52" ht="15" customHeight="1">
      <c r="A52" t="inlineStr">
        <is>
          <t>A 22757-2026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46157</v>
      </c>
      <c r="E52" s="1" t="n">
        <v>46309</v>
      </c>
      <c r="F52" t="inlineStr">
        <is>
          <t>KALMAR LÄN</t>
        </is>
      </c>
      <c r="G52" t="inlineStr">
        <is>
          <t>HÖGSBY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4</v>
      </c>
      <c r="V52" s="2" t="inlineStr">
        <is>
          <t>Blåsippa</t>
        </is>
      </c>
      <c r="W52">
        <f>HYPERLINK("https://klasma.github.io/Logging_0821/artfynd/A 22757-2026 artfynd.xlsx", "A 22757-2026")</f>
        <v/>
      </c>
      <c r="X52">
        <f>HYPERLINK("https://klasma.github.io/Logging_0821/kartor/A 22757-2026 karta.png", "A 22757-2026")</f>
        <v/>
      </c>
      <c r="Y52">
        <f>HYPERLINK("https://klasma.github.io/Logging_0821/kartor_geotiff/A 22757-2026 georefererad karta.tif", "A 22757-2026")</f>
        <v/>
      </c>
      <c r="AA52">
        <f>HYPERLINK("https://klasma.github.io/Logging_0821/klagomål/A 22757-2026 FSC-klagomål.docx", "A 22757-2026")</f>
        <v/>
      </c>
      <c r="AB52">
        <f>HYPERLINK("https://klasma.github.io/Logging_0821/klagomålsmail/A 22757-2026 FSC-klagomål mail.docx", "A 22757-2026")</f>
        <v/>
      </c>
      <c r="AC52">
        <f>HYPERLINK("https://klasma.github.io/Logging_0821/tillsyn/A 22757-2026 tillsynsbegäran.docx", "A 22757-2026")</f>
        <v/>
      </c>
      <c r="AD52">
        <f>HYPERLINK("https://klasma.github.io/Logging_0821/tillsynsmail/A 22757-2026 tillsynsbegäran mail.docx", "A 22757-2026")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46309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HYPERLINK("https://klasma.github.io/Logging_0821/artfynd/A 23859-2026 artfynd.xlsx", "A 23859-2026")</f>
        <v/>
      </c>
      <c r="X53">
        <f>HYPERLINK("https://klasma.github.io/Logging_0821/kartor/A 23859-2026 karta.png", "A 23859-2026")</f>
        <v/>
      </c>
      <c r="Y53">
        <f>HYPERLINK("https://klasma.github.io/Logging_0821/kartor_geotiff/A 23859-2026 georefererad karta.tif", "A 23859-2026")</f>
        <v/>
      </c>
      <c r="AA53">
        <f>HYPERLINK("https://klasma.github.io/Logging_0821/klagomål/A 23859-2026 FSC-klagomål.docx", "A 23859-2026")</f>
        <v/>
      </c>
      <c r="AB53">
        <f>HYPERLINK("https://klasma.github.io/Logging_0821/klagomålsmail/A 23859-2026 FSC-klagomål mail.docx", "A 23859-2026")</f>
        <v/>
      </c>
      <c r="AC53">
        <f>HYPERLINK("https://klasma.github.io/Logging_0821/tillsyn/A 23859-2026 tillsynsbegäran.docx", "A 23859-2026")</f>
        <v/>
      </c>
      <c r="AD53">
        <f>HYPERLINK("https://klasma.github.io/Logging_0821/tillsynsmail/A 23859-2026 tillsynsbegäran mail.docx", "A 23859-2026")</f>
        <v/>
      </c>
    </row>
    <row r="54" ht="15" customHeight="1">
      <c r="A54" t="inlineStr">
        <is>
          <t>A 35072-2023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46309</v>
      </c>
      <c r="F54" t="inlineStr">
        <is>
          <t>KALMAR LÄN</t>
        </is>
      </c>
      <c r="G54" t="inlineStr">
        <is>
          <t>HÖGSBY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HYPERLINK("https://klasma.github.io/Logging_0821/artfynd/A 35072-2023 artfynd.xlsx", "A 35072-2023")</f>
        <v/>
      </c>
      <c r="X54">
        <f>HYPERLINK("https://klasma.github.io/Logging_0821/kartor/A 35072-2023 karta.png", "A 35072-2023")</f>
        <v/>
      </c>
      <c r="Y54">
        <f>HYPERLINK("https://klasma.github.io/Logging_0821/kartor_geotiff/A 35072-2023 georefererad karta.tif", "A 35072-2023")</f>
        <v/>
      </c>
      <c r="AA54">
        <f>HYPERLINK("https://klasma.github.io/Logging_0821/klagomål/A 35072-2023 FSC-klagomål.docx", "A 35072-2023")</f>
        <v/>
      </c>
      <c r="AB54">
        <f>HYPERLINK("https://klasma.github.io/Logging_0821/klagomålsmail/A 35072-2023 FSC-klagomål mail.docx", "A 35072-2023")</f>
        <v/>
      </c>
      <c r="AC54">
        <f>HYPERLINK("https://klasma.github.io/Logging_0821/tillsyn/A 35072-2023 tillsynsbegäran.docx", "A 35072-2023")</f>
        <v/>
      </c>
      <c r="AD54">
        <f>HYPERLINK("https://klasma.github.io/Logging_0821/tillsynsmail/A 35072-2023 tillsynsbegäran mail.docx", "A 35072-2023")</f>
        <v/>
      </c>
    </row>
    <row r="55" ht="15" customHeight="1">
      <c r="A55" t="inlineStr">
        <is>
          <t>A 26145-2026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46309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Gullviva</t>
        </is>
      </c>
      <c r="W55">
        <f>HYPERLINK("https://klasma.github.io/Logging_0821/artfynd/A 26145-2026 artfynd.xlsx", "A 26145-2026")</f>
        <v/>
      </c>
      <c r="X55">
        <f>HYPERLINK("https://klasma.github.io/Logging_0821/kartor/A 26145-2026 karta.png", "A 26145-2026")</f>
        <v/>
      </c>
      <c r="Y55">
        <f>HYPERLINK("https://klasma.github.io/Logging_0821/kartor_geotiff/A 26145-2026 georefererad karta.tif", "A 26145-2026")</f>
        <v/>
      </c>
      <c r="AA55">
        <f>HYPERLINK("https://klasma.github.io/Logging_0821/klagomål/A 26145-2026 FSC-klagomål.docx", "A 26145-2026")</f>
        <v/>
      </c>
      <c r="AB55">
        <f>HYPERLINK("https://klasma.github.io/Logging_0821/klagomålsmail/A 26145-2026 FSC-klagomål mail.docx", "A 26145-2026")</f>
        <v/>
      </c>
      <c r="AC55">
        <f>HYPERLINK("https://klasma.github.io/Logging_0821/tillsyn/A 26145-2026 tillsynsbegäran.docx", "A 26145-2026")</f>
        <v/>
      </c>
      <c r="AD55">
        <f>HYPERLINK("https://klasma.github.io/Logging_0821/tillsynsmail/A 26145-2026 tillsynsbegäran mail.docx", "A 26145-2026")</f>
        <v/>
      </c>
    </row>
    <row r="56" ht="15" customHeight="1">
      <c r="A56" t="inlineStr">
        <is>
          <t>A 27366-2026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46309</v>
      </c>
      <c r="F56" t="inlineStr">
        <is>
          <t>KALMAR LÄN</t>
        </is>
      </c>
      <c r="G56" t="inlineStr">
        <is>
          <t>HÖGSBY</t>
        </is>
      </c>
      <c r="I56" t="n">
        <v>4.4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27366-2026 artfynd.xlsx", "A 27366-2026")</f>
        <v/>
      </c>
      <c r="X56">
        <f>HYPERLINK("https://klasma.github.io/Logging_0821/kartor/A 27366-2026 karta.png", "A 27366-2026")</f>
        <v/>
      </c>
      <c r="Y56">
        <f>HYPERLINK("https://klasma.github.io/Logging_0821/kartor_geotiff/A 27366-2026 georefererad karta.tif", "A 27366-2026")</f>
        <v/>
      </c>
      <c r="AA56">
        <f>HYPERLINK("https://klasma.github.io/Logging_0821/klagomål/A 27366-2026 FSC-klagomål.docx", "A 27366-2026")</f>
        <v/>
      </c>
      <c r="AB56">
        <f>HYPERLINK("https://klasma.github.io/Logging_0821/klagomålsmail/A 27366-2026 FSC-klagomål mail.docx", "A 27366-2026")</f>
        <v/>
      </c>
      <c r="AC56">
        <f>HYPERLINK("https://klasma.github.io/Logging_0821/tillsyn/A 27366-2026 tillsynsbegäran.docx", "A 27366-2026")</f>
        <v/>
      </c>
      <c r="AD56">
        <f>HYPERLINK("https://klasma.github.io/Logging_0821/tillsynsmail/A 27366-2026 tillsynsbegäran mail.docx", "A 27366-2026")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46309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28894-2026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46309</v>
      </c>
      <c r="F58" t="inlineStr">
        <is>
          <t>KALMAR LÄN</t>
        </is>
      </c>
      <c r="G58" t="inlineStr">
        <is>
          <t>HÖGSBY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HYPERLINK("https://klasma.github.io/Logging_0821/artfynd/A 28894-2026 artfynd.xlsx", "A 28894-2026")</f>
        <v/>
      </c>
      <c r="X58">
        <f>HYPERLINK("https://klasma.github.io/Logging_0821/kartor/A 28894-2026 karta.png", "A 28894-2026")</f>
        <v/>
      </c>
      <c r="Y58">
        <f>HYPERLINK("https://klasma.github.io/Logging_0821/kartor_geotiff/A 28894-2026 georefererad karta.tif", "A 28894-2026")</f>
        <v/>
      </c>
      <c r="AA58">
        <f>HYPERLINK("https://klasma.github.io/Logging_0821/klagomål/A 28894-2026 FSC-klagomål.docx", "A 28894-2026")</f>
        <v/>
      </c>
      <c r="AB58">
        <f>HYPERLINK("https://klasma.github.io/Logging_0821/klagomålsmail/A 28894-2026 FSC-klagomål mail.docx", "A 28894-2026")</f>
        <v/>
      </c>
      <c r="AC58">
        <f>HYPERLINK("https://klasma.github.io/Logging_0821/tillsyn/A 28894-2026 tillsynsbegäran.docx", "A 28894-2026")</f>
        <v/>
      </c>
      <c r="AD58">
        <f>HYPERLINK("https://klasma.github.io/Logging_0821/tillsynsmail/A 28894-2026 tillsynsbegäran mail.docx", "A 28894-2026")</f>
        <v/>
      </c>
      <c r="AE58">
        <f>HYPERLINK("https://klasma.github.io/Logging_0821/fåglar/A 28894-2026 prioriterade fågelarter.docx", "A 28894-2026")</f>
        <v/>
      </c>
    </row>
    <row r="59" ht="15" customHeight="1">
      <c r="A59" t="inlineStr">
        <is>
          <t>A 30186-2026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46206</v>
      </c>
      <c r="E59" s="1" t="n">
        <v>46309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Gullklöver</t>
        </is>
      </c>
      <c r="W59">
        <f>HYPERLINK("https://klasma.github.io/Logging_0821/artfynd/A 30186-2026 artfynd.xlsx", "A 30186-2026")</f>
        <v/>
      </c>
      <c r="X59">
        <f>HYPERLINK("https://klasma.github.io/Logging_0821/kartor/A 30186-2026 karta.png", "A 30186-2026")</f>
        <v/>
      </c>
      <c r="Y59">
        <f>HYPERLINK("https://klasma.github.io/Logging_0821/kartor_geotiff/A 30186-2026 georefererad karta.tif", "A 30186-2026")</f>
        <v/>
      </c>
      <c r="AA59">
        <f>HYPERLINK("https://klasma.github.io/Logging_0821/klagomål/A 30186-2026 FSC-klagomål.docx", "A 30186-2026")</f>
        <v/>
      </c>
      <c r="AB59">
        <f>HYPERLINK("https://klasma.github.io/Logging_0821/klagomålsmail/A 30186-2026 FSC-klagomål mail.docx", "A 30186-2026")</f>
        <v/>
      </c>
      <c r="AC59">
        <f>HYPERLINK("https://klasma.github.io/Logging_0821/tillsyn/A 30186-2026 tillsynsbegäran.docx", "A 30186-2026")</f>
        <v/>
      </c>
      <c r="AD59">
        <f>HYPERLINK("https://klasma.github.io/Logging_0821/tillsynsmail/A 30186-2026 tillsynsbegäran mail.docx", "A 30186-2026")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46309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59700-2023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45256</v>
      </c>
      <c r="E61" s="1" t="n">
        <v>46309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59700-2023 artfynd.xlsx", "A 59700-2023")</f>
        <v/>
      </c>
      <c r="X61">
        <f>HYPERLINK("https://klasma.github.io/Logging_0821/kartor/A 59700-2023 karta.png", "A 59700-2023")</f>
        <v/>
      </c>
      <c r="Y61">
        <f>HYPERLINK("https://klasma.github.io/Logging_0821/kartor_geotiff/A 59700-2023 georefererad karta.tif", "A 59700-2023")</f>
        <v/>
      </c>
      <c r="AA61">
        <f>HYPERLINK("https://klasma.github.io/Logging_0821/klagomål/A 59700-2023 FSC-klagomål.docx", "A 59700-2023")</f>
        <v/>
      </c>
      <c r="AB61">
        <f>HYPERLINK("https://klasma.github.io/Logging_0821/klagomålsmail/A 59700-2023 FSC-klagomål mail.docx", "A 59700-2023")</f>
        <v/>
      </c>
      <c r="AC61">
        <f>HYPERLINK("https://klasma.github.io/Logging_0821/tillsyn/A 59700-2023 tillsynsbegäran.docx", "A 59700-2023")</f>
        <v/>
      </c>
      <c r="AD61">
        <f>HYPERLINK("https://klasma.github.io/Logging_0821/tillsynsmail/A 59700-2023 tillsynsbegäran mail.docx", "A 59700-2023")</f>
        <v/>
      </c>
      <c r="AE61">
        <f>HYPERLINK("https://klasma.github.io/Logging_0821/fåglar/A 59700-2023 prioriterade fågelarter.docx", "A 59700-2023")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46309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46309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46309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46309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46309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46309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46309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46309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46309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46309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46309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46309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46309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46309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46309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46309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46309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46309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46309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46309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46309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46309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46309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46309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46309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46309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46309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46309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46309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46309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46309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46309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46309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46309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46309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46309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46309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46309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46309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46309</v>
      </c>
      <c r="F103" t="inlineStr">
        <is>
          <t>KALMAR LÄN</t>
        </is>
      </c>
      <c r="G103" t="inlineStr">
        <is>
          <t>HÖGSBY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46309</v>
      </c>
      <c r="F104" t="inlineStr">
        <is>
          <t>KALMAR LÄN</t>
        </is>
      </c>
      <c r="G104" t="inlineStr">
        <is>
          <t>HÖGSBY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46309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46309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46309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46309</v>
      </c>
      <c r="F108" t="inlineStr">
        <is>
          <t>KALMAR LÄN</t>
        </is>
      </c>
      <c r="G108" t="inlineStr">
        <is>
          <t>HÖGSBY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46309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46309</v>
      </c>
      <c r="F110" t="inlineStr">
        <is>
          <t>KALMAR LÄN</t>
        </is>
      </c>
      <c r="G110" t="inlineStr">
        <is>
          <t>HÖGSBY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46309</v>
      </c>
      <c r="F111" t="inlineStr">
        <is>
          <t>KALMAR LÄN</t>
        </is>
      </c>
      <c r="G111" t="inlineStr">
        <is>
          <t>HÖGSBY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46309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46309</v>
      </c>
      <c r="F113" t="inlineStr">
        <is>
          <t>KALMAR LÄN</t>
        </is>
      </c>
      <c r="G113" t="inlineStr">
        <is>
          <t>HÖGSBY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41706-2023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46309</v>
      </c>
      <c r="F114" t="inlineStr">
        <is>
          <t>KALMAR LÄN</t>
        </is>
      </c>
      <c r="G114" t="inlineStr">
        <is>
          <t>HÖGSBY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46309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46309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57006-2024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45626</v>
      </c>
      <c r="E117" s="1" t="n">
        <v>46309</v>
      </c>
      <c r="F117" t="inlineStr">
        <is>
          <t>KALMAR LÄN</t>
        </is>
      </c>
      <c r="G117" t="inlineStr">
        <is>
          <t>HÖGSBY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45775</v>
      </c>
      <c r="E118" s="1" t="n">
        <v>46309</v>
      </c>
      <c r="F118" t="inlineStr">
        <is>
          <t>KALMAR LÄN</t>
        </is>
      </c>
      <c r="G118" t="inlineStr">
        <is>
          <t>HÖGSBY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46309</v>
      </c>
      <c r="F119" t="inlineStr">
        <is>
          <t>KALMAR LÄN</t>
        </is>
      </c>
      <c r="G119" t="inlineStr">
        <is>
          <t>HÖGSBY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46309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46309</v>
      </c>
      <c r="F121" t="inlineStr">
        <is>
          <t>KALMAR LÄN</t>
        </is>
      </c>
      <c r="G121" t="inlineStr">
        <is>
          <t>HÖGSBY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45554</v>
      </c>
      <c r="E122" s="1" t="n">
        <v>46309</v>
      </c>
      <c r="F122" t="inlineStr">
        <is>
          <t>KALMAR LÄN</t>
        </is>
      </c>
      <c r="G122" t="inlineStr">
        <is>
          <t>HÖGSBY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45946</v>
      </c>
      <c r="E123" s="1" t="n">
        <v>46309</v>
      </c>
      <c r="F123" t="inlineStr">
        <is>
          <t>KALMAR LÄN</t>
        </is>
      </c>
      <c r="G123" t="inlineStr">
        <is>
          <t>HÖGSBY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46309</v>
      </c>
      <c r="F124" t="inlineStr">
        <is>
          <t>KALMAR LÄN</t>
        </is>
      </c>
      <c r="G124" t="inlineStr">
        <is>
          <t>HÖGSBY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46309</v>
      </c>
      <c r="F125" t="inlineStr">
        <is>
          <t>KALMAR LÄN</t>
        </is>
      </c>
      <c r="G125" t="inlineStr">
        <is>
          <t>HÖGSBY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46309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46309</v>
      </c>
      <c r="F127" t="inlineStr">
        <is>
          <t>KALMAR LÄN</t>
        </is>
      </c>
      <c r="G127" t="inlineStr">
        <is>
          <t>HÖGSBY</t>
        </is>
      </c>
      <c r="I127" t="n">
        <v>12.8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46309</v>
      </c>
      <c r="F128" t="inlineStr">
        <is>
          <t>KALMAR LÄN</t>
        </is>
      </c>
      <c r="G128" t="inlineStr">
        <is>
          <t>HÖGSBY</t>
        </is>
      </c>
      <c r="H128" t="inlineStr">
        <is>
          <t>Kyrkan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45954</v>
      </c>
      <c r="E129" s="1" t="n">
        <v>46309</v>
      </c>
      <c r="F129" t="inlineStr">
        <is>
          <t>KALMAR LÄN</t>
        </is>
      </c>
      <c r="G129" t="inlineStr">
        <is>
          <t>HÖGSBY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52545-2025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46309</v>
      </c>
      <c r="F130" t="inlineStr">
        <is>
          <t>KALMAR LÄN</t>
        </is>
      </c>
      <c r="G130" t="inlineStr">
        <is>
          <t>HÖGSBY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38068-2025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45882</v>
      </c>
      <c r="E131" s="1" t="n">
        <v>46309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46309</v>
      </c>
      <c r="F132" t="inlineStr">
        <is>
          <t>KALMAR LÄN</t>
        </is>
      </c>
      <c r="G132" t="inlineStr">
        <is>
          <t>HÖGSBY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45789</v>
      </c>
      <c r="E133" s="1" t="n">
        <v>46309</v>
      </c>
      <c r="F133" t="inlineStr">
        <is>
          <t>KALMAR LÄN</t>
        </is>
      </c>
      <c r="G133" t="inlineStr">
        <is>
          <t>HÖGSBY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46309</v>
      </c>
      <c r="F134" t="inlineStr">
        <is>
          <t>KALMAR LÄN</t>
        </is>
      </c>
      <c r="G134" t="inlineStr">
        <is>
          <t>HÖGSBY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46309</v>
      </c>
      <c r="F135" t="inlineStr">
        <is>
          <t>KALMAR LÄN</t>
        </is>
      </c>
      <c r="G135" t="inlineStr">
        <is>
          <t>HÖGSBY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46309</v>
      </c>
      <c r="F136" t="inlineStr">
        <is>
          <t>KALMAR LÄN</t>
        </is>
      </c>
      <c r="G136" t="inlineStr">
        <is>
          <t>HÖGSBY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44729</v>
      </c>
      <c r="E137" s="1" t="n">
        <v>46309</v>
      </c>
      <c r="F137" t="inlineStr">
        <is>
          <t>KALMAR LÄN</t>
        </is>
      </c>
      <c r="G137" t="inlineStr">
        <is>
          <t>HÖGSBY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46309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46309</v>
      </c>
      <c r="F139" t="inlineStr">
        <is>
          <t>KALMAR LÄN</t>
        </is>
      </c>
      <c r="G139" t="inlineStr">
        <is>
          <t>HÖGSBY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46309</v>
      </c>
      <c r="F140" t="inlineStr">
        <is>
          <t>KALMAR LÄN</t>
        </is>
      </c>
      <c r="G140" t="inlineStr">
        <is>
          <t>HÖGSBY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46309</v>
      </c>
      <c r="F141" t="inlineStr">
        <is>
          <t>KALMAR LÄN</t>
        </is>
      </c>
      <c r="G141" t="inlineStr">
        <is>
          <t>HÖGSBY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45979</v>
      </c>
      <c r="E142" s="1" t="n">
        <v>46309</v>
      </c>
      <c r="F142" t="inlineStr">
        <is>
          <t>KALMAR LÄN</t>
        </is>
      </c>
      <c r="G142" t="inlineStr">
        <is>
          <t>HÖGSBY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65130-2023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45288</v>
      </c>
      <c r="E143" s="1" t="n">
        <v>46309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46309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46309</v>
      </c>
      <c r="F145" t="inlineStr">
        <is>
          <t>KALMAR LÄN</t>
        </is>
      </c>
      <c r="G145" t="inlineStr">
        <is>
          <t>HÖGSBY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57000-2024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45626</v>
      </c>
      <c r="E146" s="1" t="n">
        <v>46309</v>
      </c>
      <c r="F146" t="inlineStr">
        <is>
          <t>KALMAR LÄN</t>
        </is>
      </c>
      <c r="G146" t="inlineStr">
        <is>
          <t>HÖGSBY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46059</v>
      </c>
      <c r="E147" s="1" t="n">
        <v>46309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46309</v>
      </c>
      <c r="F148" t="inlineStr">
        <is>
          <t>KALMAR LÄN</t>
        </is>
      </c>
      <c r="G148" t="inlineStr">
        <is>
          <t>HÖGSBY</t>
        </is>
      </c>
      <c r="I148" t="n">
        <v>11.6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45988</v>
      </c>
      <c r="E149" s="1" t="n">
        <v>46309</v>
      </c>
      <c r="F149" t="inlineStr">
        <is>
          <t>KALMAR LÄN</t>
        </is>
      </c>
      <c r="G149" t="inlineStr">
        <is>
          <t>HÖGSBY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46309</v>
      </c>
      <c r="F150" t="inlineStr">
        <is>
          <t>KALMAR LÄN</t>
        </is>
      </c>
      <c r="G150" t="inlineStr">
        <is>
          <t>HÖGSBY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46309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46309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46309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46309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18.4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46309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46309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45999</v>
      </c>
      <c r="E157" s="1" t="n">
        <v>46309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46309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32049-2023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45119</v>
      </c>
      <c r="E159" s="1" t="n">
        <v>46309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45608</v>
      </c>
      <c r="E160" s="1" t="n">
        <v>46309</v>
      </c>
      <c r="F160" t="inlineStr">
        <is>
          <t>KALMAR LÄN</t>
        </is>
      </c>
      <c r="G160" t="inlineStr">
        <is>
          <t>HÖGSBY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46309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62720-2025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46008</v>
      </c>
      <c r="E162" s="1" t="n">
        <v>46309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62722-2025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46008</v>
      </c>
      <c r="E163" s="1" t="n">
        <v>46309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46079</v>
      </c>
      <c r="E164" s="1" t="n">
        <v>46309</v>
      </c>
      <c r="F164" t="inlineStr">
        <is>
          <t>KALMAR LÄN</t>
        </is>
      </c>
      <c r="G164" t="inlineStr">
        <is>
          <t>HÖGSBY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46309</v>
      </c>
      <c r="F165" t="inlineStr">
        <is>
          <t>KALMAR LÄN</t>
        </is>
      </c>
      <c r="G165" t="inlineStr">
        <is>
          <t>HÖGSBY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62918-2025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46009</v>
      </c>
      <c r="E166" s="1" t="n">
        <v>46309</v>
      </c>
      <c r="F166" t="inlineStr">
        <is>
          <t>KALMAR LÄN</t>
        </is>
      </c>
      <c r="G166" t="inlineStr">
        <is>
          <t>HÖGSBY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46309</v>
      </c>
      <c r="F167" t="inlineStr">
        <is>
          <t>KALMAR LÄN</t>
        </is>
      </c>
      <c r="G167" t="inlineStr">
        <is>
          <t>HÖGSBY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46309</v>
      </c>
      <c r="F168" t="inlineStr">
        <is>
          <t>KALMAR LÄN</t>
        </is>
      </c>
      <c r="G168" t="inlineStr">
        <is>
          <t>HÖGSBY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46309</v>
      </c>
      <c r="F169" t="inlineStr">
        <is>
          <t>KALMAR LÄN</t>
        </is>
      </c>
      <c r="G169" t="inlineStr">
        <is>
          <t>HÖGSBY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46309</v>
      </c>
      <c r="F170" t="inlineStr">
        <is>
          <t>KALMAR LÄN</t>
        </is>
      </c>
      <c r="G170" t="inlineStr">
        <is>
          <t>HÖGSBY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46309</v>
      </c>
      <c r="F171" t="inlineStr">
        <is>
          <t>KALMAR LÄN</t>
        </is>
      </c>
      <c r="G171" t="inlineStr">
        <is>
          <t>HÖGSBY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44987</v>
      </c>
      <c r="E172" s="1" t="n">
        <v>46309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46309</v>
      </c>
      <c r="F173" t="inlineStr">
        <is>
          <t>KALMAR LÄN</t>
        </is>
      </c>
      <c r="G173" t="inlineStr">
        <is>
          <t>HÖGSBY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45228</v>
      </c>
      <c r="E174" s="1" t="n">
        <v>46309</v>
      </c>
      <c r="F174" t="inlineStr">
        <is>
          <t>KALMAR LÄN</t>
        </is>
      </c>
      <c r="G174" t="inlineStr">
        <is>
          <t>HÖGSBY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14894-2025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45743</v>
      </c>
      <c r="E175" s="1" t="n">
        <v>46309</v>
      </c>
      <c r="F175" t="inlineStr">
        <is>
          <t>KALMAR LÄN</t>
        </is>
      </c>
      <c r="G175" t="inlineStr">
        <is>
          <t>HÖGSBY</t>
        </is>
      </c>
      <c r="H175" t="inlineStr">
        <is>
          <t>Kommuner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44861</v>
      </c>
      <c r="E176" s="1" t="n">
        <v>46309</v>
      </c>
      <c r="F176" t="inlineStr">
        <is>
          <t>KALMAR LÄN</t>
        </is>
      </c>
      <c r="G176" t="inlineStr">
        <is>
          <t>HÖGSBY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46309</v>
      </c>
      <c r="F177" t="inlineStr">
        <is>
          <t>KALMAR LÄN</t>
        </is>
      </c>
      <c r="G177" t="inlineStr">
        <is>
          <t>HÖGSBY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46309</v>
      </c>
      <c r="F178" t="inlineStr">
        <is>
          <t>KALMAR LÄN</t>
        </is>
      </c>
      <c r="G178" t="inlineStr">
        <is>
          <t>HÖGSBY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46309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46309</v>
      </c>
      <c r="F180" t="inlineStr">
        <is>
          <t>KALMAR LÄN</t>
        </is>
      </c>
      <c r="G180" t="inlineStr">
        <is>
          <t>HÖGSBY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45247</v>
      </c>
      <c r="E181" s="1" t="n">
        <v>46309</v>
      </c>
      <c r="F181" t="inlineStr">
        <is>
          <t>KALMAR LÄN</t>
        </is>
      </c>
      <c r="G181" t="inlineStr">
        <is>
          <t>HÖGSBY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46309</v>
      </c>
      <c r="F182" t="inlineStr">
        <is>
          <t>KALMAR LÄN</t>
        </is>
      </c>
      <c r="G182" t="inlineStr">
        <is>
          <t>HÖGSBY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46309</v>
      </c>
      <c r="F183" t="inlineStr">
        <is>
          <t>KALMAR LÄN</t>
        </is>
      </c>
      <c r="G183" t="inlineStr">
        <is>
          <t>HÖGSBY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46309</v>
      </c>
      <c r="F184" t="inlineStr">
        <is>
          <t>KALMAR LÄN</t>
        </is>
      </c>
      <c r="G184" t="inlineStr">
        <is>
          <t>HÖGSBY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46309</v>
      </c>
      <c r="F185" t="inlineStr">
        <is>
          <t>KALMAR LÄN</t>
        </is>
      </c>
      <c r="G185" t="inlineStr">
        <is>
          <t>HÖGSBY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44924</v>
      </c>
      <c r="E186" s="1" t="n">
        <v>46309</v>
      </c>
      <c r="F186" t="inlineStr">
        <is>
          <t>KALMAR LÄN</t>
        </is>
      </c>
      <c r="G186" t="inlineStr">
        <is>
          <t>HÖGSBY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46309</v>
      </c>
      <c r="F187" t="inlineStr">
        <is>
          <t>KALMAR LÄN</t>
        </is>
      </c>
      <c r="G187" t="inlineStr">
        <is>
          <t>HÖGSBY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44861</v>
      </c>
      <c r="E188" s="1" t="n">
        <v>46309</v>
      </c>
      <c r="F188" t="inlineStr">
        <is>
          <t>KALMAR LÄN</t>
        </is>
      </c>
      <c r="G188" t="inlineStr">
        <is>
          <t>HÖGSBY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46309</v>
      </c>
      <c r="F189" t="inlineStr">
        <is>
          <t>KALMAR LÄN</t>
        </is>
      </c>
      <c r="G189" t="inlineStr">
        <is>
          <t>HÖGSBY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46122</v>
      </c>
      <c r="E190" s="1" t="n">
        <v>46309</v>
      </c>
      <c r="F190" t="inlineStr">
        <is>
          <t>KALMAR LÄN</t>
        </is>
      </c>
      <c r="G190" t="inlineStr">
        <is>
          <t>HÖGSBY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44586</v>
      </c>
      <c r="E191" s="1" t="n">
        <v>46309</v>
      </c>
      <c r="F191" t="inlineStr">
        <is>
          <t>KALMAR LÄN</t>
        </is>
      </c>
      <c r="G191" t="inlineStr">
        <is>
          <t>HÖGSBY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44981</v>
      </c>
      <c r="E192" s="1" t="n">
        <v>46309</v>
      </c>
      <c r="F192" t="inlineStr">
        <is>
          <t>KALMAR LÄN</t>
        </is>
      </c>
      <c r="G192" t="inlineStr">
        <is>
          <t>HÖGSBY</t>
        </is>
      </c>
      <c r="H192" t="inlineStr">
        <is>
          <t>Övriga Aktiebolag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18099-2023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46309</v>
      </c>
      <c r="F193" t="inlineStr">
        <is>
          <t>KALMAR LÄN</t>
        </is>
      </c>
      <c r="G193" t="inlineStr">
        <is>
          <t>HÖGSBY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59281-2022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44904</v>
      </c>
      <c r="E194" s="1" t="n">
        <v>46309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46134</v>
      </c>
      <c r="E195" s="1" t="n">
        <v>46309</v>
      </c>
      <c r="F195" t="inlineStr">
        <is>
          <t>KALMAR LÄN</t>
        </is>
      </c>
      <c r="G195" t="inlineStr">
        <is>
          <t>HÖGSBY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46309</v>
      </c>
      <c r="F196" t="inlineStr">
        <is>
          <t>KALMAR LÄN</t>
        </is>
      </c>
      <c r="G196" t="inlineStr">
        <is>
          <t>HÖGSBY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44939</v>
      </c>
      <c r="E197" s="1" t="n">
        <v>46309</v>
      </c>
      <c r="F197" t="inlineStr">
        <is>
          <t>KALMAR LÄN</t>
        </is>
      </c>
      <c r="G197" t="inlineStr">
        <is>
          <t>HÖGSBY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44866</v>
      </c>
      <c r="E198" s="1" t="n">
        <v>46309</v>
      </c>
      <c r="F198" t="inlineStr">
        <is>
          <t>KALMAR LÄN</t>
        </is>
      </c>
      <c r="G198" t="inlineStr">
        <is>
          <t>HÖGSBY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46309</v>
      </c>
      <c r="F199" t="inlineStr">
        <is>
          <t>KALMAR LÄN</t>
        </is>
      </c>
      <c r="G199" t="inlineStr">
        <is>
          <t>HÖGSBY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37811-2024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45544</v>
      </c>
      <c r="E200" s="1" t="n">
        <v>46309</v>
      </c>
      <c r="F200" t="inlineStr">
        <is>
          <t>KALMAR LÄN</t>
        </is>
      </c>
      <c r="G200" t="inlineStr">
        <is>
          <t>HÖGSBY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28648-2023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45103</v>
      </c>
      <c r="E201" s="1" t="n">
        <v>46309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46309</v>
      </c>
      <c r="F202" t="inlineStr">
        <is>
          <t>KALMAR LÄN</t>
        </is>
      </c>
      <c r="G202" t="inlineStr">
        <is>
          <t>HÖGSBY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46309</v>
      </c>
      <c r="F203" t="inlineStr">
        <is>
          <t>KALMAR LÄN</t>
        </is>
      </c>
      <c r="G203" t="inlineStr">
        <is>
          <t>HÖGSBY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46309</v>
      </c>
      <c r="F204" t="inlineStr">
        <is>
          <t>KALMAR LÄN</t>
        </is>
      </c>
      <c r="G204" t="inlineStr">
        <is>
          <t>HÖGSBY</t>
        </is>
      </c>
      <c r="H204" t="inlineStr">
        <is>
          <t>Kommuner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46309</v>
      </c>
      <c r="F205" t="inlineStr">
        <is>
          <t>KALMAR LÄN</t>
        </is>
      </c>
      <c r="G205" t="inlineStr">
        <is>
          <t>HÖGSBY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46309</v>
      </c>
      <c r="F206" t="inlineStr">
        <is>
          <t>KALMAR LÄN</t>
        </is>
      </c>
      <c r="G206" t="inlineStr">
        <is>
          <t>HÖGSBY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46309</v>
      </c>
      <c r="F207" t="inlineStr">
        <is>
          <t>KALMAR LÄN</t>
        </is>
      </c>
      <c r="G207" t="inlineStr">
        <is>
          <t>HÖGSBY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46309</v>
      </c>
      <c r="F208" t="inlineStr">
        <is>
          <t>KALMAR LÄN</t>
        </is>
      </c>
      <c r="G208" t="inlineStr">
        <is>
          <t>HÖGSBY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46309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46309</v>
      </c>
      <c r="F210" t="inlineStr">
        <is>
          <t>KALMAR LÄN</t>
        </is>
      </c>
      <c r="G210" t="inlineStr">
        <is>
          <t>HÖGSBY</t>
        </is>
      </c>
      <c r="I210" t="n">
        <v>12.1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46309</v>
      </c>
      <c r="F211" t="inlineStr">
        <is>
          <t>KALMAR LÄN</t>
        </is>
      </c>
      <c r="G211" t="inlineStr">
        <is>
          <t>HÖGSBY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46309</v>
      </c>
      <c r="F212" t="inlineStr">
        <is>
          <t>KALMAR LÄN</t>
        </is>
      </c>
      <c r="G212" t="inlineStr">
        <is>
          <t>HÖGSBY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46309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46309</v>
      </c>
      <c r="F214" t="inlineStr">
        <is>
          <t>KALMAR LÄN</t>
        </is>
      </c>
      <c r="G214" t="inlineStr">
        <is>
          <t>HÖGSBY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46309</v>
      </c>
      <c r="F215" t="inlineStr">
        <is>
          <t>KALMAR LÄN</t>
        </is>
      </c>
      <c r="G215" t="inlineStr">
        <is>
          <t>HÖGSBY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44907</v>
      </c>
      <c r="E216" s="1" t="n">
        <v>46309</v>
      </c>
      <c r="F216" t="inlineStr">
        <is>
          <t>KALMAR LÄN</t>
        </is>
      </c>
      <c r="G216" t="inlineStr">
        <is>
          <t>HÖGSBY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46309</v>
      </c>
      <c r="F217" t="inlineStr">
        <is>
          <t>KALMAR LÄN</t>
        </is>
      </c>
      <c r="G217" t="inlineStr">
        <is>
          <t>HÖGSBY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46309</v>
      </c>
      <c r="F218" t="inlineStr">
        <is>
          <t>KALMAR LÄN</t>
        </is>
      </c>
      <c r="G218" t="inlineStr">
        <is>
          <t>HÖGSBY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45307</v>
      </c>
      <c r="E219" s="1" t="n">
        <v>46309</v>
      </c>
      <c r="F219" t="inlineStr">
        <is>
          <t>KALMAR LÄN</t>
        </is>
      </c>
      <c r="G219" t="inlineStr">
        <is>
          <t>HÖGSBY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46309</v>
      </c>
      <c r="F220" t="inlineStr">
        <is>
          <t>KALMAR LÄN</t>
        </is>
      </c>
      <c r="G220" t="inlineStr">
        <is>
          <t>HÖGSBY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44496</v>
      </c>
      <c r="E221" s="1" t="n">
        <v>46309</v>
      </c>
      <c r="F221" t="inlineStr">
        <is>
          <t>KALMAR LÄN</t>
        </is>
      </c>
      <c r="G221" t="inlineStr">
        <is>
          <t>HÖGSBY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46309</v>
      </c>
      <c r="F222" t="inlineStr">
        <is>
          <t>KALMAR LÄN</t>
        </is>
      </c>
      <c r="G222" t="inlineStr">
        <is>
          <t>HÖGSBY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46309</v>
      </c>
      <c r="F223" t="inlineStr">
        <is>
          <t>KALMAR LÄN</t>
        </is>
      </c>
      <c r="G223" t="inlineStr">
        <is>
          <t>HÖGSBY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46048</v>
      </c>
      <c r="E224" s="1" t="n">
        <v>46309</v>
      </c>
      <c r="F224" t="inlineStr">
        <is>
          <t>KALMAR LÄN</t>
        </is>
      </c>
      <c r="G224" t="inlineStr">
        <is>
          <t>HÖGSBY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45058</v>
      </c>
      <c r="E225" s="1" t="n">
        <v>46309</v>
      </c>
      <c r="F225" t="inlineStr">
        <is>
          <t>KALMAR LÄN</t>
        </is>
      </c>
      <c r="G225" t="inlineStr">
        <is>
          <t>HÖGSBY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73709-2021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46309</v>
      </c>
      <c r="F226" t="inlineStr">
        <is>
          <t>KALMAR LÄN</t>
        </is>
      </c>
      <c r="G226" t="inlineStr">
        <is>
          <t>HÖGSBY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45393</v>
      </c>
      <c r="E227" s="1" t="n">
        <v>46309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46309</v>
      </c>
      <c r="F228" t="inlineStr">
        <is>
          <t>KALMAR LÄN</t>
        </is>
      </c>
      <c r="G228" t="inlineStr">
        <is>
          <t>HÖGSBY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45546</v>
      </c>
      <c r="E229" s="1" t="n">
        <v>46309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46309</v>
      </c>
      <c r="F230" t="inlineStr">
        <is>
          <t>KALMAR LÄN</t>
        </is>
      </c>
      <c r="G230" t="inlineStr">
        <is>
          <t>HÖGSBY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45348</v>
      </c>
      <c r="E231" s="1" t="n">
        <v>46309</v>
      </c>
      <c r="F231" t="inlineStr">
        <is>
          <t>KALMAR LÄN</t>
        </is>
      </c>
      <c r="G231" t="inlineStr">
        <is>
          <t>HÖGSBY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63508-2025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46309</v>
      </c>
      <c r="F232" t="inlineStr">
        <is>
          <t>KALMAR LÄN</t>
        </is>
      </c>
      <c r="G232" t="inlineStr">
        <is>
          <t>HÖGSBY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46309</v>
      </c>
      <c r="F233" t="inlineStr">
        <is>
          <t>KALMAR LÄN</t>
        </is>
      </c>
      <c r="G233" t="inlineStr">
        <is>
          <t>HÖGSBY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46309</v>
      </c>
      <c r="F234" t="inlineStr">
        <is>
          <t>KALMAR LÄN</t>
        </is>
      </c>
      <c r="G234" t="inlineStr">
        <is>
          <t>HÖGSBY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45360</v>
      </c>
      <c r="E235" s="1" t="n">
        <v>46309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46309</v>
      </c>
      <c r="F236" t="inlineStr">
        <is>
          <t>KALMAR LÄN</t>
        </is>
      </c>
      <c r="G236" t="inlineStr">
        <is>
          <t>HÖGSBY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41479-2023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45175</v>
      </c>
      <c r="E237" s="1" t="n">
        <v>46309</v>
      </c>
      <c r="F237" t="inlineStr">
        <is>
          <t>KALMAR LÄN</t>
        </is>
      </c>
      <c r="G237" t="inlineStr">
        <is>
          <t>HÖGSBY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53501-2024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46309</v>
      </c>
      <c r="F238" t="inlineStr">
        <is>
          <t>KALMAR LÄN</t>
        </is>
      </c>
      <c r="G238" t="inlineStr">
        <is>
          <t>HÖGSBY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46309</v>
      </c>
      <c r="F239" t="inlineStr">
        <is>
          <t>KALMAR LÄN</t>
        </is>
      </c>
      <c r="G239" t="inlineStr">
        <is>
          <t>HÖGSBY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46309</v>
      </c>
      <c r="F240" t="inlineStr">
        <is>
          <t>KALMAR LÄN</t>
        </is>
      </c>
      <c r="G240" t="inlineStr">
        <is>
          <t>HÖGSBY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46309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46309</v>
      </c>
      <c r="F242" t="inlineStr">
        <is>
          <t>KALMAR LÄN</t>
        </is>
      </c>
      <c r="G242" t="inlineStr">
        <is>
          <t>HÖGSBY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45348</v>
      </c>
      <c r="E243" s="1" t="n">
        <v>46309</v>
      </c>
      <c r="F243" t="inlineStr">
        <is>
          <t>KALMAR LÄN</t>
        </is>
      </c>
      <c r="G243" t="inlineStr">
        <is>
          <t>HÖGSBY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46309</v>
      </c>
      <c r="F244" t="inlineStr">
        <is>
          <t>KALMAR LÄN</t>
        </is>
      </c>
      <c r="G244" t="inlineStr">
        <is>
          <t>HÖGSBY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46309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7325-2025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45702</v>
      </c>
      <c r="E246" s="1" t="n">
        <v>46309</v>
      </c>
      <c r="F246" t="inlineStr">
        <is>
          <t>KALMAR LÄN</t>
        </is>
      </c>
      <c r="G246" t="inlineStr">
        <is>
          <t>HÖGSBY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44625</v>
      </c>
      <c r="E247" s="1" t="n">
        <v>46309</v>
      </c>
      <c r="F247" t="inlineStr">
        <is>
          <t>KALMAR LÄN</t>
        </is>
      </c>
      <c r="G247" t="inlineStr">
        <is>
          <t>HÖGSBY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44625</v>
      </c>
      <c r="E248" s="1" t="n">
        <v>46309</v>
      </c>
      <c r="F248" t="inlineStr">
        <is>
          <t>KALMAR LÄN</t>
        </is>
      </c>
      <c r="G248" t="inlineStr">
        <is>
          <t>HÖGSBY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46309</v>
      </c>
      <c r="F249" t="inlineStr">
        <is>
          <t>KALMAR LÄN</t>
        </is>
      </c>
      <c r="G249" t="inlineStr">
        <is>
          <t>HÖGSBY</t>
        </is>
      </c>
      <c r="H249" t="inlineStr">
        <is>
          <t>Kyrkan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22562-2026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46155</v>
      </c>
      <c r="E250" s="1" t="n">
        <v>46309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22564-2026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46155</v>
      </c>
      <c r="E251" s="1" t="n">
        <v>46309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46157</v>
      </c>
      <c r="E252" s="1" t="n">
        <v>46309</v>
      </c>
      <c r="F252" t="inlineStr">
        <is>
          <t>KALMAR LÄN</t>
        </is>
      </c>
      <c r="G252" t="inlineStr">
        <is>
          <t>HÖGSBY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45203</v>
      </c>
      <c r="E253" s="1" t="n">
        <v>46309</v>
      </c>
      <c r="F253" t="inlineStr">
        <is>
          <t>KALMAR LÄN</t>
        </is>
      </c>
      <c r="G253" t="inlineStr">
        <is>
          <t>HÖGSBY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45173</v>
      </c>
      <c r="E254" s="1" t="n">
        <v>46309</v>
      </c>
      <c r="F254" t="inlineStr">
        <is>
          <t>KALMAR LÄN</t>
        </is>
      </c>
      <c r="G254" t="inlineStr">
        <is>
          <t>HÖGSBY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46309</v>
      </c>
      <c r="F255" t="inlineStr">
        <is>
          <t>KALMAR LÄN</t>
        </is>
      </c>
      <c r="G255" t="inlineStr">
        <is>
          <t>HÖGSBY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46309</v>
      </c>
      <c r="F256" t="inlineStr">
        <is>
          <t>KALMAR LÄN</t>
        </is>
      </c>
      <c r="G256" t="inlineStr">
        <is>
          <t>HÖGSBY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46309</v>
      </c>
      <c r="F257" t="inlineStr">
        <is>
          <t>KALMAR LÄN</t>
        </is>
      </c>
      <c r="G257" t="inlineStr">
        <is>
          <t>HÖGSBY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38797-2024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45547</v>
      </c>
      <c r="E258" s="1" t="n">
        <v>46309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23937-2026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46167</v>
      </c>
      <c r="E259" s="1" t="n">
        <v>46309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46309</v>
      </c>
      <c r="F260" t="inlineStr">
        <is>
          <t>KALMAR LÄN</t>
        </is>
      </c>
      <c r="G260" t="inlineStr">
        <is>
          <t>HÖGSBY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46309</v>
      </c>
      <c r="F261" t="inlineStr">
        <is>
          <t>KALMAR LÄN</t>
        </is>
      </c>
      <c r="G261" t="inlineStr">
        <is>
          <t>HÖGSBY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46309</v>
      </c>
      <c r="F262" t="inlineStr">
        <is>
          <t>KALMAR LÄN</t>
        </is>
      </c>
      <c r="G262" t="inlineStr">
        <is>
          <t>HÖGSBY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46309</v>
      </c>
      <c r="F263" t="inlineStr">
        <is>
          <t>KALMAR LÄN</t>
        </is>
      </c>
      <c r="G263" t="inlineStr">
        <is>
          <t>HÖGSBY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45160</v>
      </c>
      <c r="E264" s="1" t="n">
        <v>46309</v>
      </c>
      <c r="F264" t="inlineStr">
        <is>
          <t>KALMAR LÄN</t>
        </is>
      </c>
      <c r="G264" t="inlineStr">
        <is>
          <t>HÖGSBY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44677</v>
      </c>
      <c r="E265" s="1" t="n">
        <v>46309</v>
      </c>
      <c r="F265" t="inlineStr">
        <is>
          <t>KALMAR LÄN</t>
        </is>
      </c>
      <c r="G265" t="inlineStr">
        <is>
          <t>HÖGSBY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45190</v>
      </c>
      <c r="E266" s="1" t="n">
        <v>46309</v>
      </c>
      <c r="F266" t="inlineStr">
        <is>
          <t>KALMAR LÄN</t>
        </is>
      </c>
      <c r="G266" t="inlineStr">
        <is>
          <t>HÖGSBY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46309</v>
      </c>
      <c r="F267" t="inlineStr">
        <is>
          <t>KALMAR LÄN</t>
        </is>
      </c>
      <c r="G267" t="inlineStr">
        <is>
          <t>HÖGSBY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46309</v>
      </c>
      <c r="F268" t="inlineStr">
        <is>
          <t>KALMAR LÄN</t>
        </is>
      </c>
      <c r="G268" t="inlineStr">
        <is>
          <t>HÖGSBY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24601-2024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45460</v>
      </c>
      <c r="E269" s="1" t="n">
        <v>46309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46309</v>
      </c>
      <c r="F270" t="inlineStr">
        <is>
          <t>KALMAR LÄN</t>
        </is>
      </c>
      <c r="G270" t="inlineStr">
        <is>
          <t>HÖGSBY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44882</v>
      </c>
      <c r="E271" s="1" t="n">
        <v>46309</v>
      </c>
      <c r="F271" t="inlineStr">
        <is>
          <t>KALMAR LÄN</t>
        </is>
      </c>
      <c r="G271" t="inlineStr">
        <is>
          <t>HÖGSBY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46309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46309</v>
      </c>
      <c r="F273" t="inlineStr">
        <is>
          <t>KALMAR LÄN</t>
        </is>
      </c>
      <c r="G273" t="inlineStr">
        <is>
          <t>HÖGSBY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46309</v>
      </c>
      <c r="F274" t="inlineStr">
        <is>
          <t>KALMAR LÄN</t>
        </is>
      </c>
      <c r="G274" t="inlineStr">
        <is>
          <t>HÖGSBY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46309</v>
      </c>
      <c r="F275" t="inlineStr">
        <is>
          <t>KALMAR LÄN</t>
        </is>
      </c>
      <c r="G275" t="inlineStr">
        <is>
          <t>HÖGSBY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26109-2026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46309</v>
      </c>
      <c r="F276" t="inlineStr">
        <is>
          <t>KALMAR LÄN</t>
        </is>
      </c>
      <c r="G276" t="inlineStr">
        <is>
          <t>HÖGSBY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46309</v>
      </c>
      <c r="F277" t="inlineStr">
        <is>
          <t>KALMAR LÄN</t>
        </is>
      </c>
      <c r="G277" t="inlineStr">
        <is>
          <t>HÖGSBY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46309</v>
      </c>
      <c r="F278" t="inlineStr">
        <is>
          <t>KALMAR LÄN</t>
        </is>
      </c>
      <c r="G278" t="inlineStr">
        <is>
          <t>HÖGSBY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45259</v>
      </c>
      <c r="E279" s="1" t="n">
        <v>46309</v>
      </c>
      <c r="F279" t="inlineStr">
        <is>
          <t>KALMAR LÄN</t>
        </is>
      </c>
      <c r="G279" t="inlineStr">
        <is>
          <t>HÖGSBY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46309</v>
      </c>
      <c r="F280" t="inlineStr">
        <is>
          <t>KALMAR LÄN</t>
        </is>
      </c>
      <c r="G280" t="inlineStr">
        <is>
          <t>HÖGSBY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46309</v>
      </c>
      <c r="F281" t="inlineStr">
        <is>
          <t>KALMAR LÄN</t>
        </is>
      </c>
      <c r="G281" t="inlineStr">
        <is>
          <t>HÖGSBY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46309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46309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46309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46309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46309</v>
      </c>
      <c r="F286" t="inlineStr">
        <is>
          <t>KALMAR LÄN</t>
        </is>
      </c>
      <c r="G286" t="inlineStr">
        <is>
          <t>HÖGSBY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45306</v>
      </c>
      <c r="E287" s="1" t="n">
        <v>46309</v>
      </c>
      <c r="F287" t="inlineStr">
        <is>
          <t>KALMAR LÄN</t>
        </is>
      </c>
      <c r="G287" t="inlineStr">
        <is>
          <t>HÖGSBY</t>
        </is>
      </c>
      <c r="H287" t="inlineStr">
        <is>
          <t>Övriga Aktiebolag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46309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54735-2025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46309</v>
      </c>
      <c r="F289" t="inlineStr">
        <is>
          <t>KALMAR LÄN</t>
        </is>
      </c>
      <c r="G289" t="inlineStr">
        <is>
          <t>HÖGSBY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46309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46309</v>
      </c>
      <c r="F291" t="inlineStr">
        <is>
          <t>KALMAR LÄN</t>
        </is>
      </c>
      <c r="G291" t="inlineStr">
        <is>
          <t>HÖGSBY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74478-2021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44559</v>
      </c>
      <c r="E292" s="1" t="n">
        <v>46309</v>
      </c>
      <c r="F292" t="inlineStr">
        <is>
          <t>KALMAR LÄN</t>
        </is>
      </c>
      <c r="G292" t="inlineStr">
        <is>
          <t>HÖGSBY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46309</v>
      </c>
      <c r="F293" t="inlineStr">
        <is>
          <t>KALMAR LÄN</t>
        </is>
      </c>
      <c r="G293" t="inlineStr">
        <is>
          <t>HÖGSBY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28702-2026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46198</v>
      </c>
      <c r="E294" s="1" t="n">
        <v>46309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28692-2026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46198</v>
      </c>
      <c r="E295" s="1" t="n">
        <v>46309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28713-2026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46198</v>
      </c>
      <c r="E296" s="1" t="n">
        <v>46309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46309</v>
      </c>
      <c r="F297" t="inlineStr">
        <is>
          <t>KALMAR LÄN</t>
        </is>
      </c>
      <c r="G297" t="inlineStr">
        <is>
          <t>HÖGSBY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28634-2026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46309</v>
      </c>
      <c r="F298" t="inlineStr">
        <is>
          <t>KALMAR LÄN</t>
        </is>
      </c>
      <c r="G298" t="inlineStr">
        <is>
          <t>HÖGSBY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46309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46309</v>
      </c>
      <c r="F300" t="inlineStr">
        <is>
          <t>KALMAR LÄN</t>
        </is>
      </c>
      <c r="G300" t="inlineStr">
        <is>
          <t>HÖGSBY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28691-2026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46198</v>
      </c>
      <c r="E301" s="1" t="n">
        <v>46309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28697-2026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46309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46309</v>
      </c>
      <c r="F303" t="inlineStr">
        <is>
          <t>KALMAR LÄN</t>
        </is>
      </c>
      <c r="G303" t="inlineStr">
        <is>
          <t>HÖGSBY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46309</v>
      </c>
      <c r="F304" t="inlineStr">
        <is>
          <t>KALMAR LÄN</t>
        </is>
      </c>
      <c r="G304" t="inlineStr">
        <is>
          <t>HÖGSBY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38824-2024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45547</v>
      </c>
      <c r="E305" s="1" t="n">
        <v>46309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45329</v>
      </c>
      <c r="E306" s="1" t="n">
        <v>46309</v>
      </c>
      <c r="F306" t="inlineStr">
        <is>
          <t>KALMAR LÄN</t>
        </is>
      </c>
      <c r="G306" t="inlineStr">
        <is>
          <t>HÖGSBY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46309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46309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10.7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46309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49486-2022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44861</v>
      </c>
      <c r="E310" s="1" t="n">
        <v>46309</v>
      </c>
      <c r="F310" t="inlineStr">
        <is>
          <t>KALMAR LÄN</t>
        </is>
      </c>
      <c r="G310" t="inlineStr">
        <is>
          <t>HÖGSBY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46309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46309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45093</v>
      </c>
      <c r="E313" s="1" t="n">
        <v>46309</v>
      </c>
      <c r="F313" t="inlineStr">
        <is>
          <t>KALMAR LÄN</t>
        </is>
      </c>
      <c r="G313" t="inlineStr">
        <is>
          <t>HÖGSBY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71635-2021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44543</v>
      </c>
      <c r="E314" s="1" t="n">
        <v>46309</v>
      </c>
      <c r="F314" t="inlineStr">
        <is>
          <t>KALMAR LÄN</t>
        </is>
      </c>
      <c r="G314" t="inlineStr">
        <is>
          <t>HÖGSBY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8613-2022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44613</v>
      </c>
      <c r="E315" s="1" t="n">
        <v>46309</v>
      </c>
      <c r="F315" t="inlineStr">
        <is>
          <t>KALMAR LÄN</t>
        </is>
      </c>
      <c r="G315" t="inlineStr">
        <is>
          <t>HÖGSBY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44953</v>
      </c>
      <c r="E316" s="1" t="n">
        <v>46309</v>
      </c>
      <c r="F316" t="inlineStr">
        <is>
          <t>KALMAR LÄN</t>
        </is>
      </c>
      <c r="G316" t="inlineStr">
        <is>
          <t>HÖGSBY</t>
        </is>
      </c>
      <c r="H316" t="inlineStr">
        <is>
          <t>Övriga Aktiebolag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46309</v>
      </c>
      <c r="F317" t="inlineStr">
        <is>
          <t>KALMAR LÄN</t>
        </is>
      </c>
      <c r="G317" t="inlineStr">
        <is>
          <t>HÖGSBY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46309</v>
      </c>
      <c r="F318" t="inlineStr">
        <is>
          <t>KALMAR LÄN</t>
        </is>
      </c>
      <c r="G318" t="inlineStr">
        <is>
          <t>HÖGSBY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46309</v>
      </c>
      <c r="F319" t="inlineStr">
        <is>
          <t>KALMAR LÄN</t>
        </is>
      </c>
      <c r="G319" t="inlineStr">
        <is>
          <t>HÖGSBY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46268</v>
      </c>
      <c r="E320" s="1" t="n">
        <v>46309</v>
      </c>
      <c r="F320" t="inlineStr">
        <is>
          <t>KALMAR LÄN</t>
        </is>
      </c>
      <c r="G320" t="inlineStr">
        <is>
          <t>HÖGSBY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36258-2026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46268</v>
      </c>
      <c r="E321" s="1" t="n">
        <v>46309</v>
      </c>
      <c r="F321" t="inlineStr">
        <is>
          <t>KALMAR LÄN</t>
        </is>
      </c>
      <c r="G321" t="inlineStr">
        <is>
          <t>HÖGSBY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45447</v>
      </c>
      <c r="E322" s="1" t="n">
        <v>46309</v>
      </c>
      <c r="F322" t="inlineStr">
        <is>
          <t>KALMAR LÄN</t>
        </is>
      </c>
      <c r="G322" t="inlineStr">
        <is>
          <t>HÖGSBY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46309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45222</v>
      </c>
      <c r="E324" s="1" t="n">
        <v>46309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46309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58753-2022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46309</v>
      </c>
      <c r="F326" t="inlineStr">
        <is>
          <t>KALMAR LÄN</t>
        </is>
      </c>
      <c r="G326" t="inlineStr">
        <is>
          <t>HÖGSBY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46269</v>
      </c>
      <c r="E327" s="1" t="n">
        <v>46309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24.4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46274</v>
      </c>
      <c r="E328" s="1" t="n">
        <v>46309</v>
      </c>
      <c r="F328" t="inlineStr">
        <is>
          <t>KALMAR LÄN</t>
        </is>
      </c>
      <c r="G328" t="inlineStr">
        <is>
          <t>HÖGSBY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45222</v>
      </c>
      <c r="E329" s="1" t="n">
        <v>46309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50727-2023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45217</v>
      </c>
      <c r="E330" s="1" t="n">
        <v>46309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51624-2023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46309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24292-2022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44725</v>
      </c>
      <c r="E332" s="1" t="n">
        <v>46309</v>
      </c>
      <c r="F332" t="inlineStr">
        <is>
          <t>KALMAR LÄN</t>
        </is>
      </c>
      <c r="G332" t="inlineStr">
        <is>
          <t>HÖGSBY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44981</v>
      </c>
      <c r="E333" s="1" t="n">
        <v>46309</v>
      </c>
      <c r="F333" t="inlineStr">
        <is>
          <t>KALMAR LÄN</t>
        </is>
      </c>
      <c r="G333" t="inlineStr">
        <is>
          <t>HÖGSBY</t>
        </is>
      </c>
      <c r="H333" t="inlineStr">
        <is>
          <t>Övriga Aktiebolag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46309</v>
      </c>
      <c r="F334" t="inlineStr">
        <is>
          <t>KALMAR LÄN</t>
        </is>
      </c>
      <c r="G334" t="inlineStr">
        <is>
          <t>HÖGSBY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45183</v>
      </c>
      <c r="E335" s="1" t="n">
        <v>46309</v>
      </c>
      <c r="F335" t="inlineStr">
        <is>
          <t>KALMAR LÄN</t>
        </is>
      </c>
      <c r="G335" t="inlineStr">
        <is>
          <t>HÖGSBY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46275</v>
      </c>
      <c r="E336" s="1" t="n">
        <v>46309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46309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46309</v>
      </c>
      <c r="F338" t="inlineStr">
        <is>
          <t>KALMAR LÄN</t>
        </is>
      </c>
      <c r="G338" t="inlineStr">
        <is>
          <t>HÖGSBY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46309</v>
      </c>
      <c r="F339" t="inlineStr">
        <is>
          <t>KALMAR LÄN</t>
        </is>
      </c>
      <c r="G339" t="inlineStr">
        <is>
          <t>HÖGSBY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32228-2026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46237</v>
      </c>
      <c r="E340" s="1" t="n">
        <v>46309</v>
      </c>
      <c r="F340" t="inlineStr">
        <is>
          <t>KALMAR LÄN</t>
        </is>
      </c>
      <c r="G340" t="inlineStr">
        <is>
          <t>HÖGSBY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38185-2026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46281</v>
      </c>
      <c r="E341" s="1" t="n">
        <v>46309</v>
      </c>
      <c r="F341" t="inlineStr">
        <is>
          <t>KALMAR LÄN</t>
        </is>
      </c>
      <c r="G341" t="inlineStr">
        <is>
          <t>HÖGSBY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46309</v>
      </c>
      <c r="F342" t="inlineStr">
        <is>
          <t>KALMAR LÄN</t>
        </is>
      </c>
      <c r="G342" t="inlineStr">
        <is>
          <t>HÖGSBY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46286</v>
      </c>
      <c r="E343" s="1" t="n">
        <v>46309</v>
      </c>
      <c r="F343" t="inlineStr">
        <is>
          <t>KALMAR LÄN</t>
        </is>
      </c>
      <c r="G343" t="inlineStr">
        <is>
          <t>HÖGSBY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45126</v>
      </c>
      <c r="E344" s="1" t="n">
        <v>46309</v>
      </c>
      <c r="F344" t="inlineStr">
        <is>
          <t>KALMAR LÄN</t>
        </is>
      </c>
      <c r="G344" t="inlineStr">
        <is>
          <t>HÖGSBY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46309</v>
      </c>
      <c r="F345" t="inlineStr">
        <is>
          <t>KALMAR LÄN</t>
        </is>
      </c>
      <c r="G345" t="inlineStr">
        <is>
          <t>HÖGSBY</t>
        </is>
      </c>
      <c r="H345" t="inlineStr">
        <is>
          <t>Övriga Aktiebolag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45588</v>
      </c>
      <c r="E346" s="1" t="n">
        <v>46309</v>
      </c>
      <c r="F346" t="inlineStr">
        <is>
          <t>KALMAR LÄN</t>
        </is>
      </c>
      <c r="G346" t="inlineStr">
        <is>
          <t>HÖGSBY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45692</v>
      </c>
      <c r="E347" s="1" t="n">
        <v>46309</v>
      </c>
      <c r="F347" t="inlineStr">
        <is>
          <t>KALMAR LÄN</t>
        </is>
      </c>
      <c r="G347" t="inlineStr">
        <is>
          <t>HÖGSBY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46287</v>
      </c>
      <c r="E348" s="1" t="n">
        <v>46309</v>
      </c>
      <c r="F348" t="inlineStr">
        <is>
          <t>KALMAR LÄN</t>
        </is>
      </c>
      <c r="G348" t="inlineStr">
        <is>
          <t>HÖGSBY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55697-2023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45239</v>
      </c>
      <c r="E349" s="1" t="n">
        <v>46309</v>
      </c>
      <c r="F349" t="inlineStr">
        <is>
          <t>KALMAR LÄN</t>
        </is>
      </c>
      <c r="G349" t="inlineStr">
        <is>
          <t>HÖGSBY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46309</v>
      </c>
      <c r="F350" t="inlineStr">
        <is>
          <t>KALMAR LÄN</t>
        </is>
      </c>
      <c r="G350" t="inlineStr">
        <is>
          <t>HÖGSBY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46309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45279</v>
      </c>
      <c r="E352" s="1" t="n">
        <v>46309</v>
      </c>
      <c r="F352" t="inlineStr">
        <is>
          <t>KALMAR LÄN</t>
        </is>
      </c>
      <c r="G352" t="inlineStr">
        <is>
          <t>HÖGSBY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45153</v>
      </c>
      <c r="E353" s="1" t="n">
        <v>46309</v>
      </c>
      <c r="F353" t="inlineStr">
        <is>
          <t>KALMAR LÄN</t>
        </is>
      </c>
      <c r="G353" t="inlineStr">
        <is>
          <t>HÖGSBY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44623</v>
      </c>
      <c r="E354" s="1" t="n">
        <v>46309</v>
      </c>
      <c r="F354" t="inlineStr">
        <is>
          <t>KALMAR LÄN</t>
        </is>
      </c>
      <c r="G354" t="inlineStr">
        <is>
          <t>HÖGSBY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53328-2022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44879</v>
      </c>
      <c r="E355" s="1" t="n">
        <v>46309</v>
      </c>
      <c r="F355" t="inlineStr">
        <is>
          <t>KALMAR LÄN</t>
        </is>
      </c>
      <c r="G355" t="inlineStr">
        <is>
          <t>HÖGSBY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46309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59408-2022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44907</v>
      </c>
      <c r="E357" s="1" t="n">
        <v>46309</v>
      </c>
      <c r="F357" t="inlineStr">
        <is>
          <t>KALMAR LÄN</t>
        </is>
      </c>
      <c r="G357" t="inlineStr">
        <is>
          <t>HÖGSBY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46309</v>
      </c>
      <c r="F358" t="inlineStr">
        <is>
          <t>KALMAR LÄN</t>
        </is>
      </c>
      <c r="G358" t="inlineStr">
        <is>
          <t>HÖGSBY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46309</v>
      </c>
      <c r="F359" t="inlineStr">
        <is>
          <t>KALMAR LÄN</t>
        </is>
      </c>
      <c r="G359" t="inlineStr">
        <is>
          <t>HÖGSBY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46309</v>
      </c>
      <c r="F360" t="inlineStr">
        <is>
          <t>KALMAR LÄN</t>
        </is>
      </c>
      <c r="G360" t="inlineStr">
        <is>
          <t>HÖGSBY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55902-2024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45622</v>
      </c>
      <c r="E361" s="1" t="n">
        <v>46309</v>
      </c>
      <c r="F361" t="inlineStr">
        <is>
          <t>KALMAR LÄN</t>
        </is>
      </c>
      <c r="G361" t="inlineStr">
        <is>
          <t>HÖGSBY</t>
        </is>
      </c>
      <c r="I361" t="n">
        <v>8.9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46309</v>
      </c>
      <c r="F362" t="inlineStr">
        <is>
          <t>KALMAR LÄN</t>
        </is>
      </c>
      <c r="G362" t="inlineStr">
        <is>
          <t>HÖGSBY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33788-2026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46251</v>
      </c>
      <c r="E363" s="1" t="n">
        <v>46309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34078-2024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45523</v>
      </c>
      <c r="E364" s="1" t="n">
        <v>46309</v>
      </c>
      <c r="F364" t="inlineStr">
        <is>
          <t>KALMAR LÄN</t>
        </is>
      </c>
      <c r="G364" t="inlineStr">
        <is>
          <t>HÖGSBY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45782</v>
      </c>
      <c r="E365" s="1" t="n">
        <v>46309</v>
      </c>
      <c r="F365" t="inlineStr">
        <is>
          <t>KALMAR LÄN</t>
        </is>
      </c>
      <c r="G365" t="inlineStr">
        <is>
          <t>HÖGSBY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46309</v>
      </c>
      <c r="F366" t="inlineStr">
        <is>
          <t>KALMAR LÄN</t>
        </is>
      </c>
      <c r="G366" t="inlineStr">
        <is>
          <t>HÖGSBY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41019-2026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46297</v>
      </c>
      <c r="E367" s="1" t="n">
        <v>46309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41021-2026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46297</v>
      </c>
      <c r="E368" s="1" t="n">
        <v>46309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46309</v>
      </c>
      <c r="F369" t="inlineStr">
        <is>
          <t>KALMAR LÄN</t>
        </is>
      </c>
      <c r="G369" t="inlineStr">
        <is>
          <t>HÖGSBY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41018-2026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46297</v>
      </c>
      <c r="E370" s="1" t="n">
        <v>46309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46293</v>
      </c>
      <c r="E371" s="1" t="n">
        <v>46309</v>
      </c>
      <c r="F371" t="inlineStr">
        <is>
          <t>KALMAR LÄN</t>
        </is>
      </c>
      <c r="G371" t="inlineStr">
        <is>
          <t>HÖGSBY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40137-2024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46309</v>
      </c>
      <c r="F372" t="inlineStr">
        <is>
          <t>KALMAR LÄN</t>
        </is>
      </c>
      <c r="G372" t="inlineStr">
        <is>
          <t>HÖGSBY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HYPERLINK("https://klasma.github.io/Logging_0821/knärot/A 40137-2024 karta knärot.png", "A 40137-2024")</f>
        <v/>
      </c>
      <c r="AA372">
        <f>HYPERLINK("https://klasma.github.io/Logging_0821/klagomål/A 40137-2024 FSC-klagomål.docx", "A 40137-2024")</f>
        <v/>
      </c>
      <c r="AB372">
        <f>HYPERLINK("https://klasma.github.io/Logging_0821/klagomålsmail/A 40137-2024 FSC-klagomål mail.docx", "A 40137-2024")</f>
        <v/>
      </c>
      <c r="AC372">
        <f>HYPERLINK("https://klasma.github.io/Logging_0821/tillsyn/A 40137-2024 tillsynsbegäran.docx", "A 40137-2024")</f>
        <v/>
      </c>
      <c r="AD372">
        <f>HYPERLINK("https://klasma.github.io/Logging_0821/tillsynsmail/A 40137-2024 tillsynsbegäran mail.docx", "A 40137-2024")</f>
        <v/>
      </c>
    </row>
    <row r="373" ht="15" customHeight="1">
      <c r="A373" t="inlineStr">
        <is>
          <t>A 50428-2024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46309</v>
      </c>
      <c r="F373" t="inlineStr">
        <is>
          <t>KALMAR LÄN</t>
        </is>
      </c>
      <c r="G373" t="inlineStr">
        <is>
          <t>HÖGSBY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46195</v>
      </c>
      <c r="E374" s="1" t="n">
        <v>46309</v>
      </c>
      <c r="F374" t="inlineStr">
        <is>
          <t>KALMAR LÄN</t>
        </is>
      </c>
      <c r="G374" t="inlineStr">
        <is>
          <t>HÖGSBY</t>
        </is>
      </c>
      <c r="H374" t="inlineStr">
        <is>
          <t>Kommuner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46309</v>
      </c>
      <c r="F375" t="inlineStr">
        <is>
          <t>KALMAR LÄN</t>
        </is>
      </c>
      <c r="G375" t="inlineStr">
        <is>
          <t>HÖGSBY</t>
        </is>
      </c>
      <c r="H375" t="inlineStr">
        <is>
          <t>Kommuner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46309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46309</v>
      </c>
      <c r="F377" t="inlineStr">
        <is>
          <t>KALMAR LÄN</t>
        </is>
      </c>
      <c r="G377" t="inlineStr">
        <is>
          <t>HÖGSBY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46309</v>
      </c>
      <c r="F378" t="inlineStr">
        <is>
          <t>KALMAR LÄN</t>
        </is>
      </c>
      <c r="G378" t="inlineStr">
        <is>
          <t>HÖGSBY</t>
        </is>
      </c>
      <c r="H378" t="inlineStr">
        <is>
          <t>Kommuner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46309</v>
      </c>
      <c r="F379" t="inlineStr">
        <is>
          <t>KALMAR LÄN</t>
        </is>
      </c>
      <c r="G379" t="inlineStr">
        <is>
          <t>HÖGSBY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46309</v>
      </c>
      <c r="F380" t="inlineStr">
        <is>
          <t>KALMAR LÄN</t>
        </is>
      </c>
      <c r="G380" t="inlineStr">
        <is>
          <t>HÖGSBY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46309</v>
      </c>
      <c r="F381" t="inlineStr">
        <is>
          <t>KALMAR LÄN</t>
        </is>
      </c>
      <c r="G381" t="inlineStr">
        <is>
          <t>HÖGSBY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46309</v>
      </c>
      <c r="F382" t="inlineStr">
        <is>
          <t>KALMAR LÄN</t>
        </is>
      </c>
      <c r="G382" t="inlineStr">
        <is>
          <t>HÖGSBY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41118-2026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46300</v>
      </c>
      <c r="E383" s="1" t="n">
        <v>46309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46309</v>
      </c>
      <c r="F384" t="inlineStr">
        <is>
          <t>KALMAR LÄN</t>
        </is>
      </c>
      <c r="G384" t="inlineStr">
        <is>
          <t>HÖGSBY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566-2022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44592</v>
      </c>
      <c r="E385" s="1" t="n">
        <v>46309</v>
      </c>
      <c r="F385" t="inlineStr">
        <is>
          <t>KALMAR LÄN</t>
        </is>
      </c>
      <c r="G385" t="inlineStr">
        <is>
          <t>HÖGSBY</t>
        </is>
      </c>
      <c r="I385" t="n">
        <v>15.1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561-2022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46309</v>
      </c>
      <c r="F386" t="inlineStr">
        <is>
          <t>KALMAR LÄN</t>
        </is>
      </c>
      <c r="G386" t="inlineStr">
        <is>
          <t>HÖGSBY</t>
        </is>
      </c>
      <c r="I386" t="n">
        <v>30.3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513-2023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46309</v>
      </c>
      <c r="F387" t="inlineStr">
        <is>
          <t>KALMAR LÄN</t>
        </is>
      </c>
      <c r="G387" t="inlineStr">
        <is>
          <t>HÖGSBY</t>
        </is>
      </c>
      <c r="I387" t="n">
        <v>12.4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4463-2022</t>
        </is>
      </c>
      <c r="B388" t="inlineStr">
        <is>
          <t>samrådsanmälan</t>
        </is>
      </c>
      <c r="C388" t="inlineStr">
        <is>
          <t>Åtgärd i nyckelbiotop</t>
        </is>
      </c>
      <c r="D388" s="1" t="n">
        <v>44788</v>
      </c>
      <c r="E388" s="1" t="n">
        <v>46309</v>
      </c>
      <c r="F388" t="inlineStr">
        <is>
          <t>KALMAR LÄN</t>
        </is>
      </c>
      <c r="G388" t="inlineStr">
        <is>
          <t>HÖGSBY</t>
        </is>
      </c>
      <c r="H388" t="inlineStr">
        <is>
          <t>Sveaskog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3208-2024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45524</v>
      </c>
      <c r="E389" s="1" t="n">
        <v>46309</v>
      </c>
      <c r="F389" t="inlineStr">
        <is>
          <t>KALMAR LÄN</t>
        </is>
      </c>
      <c r="G389" t="inlineStr">
        <is>
          <t>HÖGSBY</t>
        </is>
      </c>
      <c r="I389" t="n">
        <v>23.3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7006-2022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44903</v>
      </c>
      <c r="E390" s="1" t="n">
        <v>46309</v>
      </c>
      <c r="F390" t="inlineStr">
        <is>
          <t>KALMAR LÄN</t>
        </is>
      </c>
      <c r="G390" t="inlineStr">
        <is>
          <t>HÖGSBY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46309</v>
      </c>
      <c r="F391" t="inlineStr">
        <is>
          <t>KALMAR LÄN</t>
        </is>
      </c>
      <c r="G391" t="inlineStr">
        <is>
          <t>HÖGSBY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512-2023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46309</v>
      </c>
      <c r="F392" t="inlineStr">
        <is>
          <t>KALMAR LÄN</t>
        </is>
      </c>
      <c r="G392" t="inlineStr">
        <is>
          <t>HÖGSBY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46309</v>
      </c>
      <c r="F393" t="inlineStr">
        <is>
          <t>KALMAR LÄN</t>
        </is>
      </c>
      <c r="G393" t="inlineStr">
        <is>
          <t>HÖGSBY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46309</v>
      </c>
      <c r="F394" t="inlineStr">
        <is>
          <t>KALMAR LÄN</t>
        </is>
      </c>
      <c r="G394" t="inlineStr">
        <is>
          <t>HÖGSBY</t>
        </is>
      </c>
      <c r="I394" t="n">
        <v>28.7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46309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2021-2025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45835</v>
      </c>
      <c r="E396" s="1" t="n">
        <v>46309</v>
      </c>
      <c r="F396" t="inlineStr">
        <is>
          <t>KALMAR LÄN</t>
        </is>
      </c>
      <c r="G396" t="inlineStr">
        <is>
          <t>HÖGSBY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379-2023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44958</v>
      </c>
      <c r="E397" s="1" t="n">
        <v>46309</v>
      </c>
      <c r="F397" t="inlineStr">
        <is>
          <t>KALMAR LÄN</t>
        </is>
      </c>
      <c r="G397" t="inlineStr">
        <is>
          <t>HÖGSBY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351-2023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46309</v>
      </c>
      <c r="F398" t="inlineStr">
        <is>
          <t>KALMAR LÄN</t>
        </is>
      </c>
      <c r="G398" t="inlineStr">
        <is>
          <t>HÖGSBY</t>
        </is>
      </c>
      <c r="I398" t="n">
        <v>21.3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2809-2025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45938</v>
      </c>
      <c r="E399" s="1" t="n">
        <v>46309</v>
      </c>
      <c r="F399" t="inlineStr">
        <is>
          <t>KALMAR LÄN</t>
        </is>
      </c>
      <c r="G399" t="inlineStr">
        <is>
          <t>HÖGSBY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1031-2026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46125</v>
      </c>
      <c r="E400" s="1" t="n">
        <v>46309</v>
      </c>
      <c r="F400" t="inlineStr">
        <is>
          <t>KALMAR LÄN</t>
        </is>
      </c>
      <c r="G400" t="inlineStr">
        <is>
          <t>HÖGSBY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1417-2026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46155</v>
      </c>
      <c r="E401" s="1" t="n">
        <v>46309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46309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46309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1866-2026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46199</v>
      </c>
      <c r="E404" s="1" t="n">
        <v>46309</v>
      </c>
      <c r="F404" t="inlineStr">
        <is>
          <t>KALMAR LÄN</t>
        </is>
      </c>
      <c r="G404" t="inlineStr">
        <is>
          <t>HÖGSBY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46309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46309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1938-2026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46203</v>
      </c>
      <c r="E407" s="1" t="n">
        <v>46309</v>
      </c>
      <c r="F407" t="inlineStr">
        <is>
          <t>KALMAR LÄN</t>
        </is>
      </c>
      <c r="G407" t="inlineStr">
        <is>
          <t>HÖGSBY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2165-2026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46251</v>
      </c>
      <c r="E408" s="1" t="n">
        <v>46309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2589-2026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46297</v>
      </c>
      <c r="E409" s="1" t="n">
        <v>46309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2026-10-14T02:05:48Z</dcterms:created>
  <dcterms:modified xmlns:dcterms="http://purl.org/dc/terms/" xmlns:xsi="http://www.w3.org/2001/XMLSchema-instance" xsi:type="dcterms:W3CDTF">2026-10-14T02:05:48Z</dcterms:modified>
</cp:coreProperties>
</file>