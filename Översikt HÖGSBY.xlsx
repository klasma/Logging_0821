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46270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46270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46270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46270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46270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46270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46270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46270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46270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46270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46270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46270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46270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46270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46270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46270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46270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46270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46270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46270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46270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46270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46270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46270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A 30203-2023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45110</v>
      </c>
      <c r="E28" s="1" t="n">
        <v>46270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3.4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1</v>
      </c>
      <c r="V28" s="2" t="inlineStr">
        <is>
          <t>Mistel
Gullviva</t>
        </is>
      </c>
      <c r="W28">
        <f>HYPERLINK("https://klasma.github.io/Logging_0821/artfynd/A 30203-2023 artfynd.xlsx", "A 30203-2023")</f>
        <v/>
      </c>
      <c r="X28">
        <f>HYPERLINK("https://klasma.github.io/Logging_0821/kartor/A 30203-2023 karta.png", "A 30203-2023")</f>
        <v/>
      </c>
      <c r="Y28">
        <f>HYPERLINK("https://klasma.github.io/Logging_0821/kartor_geotiff/A 30203-2023 georefererad karta.tif", "A 30203-2023")</f>
        <v/>
      </c>
      <c r="AA28">
        <f>HYPERLINK("https://klasma.github.io/Logging_0821/klagomål/A 30203-2023 FSC-klagomål.docx", "A 30203-2023")</f>
        <v/>
      </c>
      <c r="AB28">
        <f>HYPERLINK("https://klasma.github.io/Logging_0821/klagomålsmail/A 30203-2023 FSC-klagomål mail.docx", "A 30203-2023")</f>
        <v/>
      </c>
      <c r="AC28">
        <f>HYPERLINK("https://klasma.github.io/Logging_0821/tillsyn/A 30203-2023 tillsynsbegäran.docx", "A 30203-2023")</f>
        <v/>
      </c>
      <c r="AD28">
        <f>HYPERLINK("https://klasma.github.io/Logging_0821/tillsynsmail/A 30203-2023 tillsynsbegäran mail.docx", "A 30203-2023")</f>
        <v/>
      </c>
    </row>
    <row r="29" ht="15" customHeight="1">
      <c r="A29" t="inlineStr">
        <is>
          <t>A 5667-2026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46270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19.8</v>
      </c>
      <c r="J29" t="n">
        <v>0</v>
      </c>
      <c r="K29" t="n">
        <v>0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Slåttergubbe
Slåttergubbemal</t>
        </is>
      </c>
      <c r="W29">
        <f>HYPERLINK("https://klasma.github.io/Logging_0821/artfynd/A 5667-2026 artfynd.xlsx", "A 5667-2026")</f>
        <v/>
      </c>
      <c r="X29">
        <f>HYPERLINK("https://klasma.github.io/Logging_0821/kartor/A 5667-2026 karta.png", "A 5667-2026")</f>
        <v/>
      </c>
      <c r="Y29">
        <f>HYPERLINK("https://klasma.github.io/Logging_0821/kartor_geotiff/A 5667-2026 georefererad karta.tif", "A 5667-2026")</f>
        <v/>
      </c>
      <c r="AA29">
        <f>HYPERLINK("https://klasma.github.io/Logging_0821/klagomål/A 5667-2026 FSC-klagomål.docx", "A 5667-2026")</f>
        <v/>
      </c>
      <c r="AB29">
        <f>HYPERLINK("https://klasma.github.io/Logging_0821/klagomålsmail/A 5667-2026 FSC-klagomål mail.docx", "A 5667-2026")</f>
        <v/>
      </c>
      <c r="AC29">
        <f>HYPERLINK("https://klasma.github.io/Logging_0821/tillsyn/A 5667-2026 tillsynsbegäran.docx", "A 5667-2026")</f>
        <v/>
      </c>
      <c r="AD29">
        <f>HYPERLINK("https://klasma.github.io/Logging_0821/tillsynsmail/A 5667-2026 tillsynsbegäran mail.docx", "A 5667-2026")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46270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46270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46270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46270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46270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46270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62371-2023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46270</v>
      </c>
      <c r="F36" t="inlineStr">
        <is>
          <t>KALMAR LÄN</t>
        </is>
      </c>
      <c r="G36" t="inlineStr">
        <is>
          <t>HÖGSBY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Spillkråka</t>
        </is>
      </c>
      <c r="W36">
        <f>HYPERLINK("https://klasma.github.io/Logging_0821/artfynd/A 62371-2023 artfynd.xlsx", "A 62371-2023")</f>
        <v/>
      </c>
      <c r="X36">
        <f>HYPERLINK("https://klasma.github.io/Logging_0821/kartor/A 62371-2023 karta.png", "A 62371-2023")</f>
        <v/>
      </c>
      <c r="Y36">
        <f>HYPERLINK("https://klasma.github.io/Logging_0821/kartor_geotiff/A 62371-2023 georefererad karta.tif", "A 62371-2023")</f>
        <v/>
      </c>
      <c r="Z36">
        <f>HYPERLINK("https://klasma.github.io/Logging_0821/knärot/A 62371-2023 karta knärot.png", "A 62371-2023")</f>
        <v/>
      </c>
      <c r="AA36">
        <f>HYPERLINK("https://klasma.github.io/Logging_0821/klagomål/A 62371-2023 FSC-klagomål.docx", "A 62371-2023")</f>
        <v/>
      </c>
      <c r="AB36">
        <f>HYPERLINK("https://klasma.github.io/Logging_0821/klagomålsmail/A 62371-2023 FSC-klagomål mail.docx", "A 62371-2023")</f>
        <v/>
      </c>
      <c r="AC36">
        <f>HYPERLINK("https://klasma.github.io/Logging_0821/tillsyn/A 62371-2023 tillsynsbegäran.docx", "A 62371-2023")</f>
        <v/>
      </c>
      <c r="AD36">
        <f>HYPERLINK("https://klasma.github.io/Logging_0821/tillsynsmail/A 62371-2023 tillsynsbegäran mail.docx", "A 62371-2023")</f>
        <v/>
      </c>
      <c r="AE36">
        <f>HYPERLINK("https://klasma.github.io/Logging_0821/fåglar/A 62371-2023 prioriterade fågelarter.docx", "A 62371-2023")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46270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46270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1519-2022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46270</v>
      </c>
      <c r="F39" t="inlineStr">
        <is>
          <t>KALMAR LÄN</t>
        </is>
      </c>
      <c r="G39" t="inlineStr">
        <is>
          <t>HÖGSBY</t>
        </is>
      </c>
      <c r="I39" t="n">
        <v>2.6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HYPERLINK("https://klasma.github.io/Logging_0821/artfynd/A 1519-2022 artfynd.xlsx", "A 1519-2022")</f>
        <v/>
      </c>
      <c r="X39">
        <f>HYPERLINK("https://klasma.github.io/Logging_0821/kartor/A 1519-2022 karta.png", "A 1519-2022")</f>
        <v/>
      </c>
      <c r="Y39">
        <f>HYPERLINK("https://klasma.github.io/Logging_0821/kartor_geotiff/A 1519-2022 georefererad karta.tif", "A 1519-2022")</f>
        <v/>
      </c>
      <c r="AA39">
        <f>HYPERLINK("https://klasma.github.io/Logging_0821/klagomål/A 1519-2022 FSC-klagomål.docx", "A 1519-2022")</f>
        <v/>
      </c>
      <c r="AB39">
        <f>HYPERLINK("https://klasma.github.io/Logging_0821/klagomålsmail/A 1519-2022 FSC-klagomål mail.docx", "A 1519-2022")</f>
        <v/>
      </c>
      <c r="AC39">
        <f>HYPERLINK("https://klasma.github.io/Logging_0821/tillsyn/A 1519-2022 tillsynsbegäran.docx", "A 1519-2022")</f>
        <v/>
      </c>
      <c r="AD39">
        <f>HYPERLINK("https://klasma.github.io/Logging_0821/tillsynsmail/A 1519-2022 tillsynsbegäran mail.docx", "A 1519-2022")</f>
        <v/>
      </c>
    </row>
    <row r="40" ht="15" customHeight="1">
      <c r="A40" t="inlineStr">
        <is>
          <t>A 35075-2023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46270</v>
      </c>
      <c r="F40" t="inlineStr">
        <is>
          <t>KALMAR LÄN</t>
        </is>
      </c>
      <c r="G40" t="inlineStr">
        <is>
          <t>HÖGSBY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35075-2023 artfynd.xlsx", "A 35075-2023")</f>
        <v/>
      </c>
      <c r="X40">
        <f>HYPERLINK("https://klasma.github.io/Logging_0821/kartor/A 35075-2023 karta.png", "A 35075-2023")</f>
        <v/>
      </c>
      <c r="Y40">
        <f>HYPERLINK("https://klasma.github.io/Logging_0821/kartor_geotiff/A 35075-2023 georefererad karta.tif", "A 35075-2023")</f>
        <v/>
      </c>
      <c r="AA40">
        <f>HYPERLINK("https://klasma.github.io/Logging_0821/klagomål/A 35075-2023 FSC-klagomål.docx", "A 35075-2023")</f>
        <v/>
      </c>
      <c r="AB40">
        <f>HYPERLINK("https://klasma.github.io/Logging_0821/klagomålsmail/A 35075-2023 FSC-klagomål mail.docx", "A 35075-2023")</f>
        <v/>
      </c>
      <c r="AC40">
        <f>HYPERLINK("https://klasma.github.io/Logging_0821/tillsyn/A 35075-2023 tillsynsbegäran.docx", "A 35075-2023")</f>
        <v/>
      </c>
      <c r="AD40">
        <f>HYPERLINK("https://klasma.github.io/Logging_0821/tillsynsmail/A 35075-2023 tillsynsbegäran mail.docx", "A 35075-2023")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46270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46270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46270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46270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24911-2023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46270</v>
      </c>
      <c r="F45" t="inlineStr">
        <is>
          <t>KALMAR LÄN</t>
        </is>
      </c>
      <c r="G45" t="inlineStr">
        <is>
          <t>HÖGSBY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Sotlav</t>
        </is>
      </c>
      <c r="W45">
        <f>HYPERLINK("https://klasma.github.io/Logging_0821/artfynd/A 24911-2023 artfynd.xlsx", "A 24911-2023")</f>
        <v/>
      </c>
      <c r="X45">
        <f>HYPERLINK("https://klasma.github.io/Logging_0821/kartor/A 24911-2023 karta.png", "A 24911-2023")</f>
        <v/>
      </c>
      <c r="Y45">
        <f>HYPERLINK("https://klasma.github.io/Logging_0821/kartor_geotiff/A 24911-2023 georefererad karta.tif", "A 24911-2023")</f>
        <v/>
      </c>
      <c r="AA45">
        <f>HYPERLINK("https://klasma.github.io/Logging_0821/klagomål/A 24911-2023 FSC-klagomål.docx", "A 24911-2023")</f>
        <v/>
      </c>
      <c r="AB45">
        <f>HYPERLINK("https://klasma.github.io/Logging_0821/klagomålsmail/A 24911-2023 FSC-klagomål mail.docx", "A 24911-2023")</f>
        <v/>
      </c>
      <c r="AC45">
        <f>HYPERLINK("https://klasma.github.io/Logging_0821/tillsyn/A 24911-2023 tillsynsbegäran.docx", "A 24911-2023")</f>
        <v/>
      </c>
      <c r="AD45">
        <f>HYPERLINK("https://klasma.github.io/Logging_0821/tillsynsmail/A 24911-2023 tillsynsbegäran mail.docx", "A 24911-2023")</f>
        <v/>
      </c>
    </row>
    <row r="46" ht="15" customHeight="1">
      <c r="A46" t="inlineStr">
        <is>
          <t>A 59700-2023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45256</v>
      </c>
      <c r="E46" s="1" t="n">
        <v>46270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59700-2023 artfynd.xlsx", "A 59700-2023")</f>
        <v/>
      </c>
      <c r="X46">
        <f>HYPERLINK("https://klasma.github.io/Logging_0821/kartor/A 59700-2023 karta.png", "A 59700-2023")</f>
        <v/>
      </c>
      <c r="Y46">
        <f>HYPERLINK("https://klasma.github.io/Logging_0821/kartor_geotiff/A 59700-2023 georefererad karta.tif", "A 59700-2023")</f>
        <v/>
      </c>
      <c r="AA46">
        <f>HYPERLINK("https://klasma.github.io/Logging_0821/klagomål/A 59700-2023 FSC-klagomål.docx", "A 59700-2023")</f>
        <v/>
      </c>
      <c r="AB46">
        <f>HYPERLINK("https://klasma.github.io/Logging_0821/klagomålsmail/A 59700-2023 FSC-klagomål mail.docx", "A 59700-2023")</f>
        <v/>
      </c>
      <c r="AC46">
        <f>HYPERLINK("https://klasma.github.io/Logging_0821/tillsyn/A 59700-2023 tillsynsbegäran.docx", "A 59700-2023")</f>
        <v/>
      </c>
      <c r="AD46">
        <f>HYPERLINK("https://klasma.github.io/Logging_0821/tillsynsmail/A 59700-2023 tillsynsbegäran mail.docx", "A 59700-2023")</f>
        <v/>
      </c>
      <c r="AE46">
        <f>HYPERLINK("https://klasma.github.io/Logging_0821/fåglar/A 59700-2023 prioriterade fågelarter.docx", "A 59700-2023")</f>
        <v/>
      </c>
    </row>
    <row r="47" ht="15" customHeight="1">
      <c r="A47" t="inlineStr">
        <is>
          <t>A 35072-2023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46270</v>
      </c>
      <c r="F47" t="inlineStr">
        <is>
          <t>KALMAR LÄN</t>
        </is>
      </c>
      <c r="G47" t="inlineStr">
        <is>
          <t>HÖGSBY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35072-2023 artfynd.xlsx", "A 35072-2023")</f>
        <v/>
      </c>
      <c r="X47">
        <f>HYPERLINK("https://klasma.github.io/Logging_0821/kartor/A 35072-2023 karta.png", "A 35072-2023")</f>
        <v/>
      </c>
      <c r="Y47">
        <f>HYPERLINK("https://klasma.github.io/Logging_0821/kartor_geotiff/A 35072-2023 georefererad karta.tif", "A 35072-2023")</f>
        <v/>
      </c>
      <c r="AA47">
        <f>HYPERLINK("https://klasma.github.io/Logging_0821/klagomål/A 35072-2023 FSC-klagomål.docx", "A 35072-2023")</f>
        <v/>
      </c>
      <c r="AB47">
        <f>HYPERLINK("https://klasma.github.io/Logging_0821/klagomålsmail/A 35072-2023 FSC-klagomål mail.docx", "A 35072-2023")</f>
        <v/>
      </c>
      <c r="AC47">
        <f>HYPERLINK("https://klasma.github.io/Logging_0821/tillsyn/A 35072-2023 tillsynsbegäran.docx", "A 35072-2023")</f>
        <v/>
      </c>
      <c r="AD47">
        <f>HYPERLINK("https://klasma.github.io/Logging_0821/tillsynsmail/A 35072-2023 tillsynsbegäran mail.docx", "A 35072-2023")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46270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46270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46270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t="n">
        <v>0</v>
      </c>
      <c r="V50" s="2" t="inlineStr">
        <is>
          <t>Gullviva</t>
        </is>
      </c>
      <c r="W50">
        <f>HYPERLINK("https://klasma.github.io/Logging_0821/artfynd/A 26145-2026 artfynd.xlsx", "A 26145-2026")</f>
        <v/>
      </c>
      <c r="X50">
        <f>HYPERLINK("https://klasma.github.io/Logging_0821/kartor/A 26145-2026 karta.png", "A 26145-2026")</f>
        <v/>
      </c>
      <c r="Y50">
        <f>HYPERLINK("https://klasma.github.io/Logging_0821/kartor_geotiff/A 26145-2026 georefererad karta.tif", "A 26145-2026")</f>
        <v/>
      </c>
      <c r="AA50">
        <f>HYPERLINK("https://klasma.github.io/Logging_0821/klagomål/A 26145-2026 FSC-klagomål.docx", "A 26145-2026")</f>
        <v/>
      </c>
      <c r="AB50">
        <f>HYPERLINK("https://klasma.github.io/Logging_0821/klagomålsmail/A 26145-2026 FSC-klagomål mail.docx", "A 26145-2026")</f>
        <v/>
      </c>
      <c r="AC50">
        <f>HYPERLINK("https://klasma.github.io/Logging_0821/tillsyn/A 26145-2026 tillsynsbegäran.docx", "A 26145-2026")</f>
        <v/>
      </c>
      <c r="AD50">
        <f>HYPERLINK("https://klasma.github.io/Logging_0821/tillsynsmail/A 26145-2026 tillsynsbegäran mail.docx", "A 26145-2026")</f>
        <v/>
      </c>
    </row>
    <row r="51" ht="15" customHeight="1">
      <c r="A51" t="inlineStr">
        <is>
          <t>A 52177-2022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46270</v>
      </c>
      <c r="F51" t="inlineStr">
        <is>
          <t>KALMAR LÄN</t>
        </is>
      </c>
      <c r="G51" t="inlineStr">
        <is>
          <t>HÖGSBY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Nordfladdermus</t>
        </is>
      </c>
      <c r="W51">
        <f>HYPERLINK("https://klasma.github.io/Logging_0821/artfynd/A 52177-2022 artfynd.xlsx", "A 52177-2022")</f>
        <v/>
      </c>
      <c r="X51">
        <f>HYPERLINK("https://klasma.github.io/Logging_0821/kartor/A 52177-2022 karta.png", "A 52177-2022")</f>
        <v/>
      </c>
      <c r="Y51">
        <f>HYPERLINK("https://klasma.github.io/Logging_0821/kartor_geotiff/A 52177-2022 georefererad karta.tif", "A 52177-2022")</f>
        <v/>
      </c>
      <c r="AA51">
        <f>HYPERLINK("https://klasma.github.io/Logging_0821/klagomål/A 52177-2022 FSC-klagomål.docx", "A 52177-2022")</f>
        <v/>
      </c>
      <c r="AB51">
        <f>HYPERLINK("https://klasma.github.io/Logging_0821/klagomålsmail/A 52177-2022 FSC-klagomål mail.docx", "A 52177-2022")</f>
        <v/>
      </c>
      <c r="AC51">
        <f>HYPERLINK("https://klasma.github.io/Logging_0821/tillsyn/A 52177-2022 tillsynsbegäran.docx", "A 52177-2022")</f>
        <v/>
      </c>
      <c r="AD51">
        <f>HYPERLINK("https://klasma.github.io/Logging_0821/tillsynsmail/A 52177-2022 tillsynsbegäran mail.docx", "A 52177-2022")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46270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27366-2026 artfynd.xlsx", "A 27366-2026")</f>
        <v/>
      </c>
      <c r="X52">
        <f>HYPERLINK("https://klasma.github.io/Logging_0821/kartor/A 27366-2026 karta.png", "A 27366-2026")</f>
        <v/>
      </c>
      <c r="Y52">
        <f>HYPERLINK("https://klasma.github.io/Logging_0821/kartor_geotiff/A 27366-2026 georefererad karta.tif", "A 27366-2026")</f>
        <v/>
      </c>
      <c r="AA52">
        <f>HYPERLINK("https://klasma.github.io/Logging_0821/klagomål/A 27366-2026 FSC-klagomål.docx", "A 27366-2026")</f>
        <v/>
      </c>
      <c r="AB52">
        <f>HYPERLINK("https://klasma.github.io/Logging_0821/klagomålsmail/A 27366-2026 FSC-klagomål mail.docx", "A 27366-2026")</f>
        <v/>
      </c>
      <c r="AC52">
        <f>HYPERLINK("https://klasma.github.io/Logging_0821/tillsyn/A 27366-2026 tillsynsbegäran.docx", "A 27366-2026")</f>
        <v/>
      </c>
      <c r="AD52">
        <f>HYPERLINK("https://klasma.github.io/Logging_0821/tillsynsmail/A 27366-2026 tillsynsbegäran mail.docx", "A 27366-2026")</f>
        <v/>
      </c>
    </row>
    <row r="53" ht="15" customHeight="1">
      <c r="A53" t="inlineStr">
        <is>
          <t>A 28894-2026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46270</v>
      </c>
      <c r="F53" t="inlineStr">
        <is>
          <t>KALMAR LÄN</t>
        </is>
      </c>
      <c r="G53" t="inlineStr">
        <is>
          <t>HÖGSBY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HYPERLINK("https://klasma.github.io/Logging_0821/artfynd/A 28894-2026 artfynd.xlsx", "A 28894-2026")</f>
        <v/>
      </c>
      <c r="X53">
        <f>HYPERLINK("https://klasma.github.io/Logging_0821/kartor/A 28894-2026 karta.png", "A 28894-2026")</f>
        <v/>
      </c>
      <c r="Y53">
        <f>HYPERLINK("https://klasma.github.io/Logging_0821/kartor_geotiff/A 28894-2026 georefererad karta.tif", "A 28894-2026")</f>
        <v/>
      </c>
      <c r="AA53">
        <f>HYPERLINK("https://klasma.github.io/Logging_0821/klagomål/A 28894-2026 FSC-klagomål.docx", "A 28894-2026")</f>
        <v/>
      </c>
      <c r="AB53">
        <f>HYPERLINK("https://klasma.github.io/Logging_0821/klagomålsmail/A 28894-2026 FSC-klagomål mail.docx", "A 28894-2026")</f>
        <v/>
      </c>
      <c r="AC53">
        <f>HYPERLINK("https://klasma.github.io/Logging_0821/tillsyn/A 28894-2026 tillsynsbegäran.docx", "A 28894-2026")</f>
        <v/>
      </c>
      <c r="AD53">
        <f>HYPERLINK("https://klasma.github.io/Logging_0821/tillsynsmail/A 28894-2026 tillsynsbegäran mail.docx", "A 28894-2026")</f>
        <v/>
      </c>
      <c r="AE53">
        <f>HYPERLINK("https://klasma.github.io/Logging_0821/fåglar/A 28894-2026 prioriterade fågelarter.docx", "A 28894-2026")</f>
        <v/>
      </c>
    </row>
    <row r="54" ht="15" customHeight="1">
      <c r="A54" t="inlineStr">
        <is>
          <t>A 59407-2022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46270</v>
      </c>
      <c r="F54" t="inlineStr">
        <is>
          <t>KALMAR LÄN</t>
        </is>
      </c>
      <c r="G54" t="inlineStr">
        <is>
          <t>HÖGSBY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Blåsippa</t>
        </is>
      </c>
      <c r="W54">
        <f>HYPERLINK("https://klasma.github.io/Logging_0821/artfynd/A 59407-2022 artfynd.xlsx", "A 59407-2022")</f>
        <v/>
      </c>
      <c r="X54">
        <f>HYPERLINK("https://klasma.github.io/Logging_0821/kartor/A 59407-2022 karta.png", "A 59407-2022")</f>
        <v/>
      </c>
      <c r="Y54">
        <f>HYPERLINK("https://klasma.github.io/Logging_0821/kartor_geotiff/A 59407-2022 georefererad karta.tif", "A 59407-2022")</f>
        <v/>
      </c>
      <c r="AA54">
        <f>HYPERLINK("https://klasma.github.io/Logging_0821/klagomål/A 59407-2022 FSC-klagomål.docx", "A 59407-2022")</f>
        <v/>
      </c>
      <c r="AB54">
        <f>HYPERLINK("https://klasma.github.io/Logging_0821/klagomålsmail/A 59407-2022 FSC-klagomål mail.docx", "A 59407-2022")</f>
        <v/>
      </c>
      <c r="AC54">
        <f>HYPERLINK("https://klasma.github.io/Logging_0821/tillsyn/A 59407-2022 tillsynsbegäran.docx", "A 59407-2022")</f>
        <v/>
      </c>
      <c r="AD54">
        <f>HYPERLINK("https://klasma.github.io/Logging_0821/tillsynsmail/A 59407-2022 tillsynsbegäran mail.docx", "A 59407-2022")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46270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46270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46270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46270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46270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46270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46270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46270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46270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46270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46270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46270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46270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46270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46270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46270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46270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46270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44568</v>
      </c>
      <c r="E73" s="1" t="n">
        <v>46270</v>
      </c>
      <c r="F73" t="inlineStr">
        <is>
          <t>KALMAR LÄN</t>
        </is>
      </c>
      <c r="G73" t="inlineStr">
        <is>
          <t>HÖGSBY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46270</v>
      </c>
      <c r="F74" t="inlineStr">
        <is>
          <t>KALMAR LÄN</t>
        </is>
      </c>
      <c r="G74" t="inlineStr">
        <is>
          <t>HÖGSBY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46270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46270</v>
      </c>
      <c r="F76" t="inlineStr">
        <is>
          <t>KALMAR LÄN</t>
        </is>
      </c>
      <c r="G76" t="inlineStr">
        <is>
          <t>HÖGSBY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46270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18398-2022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44686</v>
      </c>
      <c r="E78" s="1" t="n">
        <v>46270</v>
      </c>
      <c r="F78" t="inlineStr">
        <is>
          <t>KALMAR LÄN</t>
        </is>
      </c>
      <c r="G78" t="inlineStr">
        <is>
          <t>HÖGSBY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46270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46270</v>
      </c>
      <c r="F80" t="inlineStr">
        <is>
          <t>KALMAR LÄN</t>
        </is>
      </c>
      <c r="G80" t="inlineStr">
        <is>
          <t>HÖGSBY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46270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46270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46270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46270</v>
      </c>
      <c r="F84" t="inlineStr">
        <is>
          <t>KALMAR LÄN</t>
        </is>
      </c>
      <c r="G84" t="inlineStr">
        <is>
          <t>HÖGSBY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46270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46270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46270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46270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46270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46270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46270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46270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46270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46270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46270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46270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46270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46270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46270</v>
      </c>
      <c r="F99" t="inlineStr">
        <is>
          <t>KALMAR LÄN</t>
        </is>
      </c>
      <c r="G99" t="inlineStr">
        <is>
          <t>HÖGSBY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46270</v>
      </c>
      <c r="F100" t="inlineStr">
        <is>
          <t>KALMAR LÄN</t>
        </is>
      </c>
      <c r="G100" t="inlineStr">
        <is>
          <t>HÖGSBY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46270</v>
      </c>
      <c r="F101" t="inlineStr">
        <is>
          <t>KALMAR LÄN</t>
        </is>
      </c>
      <c r="G101" t="inlineStr">
        <is>
          <t>HÖGSBY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46270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46270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46270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46270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46270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46270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46270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46270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46270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46270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46270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46270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46270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46270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24013-2025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45796</v>
      </c>
      <c r="E116" s="1" t="n">
        <v>46270</v>
      </c>
      <c r="F116" t="inlineStr">
        <is>
          <t>KALMAR LÄN</t>
        </is>
      </c>
      <c r="G116" t="inlineStr">
        <is>
          <t>HÖGSBY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46270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46270</v>
      </c>
      <c r="F118" t="inlineStr">
        <is>
          <t>KALMAR LÄN</t>
        </is>
      </c>
      <c r="G118" t="inlineStr">
        <is>
          <t>HÖGSBY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46270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44950</v>
      </c>
      <c r="E120" s="1" t="n">
        <v>46270</v>
      </c>
      <c r="F120" t="inlineStr">
        <is>
          <t>KALMAR LÄN</t>
        </is>
      </c>
      <c r="G120" t="inlineStr">
        <is>
          <t>HÖGSBY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44729</v>
      </c>
      <c r="E121" s="1" t="n">
        <v>46270</v>
      </c>
      <c r="F121" t="inlineStr">
        <is>
          <t>KALMAR LÄN</t>
        </is>
      </c>
      <c r="G121" t="inlineStr">
        <is>
          <t>HÖGSBY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46270</v>
      </c>
      <c r="F122" t="inlineStr">
        <is>
          <t>KALMAR LÄN</t>
        </is>
      </c>
      <c r="G122" t="inlineStr">
        <is>
          <t>HÖGSBY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45688</v>
      </c>
      <c r="E123" s="1" t="n">
        <v>46270</v>
      </c>
      <c r="F123" t="inlineStr">
        <is>
          <t>KALMAR LÄN</t>
        </is>
      </c>
      <c r="G123" t="inlineStr">
        <is>
          <t>HÖGSBY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46270</v>
      </c>
      <c r="F124" t="inlineStr">
        <is>
          <t>KALMAR LÄN</t>
        </is>
      </c>
      <c r="G124" t="inlineStr">
        <is>
          <t>HÖGSBY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46270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46270</v>
      </c>
      <c r="F126" t="inlineStr">
        <is>
          <t>KALMAR LÄN</t>
        </is>
      </c>
      <c r="G126" t="inlineStr">
        <is>
          <t>HÖGSBY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46270</v>
      </c>
      <c r="F127" t="inlineStr">
        <is>
          <t>KALMAR LÄN</t>
        </is>
      </c>
      <c r="G127" t="inlineStr">
        <is>
          <t>HÖGSBY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45168</v>
      </c>
      <c r="E128" s="1" t="n">
        <v>46270</v>
      </c>
      <c r="F128" t="inlineStr">
        <is>
          <t>KALMAR LÄN</t>
        </is>
      </c>
      <c r="G128" t="inlineStr">
        <is>
          <t>HÖGSBY</t>
        </is>
      </c>
      <c r="H128" t="inlineStr">
        <is>
          <t>Kommuner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46270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46270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46270</v>
      </c>
      <c r="F131" t="inlineStr">
        <is>
          <t>KALMAR LÄN</t>
        </is>
      </c>
      <c r="G131" t="inlineStr">
        <is>
          <t>HÖGSBY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46270</v>
      </c>
      <c r="F132" t="inlineStr">
        <is>
          <t>KALMAR LÄN</t>
        </is>
      </c>
      <c r="G132" t="inlineStr">
        <is>
          <t>HÖGSBY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46270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46270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46270</v>
      </c>
      <c r="F135" t="inlineStr">
        <is>
          <t>KALMAR LÄN</t>
        </is>
      </c>
      <c r="G135" t="inlineStr">
        <is>
          <t>HÖGSBY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44677</v>
      </c>
      <c r="E136" s="1" t="n">
        <v>46270</v>
      </c>
      <c r="F136" t="inlineStr">
        <is>
          <t>KALMAR LÄN</t>
        </is>
      </c>
      <c r="G136" t="inlineStr">
        <is>
          <t>HÖGSBY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46270</v>
      </c>
      <c r="F137" t="inlineStr">
        <is>
          <t>KALMAR LÄN</t>
        </is>
      </c>
      <c r="G137" t="inlineStr">
        <is>
          <t>HÖGSBY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46270</v>
      </c>
      <c r="F138" t="inlineStr">
        <is>
          <t>KALMAR LÄN</t>
        </is>
      </c>
      <c r="G138" t="inlineStr">
        <is>
          <t>HÖGSBY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46270</v>
      </c>
      <c r="F139" t="inlineStr">
        <is>
          <t>KALMAR LÄN</t>
        </is>
      </c>
      <c r="G139" t="inlineStr">
        <is>
          <t>HÖGSBY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46270</v>
      </c>
      <c r="F140" t="inlineStr">
        <is>
          <t>KALMAR LÄN</t>
        </is>
      </c>
      <c r="G140" t="inlineStr">
        <is>
          <t>HÖGSBY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46270</v>
      </c>
      <c r="F141" t="inlineStr">
        <is>
          <t>KALMAR LÄN</t>
        </is>
      </c>
      <c r="G141" t="inlineStr">
        <is>
          <t>HÖGSBY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46270</v>
      </c>
      <c r="F142" t="inlineStr">
        <is>
          <t>KALMAR LÄN</t>
        </is>
      </c>
      <c r="G142" t="inlineStr">
        <is>
          <t>HÖGSBY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46270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46270</v>
      </c>
      <c r="F144" t="inlineStr">
        <is>
          <t>KALMAR LÄN</t>
        </is>
      </c>
      <c r="G144" t="inlineStr">
        <is>
          <t>HÖGSBY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46270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45847</v>
      </c>
      <c r="E146" s="1" t="n">
        <v>46270</v>
      </c>
      <c r="F146" t="inlineStr">
        <is>
          <t>KALMAR LÄN</t>
        </is>
      </c>
      <c r="G146" t="inlineStr">
        <is>
          <t>HÖGSBY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46270</v>
      </c>
      <c r="F147" t="inlineStr">
        <is>
          <t>KALMAR LÄN</t>
        </is>
      </c>
      <c r="G147" t="inlineStr">
        <is>
          <t>HÖGSBY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36909-2023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46270</v>
      </c>
      <c r="F148" t="inlineStr">
        <is>
          <t>KALMAR LÄN</t>
        </is>
      </c>
      <c r="G148" t="inlineStr">
        <is>
          <t>HÖGSBY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46270</v>
      </c>
      <c r="F149" t="inlineStr">
        <is>
          <t>KALMAR LÄN</t>
        </is>
      </c>
      <c r="G149" t="inlineStr">
        <is>
          <t>HÖGSBY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46270</v>
      </c>
      <c r="F150" t="inlineStr">
        <is>
          <t>KALMAR LÄN</t>
        </is>
      </c>
      <c r="G150" t="inlineStr">
        <is>
          <t>HÖGSBY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46270</v>
      </c>
      <c r="F151" t="inlineStr">
        <is>
          <t>KALMAR LÄN</t>
        </is>
      </c>
      <c r="G151" t="inlineStr">
        <is>
          <t>HÖGSBY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46270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32049-2023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45119</v>
      </c>
      <c r="E153" s="1" t="n">
        <v>46270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45348</v>
      </c>
      <c r="E154" s="1" t="n">
        <v>46270</v>
      </c>
      <c r="F154" t="inlineStr">
        <is>
          <t>KALMAR LÄN</t>
        </is>
      </c>
      <c r="G154" t="inlineStr">
        <is>
          <t>HÖGSBY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46270</v>
      </c>
      <c r="F155" t="inlineStr">
        <is>
          <t>KALMAR LÄN</t>
        </is>
      </c>
      <c r="G155" t="inlineStr">
        <is>
          <t>HÖGSBY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46270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46270</v>
      </c>
      <c r="F157" t="inlineStr">
        <is>
          <t>KALMAR LÄN</t>
        </is>
      </c>
      <c r="G157" t="inlineStr">
        <is>
          <t>HÖGSBY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45946</v>
      </c>
      <c r="E158" s="1" t="n">
        <v>46270</v>
      </c>
      <c r="F158" t="inlineStr">
        <is>
          <t>KALMAR LÄN</t>
        </is>
      </c>
      <c r="G158" t="inlineStr">
        <is>
          <t>HÖGSBY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46270</v>
      </c>
      <c r="F159" t="inlineStr">
        <is>
          <t>KALMAR LÄN</t>
        </is>
      </c>
      <c r="G159" t="inlineStr">
        <is>
          <t>HÖGSBY</t>
        </is>
      </c>
      <c r="I159" t="n">
        <v>12.8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38824-2024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45547</v>
      </c>
      <c r="E160" s="1" t="n">
        <v>46270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46270</v>
      </c>
      <c r="F161" t="inlineStr">
        <is>
          <t>KALMAR LÄN</t>
        </is>
      </c>
      <c r="G161" t="inlineStr">
        <is>
          <t>HÖGSBY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46270</v>
      </c>
      <c r="F162" t="inlineStr">
        <is>
          <t>KALMAR LÄN</t>
        </is>
      </c>
      <c r="G162" t="inlineStr">
        <is>
          <t>HÖGSBY</t>
        </is>
      </c>
      <c r="H162" t="inlineStr">
        <is>
          <t>Kyrkan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28648-2023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45103</v>
      </c>
      <c r="E163" s="1" t="n">
        <v>46270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46270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38068-2025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45882</v>
      </c>
      <c r="E165" s="1" t="n">
        <v>46270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46270</v>
      </c>
      <c r="F166" t="inlineStr">
        <is>
          <t>KALMAR LÄN</t>
        </is>
      </c>
      <c r="G166" t="inlineStr">
        <is>
          <t>HÖGSBY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73709-2021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44552</v>
      </c>
      <c r="E167" s="1" t="n">
        <v>46270</v>
      </c>
      <c r="F167" t="inlineStr">
        <is>
          <t>KALMAR LÄN</t>
        </is>
      </c>
      <c r="G167" t="inlineStr">
        <is>
          <t>HÖGSBY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46270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46270</v>
      </c>
      <c r="F169" t="inlineStr">
        <is>
          <t>KALMAR LÄN</t>
        </is>
      </c>
      <c r="G169" t="inlineStr">
        <is>
          <t>HÖGSBY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46270</v>
      </c>
      <c r="F170" t="inlineStr">
        <is>
          <t>KALMAR LÄN</t>
        </is>
      </c>
      <c r="G170" t="inlineStr">
        <is>
          <t>HÖGSBY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46270</v>
      </c>
      <c r="F171" t="inlineStr">
        <is>
          <t>KALMAR LÄN</t>
        </is>
      </c>
      <c r="G171" t="inlineStr">
        <is>
          <t>HÖGSBY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7443-2026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46059</v>
      </c>
      <c r="E172" s="1" t="n">
        <v>46270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60446-2023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45259</v>
      </c>
      <c r="E173" s="1" t="n">
        <v>46270</v>
      </c>
      <c r="F173" t="inlineStr">
        <is>
          <t>KALMAR LÄN</t>
        </is>
      </c>
      <c r="G173" t="inlineStr">
        <is>
          <t>HÖGSBY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46270</v>
      </c>
      <c r="F174" t="inlineStr">
        <is>
          <t>KALMAR LÄN</t>
        </is>
      </c>
      <c r="G174" t="inlineStr">
        <is>
          <t>HÖGSBY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46270</v>
      </c>
      <c r="F175" t="inlineStr">
        <is>
          <t>KALMAR LÄN</t>
        </is>
      </c>
      <c r="G175" t="inlineStr">
        <is>
          <t>HÖGSBY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46270</v>
      </c>
      <c r="F176" t="inlineStr">
        <is>
          <t>KALMAR LÄN</t>
        </is>
      </c>
      <c r="G176" t="inlineStr">
        <is>
          <t>HÖGSBY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46270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46270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46270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46270</v>
      </c>
      <c r="F180" t="inlineStr">
        <is>
          <t>KALMAR LÄN</t>
        </is>
      </c>
      <c r="G180" t="inlineStr">
        <is>
          <t>HÖGSBY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44586</v>
      </c>
      <c r="E181" s="1" t="n">
        <v>46270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44991</v>
      </c>
      <c r="E182" s="1" t="n">
        <v>46270</v>
      </c>
      <c r="F182" t="inlineStr">
        <is>
          <t>KALMAR LÄN</t>
        </is>
      </c>
      <c r="G182" t="inlineStr">
        <is>
          <t>HÖGSBY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58017-2025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45982</v>
      </c>
      <c r="E183" s="1" t="n">
        <v>46270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46270</v>
      </c>
      <c r="F184" t="inlineStr">
        <is>
          <t>KALMAR LÄN</t>
        </is>
      </c>
      <c r="G184" t="inlineStr">
        <is>
          <t>HÖGSBY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46270</v>
      </c>
      <c r="F185" t="inlineStr">
        <is>
          <t>KALMAR LÄN</t>
        </is>
      </c>
      <c r="G185" t="inlineStr">
        <is>
          <t>HÖGSBY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71635-2021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46270</v>
      </c>
      <c r="F186" t="inlineStr">
        <is>
          <t>KALMAR LÄN</t>
        </is>
      </c>
      <c r="G186" t="inlineStr">
        <is>
          <t>HÖGSBY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45228</v>
      </c>
      <c r="E187" s="1" t="n">
        <v>46270</v>
      </c>
      <c r="F187" t="inlineStr">
        <is>
          <t>KALMAR LÄN</t>
        </is>
      </c>
      <c r="G187" t="inlineStr">
        <is>
          <t>HÖGSBY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46270</v>
      </c>
      <c r="F188" t="inlineStr">
        <is>
          <t>KALMAR LÄN</t>
        </is>
      </c>
      <c r="G188" t="inlineStr">
        <is>
          <t>HÖGSBY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46270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46270</v>
      </c>
      <c r="F190" t="inlineStr">
        <is>
          <t>KALMAR LÄN</t>
        </is>
      </c>
      <c r="G190" t="inlineStr">
        <is>
          <t>HÖGSBY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46270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46270</v>
      </c>
      <c r="F192" t="inlineStr">
        <is>
          <t>KALMAR LÄN</t>
        </is>
      </c>
      <c r="G192" t="inlineStr">
        <is>
          <t>HÖGSBY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46270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46270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46270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46270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46270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46270</v>
      </c>
      <c r="F198" t="inlineStr">
        <is>
          <t>KALMAR LÄN</t>
        </is>
      </c>
      <c r="G198" t="inlineStr">
        <is>
          <t>HÖGSBY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44993</v>
      </c>
      <c r="E199" s="1" t="n">
        <v>46270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46270</v>
      </c>
      <c r="F200" t="inlineStr">
        <is>
          <t>KALMAR LÄN</t>
        </is>
      </c>
      <c r="G200" t="inlineStr">
        <is>
          <t>HÖGSBY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46270</v>
      </c>
      <c r="F201" t="inlineStr">
        <is>
          <t>KALMAR LÄN</t>
        </is>
      </c>
      <c r="G201" t="inlineStr">
        <is>
          <t>HÖGSBY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62720-2025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46008</v>
      </c>
      <c r="E202" s="1" t="n">
        <v>46270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62722-2025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46008</v>
      </c>
      <c r="E203" s="1" t="n">
        <v>46270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45702</v>
      </c>
      <c r="E204" s="1" t="n">
        <v>46270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46270</v>
      </c>
      <c r="F205" t="inlineStr">
        <is>
          <t>KALMAR LÄN</t>
        </is>
      </c>
      <c r="G205" t="inlineStr">
        <is>
          <t>HÖGSBY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46270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46093</v>
      </c>
      <c r="E207" s="1" t="n">
        <v>46270</v>
      </c>
      <c r="F207" t="inlineStr">
        <is>
          <t>KALMAR LÄN</t>
        </is>
      </c>
      <c r="G207" t="inlineStr">
        <is>
          <t>HÖGSBY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44625</v>
      </c>
      <c r="E208" s="1" t="n">
        <v>46270</v>
      </c>
      <c r="F208" t="inlineStr">
        <is>
          <t>KALMAR LÄN</t>
        </is>
      </c>
      <c r="G208" t="inlineStr">
        <is>
          <t>HÖGSBY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46270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46270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46270</v>
      </c>
      <c r="F211" t="inlineStr">
        <is>
          <t>KALMAR LÄN</t>
        </is>
      </c>
      <c r="G211" t="inlineStr">
        <is>
          <t>HÖGSBY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45217</v>
      </c>
      <c r="E212" s="1" t="n">
        <v>46270</v>
      </c>
      <c r="F212" t="inlineStr">
        <is>
          <t>KALMAR LÄN</t>
        </is>
      </c>
      <c r="G212" t="inlineStr">
        <is>
          <t>HÖGSBY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45393</v>
      </c>
      <c r="E213" s="1" t="n">
        <v>46270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46270</v>
      </c>
      <c r="F214" t="inlineStr">
        <is>
          <t>KALMAR LÄN</t>
        </is>
      </c>
      <c r="G214" t="inlineStr">
        <is>
          <t>HÖGSBY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46270</v>
      </c>
      <c r="F215" t="inlineStr">
        <is>
          <t>KALMAR LÄN</t>
        </is>
      </c>
      <c r="G215" t="inlineStr">
        <is>
          <t>HÖGSBY</t>
        </is>
      </c>
      <c r="H215" t="inlineStr">
        <is>
          <t>Övriga Aktiebolag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14894-2025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45743</v>
      </c>
      <c r="E216" s="1" t="n">
        <v>46270</v>
      </c>
      <c r="F216" t="inlineStr">
        <is>
          <t>KALMAR LÄN</t>
        </is>
      </c>
      <c r="G216" t="inlineStr">
        <is>
          <t>HÖGSBY</t>
        </is>
      </c>
      <c r="H216" t="inlineStr">
        <is>
          <t>Kommuner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45034</v>
      </c>
      <c r="E217" s="1" t="n">
        <v>46270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46270</v>
      </c>
      <c r="F218" t="inlineStr">
        <is>
          <t>KALMAR LÄN</t>
        </is>
      </c>
      <c r="G218" t="inlineStr">
        <is>
          <t>HÖGSBY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46270</v>
      </c>
      <c r="F219" t="inlineStr">
        <is>
          <t>KALMAR LÄN</t>
        </is>
      </c>
      <c r="G219" t="inlineStr">
        <is>
          <t>HÖGSBY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46270</v>
      </c>
      <c r="F220" t="inlineStr">
        <is>
          <t>KALMAR LÄN</t>
        </is>
      </c>
      <c r="G220" t="inlineStr">
        <is>
          <t>HÖGSBY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49485-2022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44861</v>
      </c>
      <c r="E221" s="1" t="n">
        <v>46270</v>
      </c>
      <c r="F221" t="inlineStr">
        <is>
          <t>KALMAR LÄN</t>
        </is>
      </c>
      <c r="G221" t="inlineStr">
        <is>
          <t>HÖGSBY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46270</v>
      </c>
      <c r="F222" t="inlineStr">
        <is>
          <t>KALMAR LÄN</t>
        </is>
      </c>
      <c r="G222" t="inlineStr">
        <is>
          <t>HÖGSBY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46270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46114</v>
      </c>
      <c r="E224" s="1" t="n">
        <v>46270</v>
      </c>
      <c r="F224" t="inlineStr">
        <is>
          <t>KALMAR LÄN</t>
        </is>
      </c>
      <c r="G224" t="inlineStr">
        <is>
          <t>HÖGSBY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46270</v>
      </c>
      <c r="F225" t="inlineStr">
        <is>
          <t>KALMAR LÄN</t>
        </is>
      </c>
      <c r="G225" t="inlineStr">
        <is>
          <t>HÖGSBY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46270</v>
      </c>
      <c r="F226" t="inlineStr">
        <is>
          <t>KALMAR LÄN</t>
        </is>
      </c>
      <c r="G226" t="inlineStr">
        <is>
          <t>HÖGSBY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46270</v>
      </c>
      <c r="F227" t="inlineStr">
        <is>
          <t>KALMAR LÄN</t>
        </is>
      </c>
      <c r="G227" t="inlineStr">
        <is>
          <t>HÖGSBY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46270</v>
      </c>
      <c r="F228" t="inlineStr">
        <is>
          <t>KALMAR LÄN</t>
        </is>
      </c>
      <c r="G228" t="inlineStr">
        <is>
          <t>HÖGSBY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46270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46270</v>
      </c>
      <c r="F230" t="inlineStr">
        <is>
          <t>KALMAR LÄN</t>
        </is>
      </c>
      <c r="G230" t="inlineStr">
        <is>
          <t>HÖGSBY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46270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46270</v>
      </c>
      <c r="F232" t="inlineStr">
        <is>
          <t>KALMAR LÄN</t>
        </is>
      </c>
      <c r="G232" t="inlineStr">
        <is>
          <t>HÖGSBY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46270</v>
      </c>
      <c r="F233" t="inlineStr">
        <is>
          <t>KALMAR LÄN</t>
        </is>
      </c>
      <c r="G233" t="inlineStr">
        <is>
          <t>HÖGSBY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45320</v>
      </c>
      <c r="E234" s="1" t="n">
        <v>46270</v>
      </c>
      <c r="F234" t="inlineStr">
        <is>
          <t>KALMAR LÄN</t>
        </is>
      </c>
      <c r="G234" t="inlineStr">
        <is>
          <t>HÖGSBY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46270</v>
      </c>
      <c r="F235" t="inlineStr">
        <is>
          <t>KALMAR LÄN</t>
        </is>
      </c>
      <c r="G235" t="inlineStr">
        <is>
          <t>HÖGSBY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57006-2024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45626</v>
      </c>
      <c r="E236" s="1" t="n">
        <v>46270</v>
      </c>
      <c r="F236" t="inlineStr">
        <is>
          <t>KALMAR LÄN</t>
        </is>
      </c>
      <c r="G236" t="inlineStr">
        <is>
          <t>HÖGSBY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46270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60853-2021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46270</v>
      </c>
      <c r="F238" t="inlineStr">
        <is>
          <t>KALMAR LÄN</t>
        </is>
      </c>
      <c r="G238" t="inlineStr">
        <is>
          <t>HÖGSBY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46270</v>
      </c>
      <c r="F239" t="inlineStr">
        <is>
          <t>KALMAR LÄN</t>
        </is>
      </c>
      <c r="G239" t="inlineStr">
        <is>
          <t>HÖGSBY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44876</v>
      </c>
      <c r="E240" s="1" t="n">
        <v>46270</v>
      </c>
      <c r="F240" t="inlineStr">
        <is>
          <t>KALMAR LÄN</t>
        </is>
      </c>
      <c r="G240" t="inlineStr">
        <is>
          <t>HÖGSBY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46270</v>
      </c>
      <c r="F241" t="inlineStr">
        <is>
          <t>KALMAR LÄN</t>
        </is>
      </c>
      <c r="G241" t="inlineStr">
        <is>
          <t>HÖGSBY</t>
        </is>
      </c>
      <c r="H241" t="inlineStr">
        <is>
          <t>Kommuner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46270</v>
      </c>
      <c r="F242" t="inlineStr">
        <is>
          <t>KALMAR LÄN</t>
        </is>
      </c>
      <c r="G242" t="inlineStr">
        <is>
          <t>HÖGSBY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46270</v>
      </c>
      <c r="F243" t="inlineStr">
        <is>
          <t>KALMAR LÄN</t>
        </is>
      </c>
      <c r="G243" t="inlineStr">
        <is>
          <t>HÖGSBY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54238-2021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44470</v>
      </c>
      <c r="E244" s="1" t="n">
        <v>46270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46270</v>
      </c>
      <c r="F245" t="inlineStr">
        <is>
          <t>KALMAR LÄN</t>
        </is>
      </c>
      <c r="G245" t="inlineStr">
        <is>
          <t>HÖGSBY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46270</v>
      </c>
      <c r="F246" t="inlineStr">
        <is>
          <t>KALMAR LÄN</t>
        </is>
      </c>
      <c r="G246" t="inlineStr">
        <is>
          <t>HÖGSBY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46270</v>
      </c>
      <c r="F247" t="inlineStr">
        <is>
          <t>KALMAR LÄN</t>
        </is>
      </c>
      <c r="G247" t="inlineStr">
        <is>
          <t>HÖGSBY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46270</v>
      </c>
      <c r="F248" t="inlineStr">
        <is>
          <t>KALMAR LÄN</t>
        </is>
      </c>
      <c r="G248" t="inlineStr">
        <is>
          <t>HÖGSBY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46270</v>
      </c>
      <c r="F249" t="inlineStr">
        <is>
          <t>KALMAR LÄN</t>
        </is>
      </c>
      <c r="G249" t="inlineStr">
        <is>
          <t>HÖGSBY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46270</v>
      </c>
      <c r="F250" t="inlineStr">
        <is>
          <t>KALMAR LÄN</t>
        </is>
      </c>
      <c r="G250" t="inlineStr">
        <is>
          <t>HÖGSBY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46270</v>
      </c>
      <c r="F251" t="inlineStr">
        <is>
          <t>KALMAR LÄN</t>
        </is>
      </c>
      <c r="G251" t="inlineStr">
        <is>
          <t>HÖGSBY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46270</v>
      </c>
      <c r="F252" t="inlineStr">
        <is>
          <t>KALMAR LÄN</t>
        </is>
      </c>
      <c r="G252" t="inlineStr">
        <is>
          <t>HÖGSBY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46270</v>
      </c>
      <c r="F253" t="inlineStr">
        <is>
          <t>KALMAR LÄN</t>
        </is>
      </c>
      <c r="G253" t="inlineStr">
        <is>
          <t>HÖGSBY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44809</v>
      </c>
      <c r="E254" s="1" t="n">
        <v>46270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46270</v>
      </c>
      <c r="F255" t="inlineStr">
        <is>
          <t>KALMAR LÄN</t>
        </is>
      </c>
      <c r="G255" t="inlineStr">
        <is>
          <t>HÖGSBY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46270</v>
      </c>
      <c r="F256" t="inlineStr">
        <is>
          <t>KALMAR LÄN</t>
        </is>
      </c>
      <c r="G256" t="inlineStr">
        <is>
          <t>HÖGSBY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46270</v>
      </c>
      <c r="F257" t="inlineStr">
        <is>
          <t>KALMAR LÄN</t>
        </is>
      </c>
      <c r="G257" t="inlineStr">
        <is>
          <t>HÖGSBY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46270</v>
      </c>
      <c r="F258" t="inlineStr">
        <is>
          <t>KALMAR LÄN</t>
        </is>
      </c>
      <c r="G258" t="inlineStr">
        <is>
          <t>HÖGSBY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45391</v>
      </c>
      <c r="E259" s="1" t="n">
        <v>46270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46270</v>
      </c>
      <c r="F260" t="inlineStr">
        <is>
          <t>KALMAR LÄN</t>
        </is>
      </c>
      <c r="G260" t="inlineStr">
        <is>
          <t>HÖGSBY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46270</v>
      </c>
      <c r="F261" t="inlineStr">
        <is>
          <t>KALMAR LÄN</t>
        </is>
      </c>
      <c r="G261" t="inlineStr">
        <is>
          <t>HÖGSBY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46270</v>
      </c>
      <c r="F262" t="inlineStr">
        <is>
          <t>KALMAR LÄN</t>
        </is>
      </c>
      <c r="G262" t="inlineStr">
        <is>
          <t>HÖGSBY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46270</v>
      </c>
      <c r="F263" t="inlineStr">
        <is>
          <t>KALMAR LÄN</t>
        </is>
      </c>
      <c r="G263" t="inlineStr">
        <is>
          <t>HÖGSBY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46270</v>
      </c>
      <c r="F264" t="inlineStr">
        <is>
          <t>KALMAR LÄN</t>
        </is>
      </c>
      <c r="G264" t="inlineStr">
        <is>
          <t>HÖGSBY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8613-2022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44613</v>
      </c>
      <c r="E265" s="1" t="n">
        <v>46270</v>
      </c>
      <c r="F265" t="inlineStr">
        <is>
          <t>KALMAR LÄN</t>
        </is>
      </c>
      <c r="G265" t="inlineStr">
        <is>
          <t>HÖGSBY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26545-2024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45469</v>
      </c>
      <c r="E266" s="1" t="n">
        <v>46270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45348</v>
      </c>
      <c r="E267" s="1" t="n">
        <v>46270</v>
      </c>
      <c r="F267" t="inlineStr">
        <is>
          <t>KALMAR LÄN</t>
        </is>
      </c>
      <c r="G267" t="inlineStr">
        <is>
          <t>HÖGSBY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46270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45348</v>
      </c>
      <c r="E269" s="1" t="n">
        <v>46270</v>
      </c>
      <c r="F269" t="inlineStr">
        <is>
          <t>KALMAR LÄN</t>
        </is>
      </c>
      <c r="G269" t="inlineStr">
        <is>
          <t>HÖGSBY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44972</v>
      </c>
      <c r="E270" s="1" t="n">
        <v>46270</v>
      </c>
      <c r="F270" t="inlineStr">
        <is>
          <t>KALMAR LÄN</t>
        </is>
      </c>
      <c r="G270" t="inlineStr">
        <is>
          <t>HÖGSBY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46270</v>
      </c>
      <c r="F271" t="inlineStr">
        <is>
          <t>KALMAR LÄN</t>
        </is>
      </c>
      <c r="G271" t="inlineStr">
        <is>
          <t>HÖGSBY</t>
        </is>
      </c>
      <c r="I271" t="n">
        <v>11.6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53327-2022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44879</v>
      </c>
      <c r="E272" s="1" t="n">
        <v>46270</v>
      </c>
      <c r="F272" t="inlineStr">
        <is>
          <t>KALMAR LÄN</t>
        </is>
      </c>
      <c r="G272" t="inlineStr">
        <is>
          <t>HÖGSBY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45360</v>
      </c>
      <c r="E273" s="1" t="n">
        <v>46270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44907</v>
      </c>
      <c r="E274" s="1" t="n">
        <v>46270</v>
      </c>
      <c r="F274" t="inlineStr">
        <is>
          <t>KALMAR LÄN</t>
        </is>
      </c>
      <c r="G274" t="inlineStr">
        <is>
          <t>HÖGSBY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45588</v>
      </c>
      <c r="E275" s="1" t="n">
        <v>46270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45447</v>
      </c>
      <c r="E276" s="1" t="n">
        <v>46270</v>
      </c>
      <c r="F276" t="inlineStr">
        <is>
          <t>KALMAR LÄN</t>
        </is>
      </c>
      <c r="G276" t="inlineStr">
        <is>
          <t>HÖGSBY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46270</v>
      </c>
      <c r="F277" t="inlineStr">
        <is>
          <t>KALMAR LÄN</t>
        </is>
      </c>
      <c r="G277" t="inlineStr">
        <is>
          <t>HÖGSBY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46270</v>
      </c>
      <c r="F278" t="inlineStr">
        <is>
          <t>KALMAR LÄN</t>
        </is>
      </c>
      <c r="G278" t="inlineStr">
        <is>
          <t>HÖGSBY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46270</v>
      </c>
      <c r="F279" t="inlineStr">
        <is>
          <t>KALMAR LÄN</t>
        </is>
      </c>
      <c r="G279" t="inlineStr">
        <is>
          <t>HÖGSBY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22562-2026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46155</v>
      </c>
      <c r="E280" s="1" t="n">
        <v>46270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22564-2026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46155</v>
      </c>
      <c r="E281" s="1" t="n">
        <v>46270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46270</v>
      </c>
      <c r="F282" t="inlineStr">
        <is>
          <t>KALMAR LÄN</t>
        </is>
      </c>
      <c r="G282" t="inlineStr">
        <is>
          <t>HÖGSBY</t>
        </is>
      </c>
      <c r="H282" t="inlineStr">
        <is>
          <t>Kyrkan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45624</v>
      </c>
      <c r="E283" s="1" t="n">
        <v>46270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44601</v>
      </c>
      <c r="E284" s="1" t="n">
        <v>46270</v>
      </c>
      <c r="F284" t="inlineStr">
        <is>
          <t>KALMAR LÄN</t>
        </is>
      </c>
      <c r="G284" t="inlineStr">
        <is>
          <t>HÖGSBY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45160</v>
      </c>
      <c r="E285" s="1" t="n">
        <v>46270</v>
      </c>
      <c r="F285" t="inlineStr">
        <is>
          <t>KALMAR LÄN</t>
        </is>
      </c>
      <c r="G285" t="inlineStr">
        <is>
          <t>HÖGSBY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46270</v>
      </c>
      <c r="F286" t="inlineStr">
        <is>
          <t>KALMAR LÄN</t>
        </is>
      </c>
      <c r="G286" t="inlineStr">
        <is>
          <t>HÖGSBY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46157</v>
      </c>
      <c r="E287" s="1" t="n">
        <v>46270</v>
      </c>
      <c r="F287" t="inlineStr">
        <is>
          <t>KALMAR LÄN</t>
        </is>
      </c>
      <c r="G287" t="inlineStr">
        <is>
          <t>HÖGSBY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45203</v>
      </c>
      <c r="E288" s="1" t="n">
        <v>46270</v>
      </c>
      <c r="F288" t="inlineStr">
        <is>
          <t>KALMAR LÄN</t>
        </is>
      </c>
      <c r="G288" t="inlineStr">
        <is>
          <t>HÖGSBY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46270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45175</v>
      </c>
      <c r="E290" s="1" t="n">
        <v>46270</v>
      </c>
      <c r="F290" t="inlineStr">
        <is>
          <t>KALMAR LÄN</t>
        </is>
      </c>
      <c r="G290" t="inlineStr">
        <is>
          <t>HÖGSBY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38802-2024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45547</v>
      </c>
      <c r="E291" s="1" t="n">
        <v>46270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46270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44866</v>
      </c>
      <c r="E293" s="1" t="n">
        <v>46270</v>
      </c>
      <c r="F293" t="inlineStr">
        <is>
          <t>KALMAR LÄN</t>
        </is>
      </c>
      <c r="G293" t="inlineStr">
        <is>
          <t>HÖGSBY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23937-2026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46167</v>
      </c>
      <c r="E294" s="1" t="n">
        <v>46270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46270</v>
      </c>
      <c r="F295" t="inlineStr">
        <is>
          <t>KALMAR LÄN</t>
        </is>
      </c>
      <c r="G295" t="inlineStr">
        <is>
          <t>HÖGSBY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46270</v>
      </c>
      <c r="F296" t="inlineStr">
        <is>
          <t>KALMAR LÄN</t>
        </is>
      </c>
      <c r="G296" t="inlineStr">
        <is>
          <t>HÖGSBY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60555-2021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46270</v>
      </c>
      <c r="F297" t="inlineStr">
        <is>
          <t>KALMAR LÄN</t>
        </is>
      </c>
      <c r="G297" t="inlineStr">
        <is>
          <t>HÖGSBY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46169</v>
      </c>
      <c r="E298" s="1" t="n">
        <v>46270</v>
      </c>
      <c r="F298" t="inlineStr">
        <is>
          <t>KALMAR LÄN</t>
        </is>
      </c>
      <c r="G298" t="inlineStr">
        <is>
          <t>HÖGSBY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24601-2024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45460</v>
      </c>
      <c r="E299" s="1" t="n">
        <v>46270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46270</v>
      </c>
      <c r="F300" t="inlineStr">
        <is>
          <t>KALMAR LÄN</t>
        </is>
      </c>
      <c r="G300" t="inlineStr">
        <is>
          <t>HÖGSBY</t>
        </is>
      </c>
      <c r="H300" t="inlineStr">
        <is>
          <t>Kommuner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30294-2022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44760</v>
      </c>
      <c r="E301" s="1" t="n">
        <v>46270</v>
      </c>
      <c r="F301" t="inlineStr">
        <is>
          <t>KALMAR LÄN</t>
        </is>
      </c>
      <c r="G301" t="inlineStr">
        <is>
          <t>HÖGSBY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53328-2022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44879</v>
      </c>
      <c r="E302" s="1" t="n">
        <v>46270</v>
      </c>
      <c r="F302" t="inlineStr">
        <is>
          <t>KALMAR LÄN</t>
        </is>
      </c>
      <c r="G302" t="inlineStr">
        <is>
          <t>HÖGSBY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46270</v>
      </c>
      <c r="F303" t="inlineStr">
        <is>
          <t>KALMAR LÄN</t>
        </is>
      </c>
      <c r="G303" t="inlineStr">
        <is>
          <t>HÖGSBY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46270</v>
      </c>
      <c r="F304" t="inlineStr">
        <is>
          <t>KALMAR LÄN</t>
        </is>
      </c>
      <c r="G304" t="inlineStr">
        <is>
          <t>HÖGSBY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44987</v>
      </c>
      <c r="E305" s="1" t="n">
        <v>46270</v>
      </c>
      <c r="F305" t="inlineStr">
        <is>
          <t>KALMAR LÄN</t>
        </is>
      </c>
      <c r="G305" t="inlineStr">
        <is>
          <t>HÖGSBY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46270</v>
      </c>
      <c r="F306" t="inlineStr">
        <is>
          <t>KALMAR LÄN</t>
        </is>
      </c>
      <c r="G306" t="inlineStr">
        <is>
          <t>HÖGSBY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62562-2022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46270</v>
      </c>
      <c r="F307" t="inlineStr">
        <is>
          <t>KALMAR LÄN</t>
        </is>
      </c>
      <c r="G307" t="inlineStr">
        <is>
          <t>HÖGSBY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46270</v>
      </c>
      <c r="F308" t="inlineStr">
        <is>
          <t>KALMAR LÄN</t>
        </is>
      </c>
      <c r="G308" t="inlineStr">
        <is>
          <t>HÖGSBY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46270</v>
      </c>
      <c r="F309" t="inlineStr">
        <is>
          <t>KALMAR LÄN</t>
        </is>
      </c>
      <c r="G309" t="inlineStr">
        <is>
          <t>HÖGSBY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46270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46270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46270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46270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45552</v>
      </c>
      <c r="E314" s="1" t="n">
        <v>46270</v>
      </c>
      <c r="F314" t="inlineStr">
        <is>
          <t>KALMAR LÄN</t>
        </is>
      </c>
      <c r="G314" t="inlineStr">
        <is>
          <t>HÖGSBY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46270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44999</v>
      </c>
      <c r="E316" s="1" t="n">
        <v>46270</v>
      </c>
      <c r="F316" t="inlineStr">
        <is>
          <t>KALMAR LÄN</t>
        </is>
      </c>
      <c r="G316" t="inlineStr">
        <is>
          <t>HÖGSBY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46270</v>
      </c>
      <c r="F317" t="inlineStr">
        <is>
          <t>KALMAR LÄN</t>
        </is>
      </c>
      <c r="G317" t="inlineStr">
        <is>
          <t>HÖGSBY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46270</v>
      </c>
      <c r="F318" t="inlineStr">
        <is>
          <t>KALMAR LÄN</t>
        </is>
      </c>
      <c r="G318" t="inlineStr">
        <is>
          <t>HÖGSBY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46270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44981</v>
      </c>
      <c r="E320" s="1" t="n">
        <v>46270</v>
      </c>
      <c r="F320" t="inlineStr">
        <is>
          <t>KALMAR LÄN</t>
        </is>
      </c>
      <c r="G320" t="inlineStr">
        <is>
          <t>HÖGSBY</t>
        </is>
      </c>
      <c r="H320" t="inlineStr">
        <is>
          <t>Övriga Aktiebolag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46270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46270</v>
      </c>
      <c r="F322" t="inlineStr">
        <is>
          <t>KALMAR LÄN</t>
        </is>
      </c>
      <c r="G322" t="inlineStr">
        <is>
          <t>HÖGSBY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46270</v>
      </c>
      <c r="F323" t="inlineStr">
        <is>
          <t>KALMAR LÄN</t>
        </is>
      </c>
      <c r="G323" t="inlineStr">
        <is>
          <t>HÖGSBY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46270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46270</v>
      </c>
      <c r="F325" t="inlineStr">
        <is>
          <t>KALMAR LÄN</t>
        </is>
      </c>
      <c r="G325" t="inlineStr">
        <is>
          <t>HÖGSBY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65130-2023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45288</v>
      </c>
      <c r="E326" s="1" t="n">
        <v>46270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46270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46270</v>
      </c>
      <c r="F328" t="inlineStr">
        <is>
          <t>KALMAR LÄN</t>
        </is>
      </c>
      <c r="G328" t="inlineStr">
        <is>
          <t>HÖGSBY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46270</v>
      </c>
      <c r="F329" t="inlineStr">
        <is>
          <t>KALMAR LÄN</t>
        </is>
      </c>
      <c r="G329" t="inlineStr">
        <is>
          <t>HÖGSBY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46237</v>
      </c>
      <c r="E330" s="1" t="n">
        <v>46270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46270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46270</v>
      </c>
      <c r="F332" t="inlineStr">
        <is>
          <t>KALMAR LÄN</t>
        </is>
      </c>
      <c r="G332" t="inlineStr">
        <is>
          <t>HÖGSBY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46270</v>
      </c>
      <c r="F333" t="inlineStr">
        <is>
          <t>KALMAR LÄN</t>
        </is>
      </c>
      <c r="G333" t="inlineStr">
        <is>
          <t>HÖGSBY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46270</v>
      </c>
      <c r="F334" t="inlineStr">
        <is>
          <t>KALMAR LÄN</t>
        </is>
      </c>
      <c r="G334" t="inlineStr">
        <is>
          <t>HÖGSBY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46270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46270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28702-2026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46198</v>
      </c>
      <c r="E337" s="1" t="n">
        <v>46270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28692-2026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46198</v>
      </c>
      <c r="E338" s="1" t="n">
        <v>46270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28691-2026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46270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28697-2026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46270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46197</v>
      </c>
      <c r="E341" s="1" t="n">
        <v>46270</v>
      </c>
      <c r="F341" t="inlineStr">
        <is>
          <t>KALMAR LÄN</t>
        </is>
      </c>
      <c r="G341" t="inlineStr">
        <is>
          <t>HÖGSBY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46270</v>
      </c>
      <c r="F342" t="inlineStr">
        <is>
          <t>KALMAR LÄN</t>
        </is>
      </c>
      <c r="G342" t="inlineStr">
        <is>
          <t>HÖGSBY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28713-2026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46198</v>
      </c>
      <c r="E343" s="1" t="n">
        <v>46270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46270</v>
      </c>
      <c r="F344" t="inlineStr">
        <is>
          <t>KALMAR LÄN</t>
        </is>
      </c>
      <c r="G344" t="inlineStr">
        <is>
          <t>HÖGSBY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46270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46270</v>
      </c>
      <c r="F346" t="inlineStr">
        <is>
          <t>KALMAR LÄN</t>
        </is>
      </c>
      <c r="G346" t="inlineStr">
        <is>
          <t>HÖGSBY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46270</v>
      </c>
      <c r="F347" t="inlineStr">
        <is>
          <t>KALMAR LÄN</t>
        </is>
      </c>
      <c r="G347" t="inlineStr">
        <is>
          <t>HÖGSBY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46270</v>
      </c>
      <c r="F348" t="inlineStr">
        <is>
          <t>KALMAR LÄN</t>
        </is>
      </c>
      <c r="G348" t="inlineStr">
        <is>
          <t>HÖGSBY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46270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46270</v>
      </c>
      <c r="F350" t="inlineStr">
        <is>
          <t>KALMAR LÄN</t>
        </is>
      </c>
      <c r="G350" t="inlineStr">
        <is>
          <t>HÖGSBY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46270</v>
      </c>
      <c r="F351" t="inlineStr">
        <is>
          <t>KALMAR LÄN</t>
        </is>
      </c>
      <c r="G351" t="inlineStr">
        <is>
          <t>HÖGSBY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44907</v>
      </c>
      <c r="E352" s="1" t="n">
        <v>46270</v>
      </c>
      <c r="F352" t="inlineStr">
        <is>
          <t>KALMAR LÄN</t>
        </is>
      </c>
      <c r="G352" t="inlineStr">
        <is>
          <t>HÖGSBY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52116-2024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46270</v>
      </c>
      <c r="F353" t="inlineStr">
        <is>
          <t>KALMAR LÄN</t>
        </is>
      </c>
      <c r="G353" t="inlineStr">
        <is>
          <t>HÖGSBY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46270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46270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46270</v>
      </c>
      <c r="F356" t="inlineStr">
        <is>
          <t>KALMAR LÄN</t>
        </is>
      </c>
      <c r="G356" t="inlineStr">
        <is>
          <t>HÖGSBY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46270</v>
      </c>
      <c r="F357" t="inlineStr">
        <is>
          <t>KALMAR LÄN</t>
        </is>
      </c>
      <c r="G357" t="inlineStr">
        <is>
          <t>HÖGSBY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46270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15.2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46270</v>
      </c>
      <c r="F359" t="inlineStr">
        <is>
          <t>KALMAR LÄN</t>
        </is>
      </c>
      <c r="G359" t="inlineStr">
        <is>
          <t>HÖGSBY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46270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44939</v>
      </c>
      <c r="E361" s="1" t="n">
        <v>46270</v>
      </c>
      <c r="F361" t="inlineStr">
        <is>
          <t>KALMAR LÄN</t>
        </is>
      </c>
      <c r="G361" t="inlineStr">
        <is>
          <t>HÖGSBY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45614</v>
      </c>
      <c r="E362" s="1" t="n">
        <v>46270</v>
      </c>
      <c r="F362" t="inlineStr">
        <is>
          <t>KALMAR LÄN</t>
        </is>
      </c>
      <c r="G362" t="inlineStr">
        <is>
          <t>HÖGSBY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46270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46270</v>
      </c>
      <c r="F364" t="inlineStr">
        <is>
          <t>KALMAR LÄN</t>
        </is>
      </c>
      <c r="G364" t="inlineStr">
        <is>
          <t>HÖGSBY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46329-2024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45581</v>
      </c>
      <c r="E365" s="1" t="n">
        <v>46270</v>
      </c>
      <c r="F365" t="inlineStr">
        <is>
          <t>KALMAR LÄN</t>
        </is>
      </c>
      <c r="G365" t="inlineStr">
        <is>
          <t>HÖGSBY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45692</v>
      </c>
      <c r="E366" s="1" t="n">
        <v>46270</v>
      </c>
      <c r="F366" t="inlineStr">
        <is>
          <t>KALMAR LÄN</t>
        </is>
      </c>
      <c r="G366" t="inlineStr">
        <is>
          <t>HÖGSBY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50367-2022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44866</v>
      </c>
      <c r="E367" s="1" t="n">
        <v>46270</v>
      </c>
      <c r="F367" t="inlineStr">
        <is>
          <t>KALMAR LÄN</t>
        </is>
      </c>
      <c r="G367" t="inlineStr">
        <is>
          <t>HÖGSBY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33788-2026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46251</v>
      </c>
      <c r="E368" s="1" t="n">
        <v>46270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46270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46270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46270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12.7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46270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45638</v>
      </c>
      <c r="E373" s="1" t="n">
        <v>46270</v>
      </c>
      <c r="F373" t="inlineStr">
        <is>
          <t>KALMAR LÄN</t>
        </is>
      </c>
      <c r="G373" t="inlineStr">
        <is>
          <t>HÖGSBY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45307</v>
      </c>
      <c r="E374" s="1" t="n">
        <v>46270</v>
      </c>
      <c r="F374" t="inlineStr">
        <is>
          <t>KALMAR LÄN</t>
        </is>
      </c>
      <c r="G374" t="inlineStr">
        <is>
          <t>HÖGSBY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46270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46270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45170</v>
      </c>
      <c r="E377" s="1" t="n">
        <v>46270</v>
      </c>
      <c r="F377" t="inlineStr">
        <is>
          <t>KALMAR LÄN</t>
        </is>
      </c>
      <c r="G377" t="inlineStr">
        <is>
          <t>HÖGSBY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46270</v>
      </c>
      <c r="F378" t="inlineStr">
        <is>
          <t>KALMAR LÄN</t>
        </is>
      </c>
      <c r="G378" t="inlineStr">
        <is>
          <t>HÖGSBY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HYPERLINK("https://klasma.github.io/Logging_0821/knärot/A 40137-2024 karta knärot.png", "A 40137-2024")</f>
        <v/>
      </c>
      <c r="AA378">
        <f>HYPERLINK("https://klasma.github.io/Logging_0821/klagomål/A 40137-2024 FSC-klagomål.docx", "A 40137-2024")</f>
        <v/>
      </c>
      <c r="AB378">
        <f>HYPERLINK("https://klasma.github.io/Logging_0821/klagomålsmail/A 40137-2024 FSC-klagomål mail.docx", "A 40137-2024")</f>
        <v/>
      </c>
      <c r="AC378">
        <f>HYPERLINK("https://klasma.github.io/Logging_0821/tillsyn/A 40137-2024 tillsynsbegäran.docx", "A 40137-2024")</f>
        <v/>
      </c>
      <c r="AD378">
        <f>HYPERLINK("https://klasma.github.io/Logging_0821/tillsynsmail/A 40137-2024 tillsynsbegäran mail.docx", "A 40137-2024")</f>
        <v/>
      </c>
    </row>
    <row r="379" ht="15" customHeight="1">
      <c r="A379" t="inlineStr">
        <is>
          <t>A 24378-2025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46270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46270</v>
      </c>
      <c r="F380" t="inlineStr">
        <is>
          <t>KALMAR LÄN</t>
        </is>
      </c>
      <c r="G380" t="inlineStr">
        <is>
          <t>HÖGSBY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46270</v>
      </c>
      <c r="F381" t="inlineStr">
        <is>
          <t>KALMAR LÄN</t>
        </is>
      </c>
      <c r="G381" t="inlineStr">
        <is>
          <t>HÖGSBY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46270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46267</v>
      </c>
      <c r="E383" s="1" t="n">
        <v>46270</v>
      </c>
      <c r="F383" t="inlineStr">
        <is>
          <t>KALMAR LÄN</t>
        </is>
      </c>
      <c r="G383" t="inlineStr">
        <is>
          <t>HÖGSBY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46266</v>
      </c>
      <c r="E384" s="1" t="n">
        <v>46270</v>
      </c>
      <c r="F384" t="inlineStr">
        <is>
          <t>KALMAR LÄN</t>
        </is>
      </c>
      <c r="G384" t="inlineStr">
        <is>
          <t>HÖGSBY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46270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46270</v>
      </c>
      <c r="F386" t="inlineStr">
        <is>
          <t>KALMAR LÄN</t>
        </is>
      </c>
      <c r="G386" t="inlineStr">
        <is>
          <t>HÖGSBY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46270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46268</v>
      </c>
      <c r="E388" s="1" t="n">
        <v>46270</v>
      </c>
      <c r="F388" t="inlineStr">
        <is>
          <t>KALMAR LÄN</t>
        </is>
      </c>
      <c r="G388" t="inlineStr">
        <is>
          <t>HÖGSBY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46270</v>
      </c>
      <c r="F389" t="inlineStr">
        <is>
          <t>KALMAR LÄN</t>
        </is>
      </c>
      <c r="G389" t="inlineStr">
        <is>
          <t>HÖGSBY</t>
        </is>
      </c>
      <c r="I389" t="n">
        <v>12.4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4463-2022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44788</v>
      </c>
      <c r="E390" s="1" t="n">
        <v>46270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3208-2024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45524</v>
      </c>
      <c r="E391" s="1" t="n">
        <v>46270</v>
      </c>
      <c r="F391" t="inlineStr">
        <is>
          <t>KALMAR LÄN</t>
        </is>
      </c>
      <c r="G391" t="inlineStr">
        <is>
          <t>HÖGSBY</t>
        </is>
      </c>
      <c r="I391" t="n">
        <v>23.3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7006-2022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44903</v>
      </c>
      <c r="E392" s="1" t="n">
        <v>46270</v>
      </c>
      <c r="F392" t="inlineStr">
        <is>
          <t>KALMAR LÄN</t>
        </is>
      </c>
      <c r="G392" t="inlineStr">
        <is>
          <t>HÖGSBY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46270</v>
      </c>
      <c r="F393" t="inlineStr">
        <is>
          <t>KALMAR LÄN</t>
        </is>
      </c>
      <c r="G393" t="inlineStr">
        <is>
          <t>HÖGSBY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512-2023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46270</v>
      </c>
      <c r="F394" t="inlineStr">
        <is>
          <t>KALMAR LÄN</t>
        </is>
      </c>
      <c r="G394" t="inlineStr">
        <is>
          <t>HÖGSBY</t>
        </is>
      </c>
      <c r="I394" t="n">
        <v>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46270</v>
      </c>
      <c r="F395" t="inlineStr">
        <is>
          <t>KALMAR LÄN</t>
        </is>
      </c>
      <c r="G395" t="inlineStr">
        <is>
          <t>HÖGSBY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2563-2023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45140</v>
      </c>
      <c r="E396" s="1" t="n">
        <v>46270</v>
      </c>
      <c r="F396" t="inlineStr">
        <is>
          <t>KALMAR LÄN</t>
        </is>
      </c>
      <c r="G396" t="inlineStr">
        <is>
          <t>HÖGSBY</t>
        </is>
      </c>
      <c r="I396" t="n">
        <v>28.7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566-2022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44592</v>
      </c>
      <c r="E397" s="1" t="n">
        <v>46270</v>
      </c>
      <c r="F397" t="inlineStr">
        <is>
          <t>KALMAR LÄN</t>
        </is>
      </c>
      <c r="G397" t="inlineStr">
        <is>
          <t>HÖGSBY</t>
        </is>
      </c>
      <c r="I397" t="n">
        <v>15.1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5035-2024</t>
        </is>
      </c>
      <c r="B398" t="inlineStr">
        <is>
          <t>samrådsanmälan</t>
        </is>
      </c>
      <c r="C398" t="inlineStr">
        <is>
          <t>Stubbskörd</t>
        </is>
      </c>
      <c r="D398" s="1" t="n">
        <v>45636</v>
      </c>
      <c r="E398" s="1" t="n">
        <v>46270</v>
      </c>
      <c r="F398" t="inlineStr">
        <is>
          <t>KALMAR LÄN</t>
        </is>
      </c>
      <c r="G398" t="inlineStr">
        <is>
          <t>HÖGSBY</t>
        </is>
      </c>
      <c r="I398" t="n">
        <v>14.2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561-2022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44592</v>
      </c>
      <c r="E399" s="1" t="n">
        <v>46270</v>
      </c>
      <c r="F399" t="inlineStr">
        <is>
          <t>KALMAR LÄN</t>
        </is>
      </c>
      <c r="G399" t="inlineStr">
        <is>
          <t>HÖGSBY</t>
        </is>
      </c>
      <c r="I399" t="n">
        <v>30.3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2021-2025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45835</v>
      </c>
      <c r="E400" s="1" t="n">
        <v>46270</v>
      </c>
      <c r="F400" t="inlineStr">
        <is>
          <t>KALMAR LÄN</t>
        </is>
      </c>
      <c r="G400" t="inlineStr">
        <is>
          <t>HÖGSBY</t>
        </is>
      </c>
      <c r="I400" t="n">
        <v>8.5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379-2023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44958</v>
      </c>
      <c r="E401" s="1" t="n">
        <v>46270</v>
      </c>
      <c r="F401" t="inlineStr">
        <is>
          <t>KALMAR LÄN</t>
        </is>
      </c>
      <c r="G401" t="inlineStr">
        <is>
          <t>HÖGSBY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351-2023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44958</v>
      </c>
      <c r="E402" s="1" t="n">
        <v>46270</v>
      </c>
      <c r="F402" t="inlineStr">
        <is>
          <t>KALMAR LÄN</t>
        </is>
      </c>
      <c r="G402" t="inlineStr">
        <is>
          <t>HÖGSBY</t>
        </is>
      </c>
      <c r="I402" t="n">
        <v>21.3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2809-2025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45938</v>
      </c>
      <c r="E403" s="1" t="n">
        <v>46270</v>
      </c>
      <c r="F403" t="inlineStr">
        <is>
          <t>KALMAR LÄN</t>
        </is>
      </c>
      <c r="G403" t="inlineStr">
        <is>
          <t>HÖGSBY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1031-2026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46270</v>
      </c>
      <c r="F404" t="inlineStr">
        <is>
          <t>KALMAR LÄN</t>
        </is>
      </c>
      <c r="G404" t="inlineStr">
        <is>
          <t>HÖGSBY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1417-2026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46155</v>
      </c>
      <c r="E405" s="1" t="n">
        <v>46270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1418-2026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46155</v>
      </c>
      <c r="E406" s="1" t="n">
        <v>46270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46270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46270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1847-2026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46270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1866-2026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46199</v>
      </c>
      <c r="E410" s="1" t="n">
        <v>46270</v>
      </c>
      <c r="F410" t="inlineStr">
        <is>
          <t>KALMAR LÄN</t>
        </is>
      </c>
      <c r="G410" t="inlineStr">
        <is>
          <t>HÖGSBY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46203</v>
      </c>
      <c r="E411" s="1" t="n">
        <v>46270</v>
      </c>
      <c r="F411" t="inlineStr">
        <is>
          <t>KALMAR LÄN</t>
        </is>
      </c>
      <c r="G411" t="inlineStr">
        <is>
          <t>HÖGSBY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>
      <c r="A412" t="inlineStr">
        <is>
          <t>S 2165-2026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46251</v>
      </c>
      <c r="E412" s="1" t="n">
        <v>46270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2026-09-05T02:04:07Z</dcterms:created>
  <dcterms:modified xmlns:dcterms="http://purl.org/dc/terms/" xmlns:xsi="http://www.w3.org/2001/XMLSchema-instance" xsi:type="dcterms:W3CDTF">2026-09-05T02:04:08Z</dcterms:modified>
</cp:coreProperties>
</file>